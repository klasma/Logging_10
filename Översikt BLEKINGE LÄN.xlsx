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46196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46196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46196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1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Grusnejlika
Sandödla
Grönsångare
Kantarellvaxing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31117-2025</t>
        </is>
      </c>
      <c r="B7" s="1" t="n">
        <v>45832</v>
      </c>
      <c r="C7" s="1" t="n">
        <v>46196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6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Sydpipistrell
Barbastell
Nordfladdermus
Dvärgpipistrell
Större brunfladdermus
Trollpipistrell</t>
        </is>
      </c>
      <c r="S7">
        <f>HYPERLINK("https://klasma.github.io/Logging_1080/artfynd/A 31117-2025 artfynd.xlsx", "A 31117-2025")</f>
        <v/>
      </c>
      <c r="T7">
        <f>HYPERLINK("https://klasma.github.io/Logging_1080/kartor/A 31117-2025 karta.png", "A 31117-2025")</f>
        <v/>
      </c>
      <c r="V7">
        <f>HYPERLINK("https://klasma.github.io/Logging_1080/klagomål/A 31117-2025 FSC-klagomål.docx", "A 31117-2025")</f>
        <v/>
      </c>
      <c r="W7">
        <f>HYPERLINK("https://klasma.github.io/Logging_1080/klagomålsmail/A 31117-2025 FSC-klagomål mail.docx", "A 31117-2025")</f>
        <v/>
      </c>
      <c r="X7">
        <f>HYPERLINK("https://klasma.github.io/Logging_1080/tillsyn/A 31117-2025 tillsynsbegäran.docx", "A 31117-2025")</f>
        <v/>
      </c>
      <c r="Y7">
        <f>HYPERLINK("https://klasma.github.io/Logging_1080/tillsynsmail/A 31117-2025 tillsynsbegäran mail.docx", "A 31117-2025")</f>
        <v/>
      </c>
    </row>
    <row r="8" ht="15" customHeight="1">
      <c r="A8" t="inlineStr">
        <is>
          <t>A 21911-2026</t>
        </is>
      </c>
      <c r="B8" s="1" t="n">
        <v>46150</v>
      </c>
      <c r="C8" s="1" t="n">
        <v>46196</v>
      </c>
      <c r="D8" t="inlineStr">
        <is>
          <t>BLEKINGE LÄN</t>
        </is>
      </c>
      <c r="E8" t="inlineStr">
        <is>
          <t>KARLSHAMN</t>
        </is>
      </c>
      <c r="G8" t="n">
        <v>6.5</v>
      </c>
      <c r="H8" t="n">
        <v>1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Liten stinksvamp
Lömsk flugsvamp
Murgröna
Myskmadra
Rutkremla
Blåsippa</t>
        </is>
      </c>
      <c r="S8">
        <f>HYPERLINK("https://klasma.github.io/Logging_1082/artfynd/A 21911-2026 artfynd.xlsx", "A 21911-2026")</f>
        <v/>
      </c>
      <c r="T8">
        <f>HYPERLINK("https://klasma.github.io/Logging_1082/kartor/A 21911-2026 karta.png", "A 21911-2026")</f>
        <v/>
      </c>
      <c r="V8">
        <f>HYPERLINK("https://klasma.github.io/Logging_1082/klagomål/A 21911-2026 FSC-klagomål.docx", "A 21911-2026")</f>
        <v/>
      </c>
      <c r="W8">
        <f>HYPERLINK("https://klasma.github.io/Logging_1082/klagomålsmail/A 21911-2026 FSC-klagomål mail.docx", "A 21911-2026")</f>
        <v/>
      </c>
      <c r="X8">
        <f>HYPERLINK("https://klasma.github.io/Logging_1082/tillsyn/A 21911-2026 tillsynsbegäran.docx", "A 21911-2026")</f>
        <v/>
      </c>
      <c r="Y8">
        <f>HYPERLINK("https://klasma.github.io/Logging_1082/tillsynsmail/A 21911-2026 tillsynsbegäran mail.docx", "A 21911-2026")</f>
        <v/>
      </c>
    </row>
    <row r="9" ht="15" customHeight="1">
      <c r="A9" t="inlineStr">
        <is>
          <t>A 40701-2023</t>
        </is>
      </c>
      <c r="B9" s="1" t="n">
        <v>45170</v>
      </c>
      <c r="C9" s="1" t="n">
        <v>46196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Ask
Gammelekslav
Oxtungssvamp
Skuggorangelav
Grå skärelav
Platt fjädermossa</t>
        </is>
      </c>
      <c r="S9">
        <f>HYPERLINK("https://klasma.github.io/Logging_1082/artfynd/A 40701-2023 artfynd.xlsx", "A 40701-2023")</f>
        <v/>
      </c>
      <c r="T9">
        <f>HYPERLINK("https://klasma.github.io/Logging_1082/kartor/A 40701-2023 karta.png", "A 40701-2023")</f>
        <v/>
      </c>
      <c r="V9">
        <f>HYPERLINK("https://klasma.github.io/Logging_1082/klagomål/A 40701-2023 FSC-klagomål.docx", "A 40701-2023")</f>
        <v/>
      </c>
      <c r="W9">
        <f>HYPERLINK("https://klasma.github.io/Logging_1082/klagomålsmail/A 40701-2023 FSC-klagomål mail.docx", "A 40701-2023")</f>
        <v/>
      </c>
      <c r="X9">
        <f>HYPERLINK("https://klasma.github.io/Logging_1082/tillsyn/A 40701-2023 tillsynsbegäran.docx", "A 40701-2023")</f>
        <v/>
      </c>
      <c r="Y9">
        <f>HYPERLINK("https://klasma.github.io/Logging_1082/tillsynsmail/A 40701-2023 tillsynsbegäran mail.docx", "A 40701-2023")</f>
        <v/>
      </c>
    </row>
    <row r="10" ht="15" customHeight="1">
      <c r="A10" t="inlineStr">
        <is>
          <t>A 37860-2025</t>
        </is>
      </c>
      <c r="B10" s="1" t="n">
        <v>45881</v>
      </c>
      <c r="C10" s="1" t="n">
        <v>46196</v>
      </c>
      <c r="D10" t="inlineStr">
        <is>
          <t>BLEKINGE LÄN</t>
        </is>
      </c>
      <c r="E10" t="inlineStr">
        <is>
          <t>OLOFSTRÖM</t>
        </is>
      </c>
      <c r="F10" t="inlineStr">
        <is>
          <t>Övriga Aktiebolag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Rostfläck
Ekbräken
Glansfläck
Liljekonvalj
Skriftlav</t>
        </is>
      </c>
      <c r="S10">
        <f>HYPERLINK("https://klasma.github.io/Logging_1060/artfynd/A 37860-2025 artfynd.xlsx", "A 37860-2025")</f>
        <v/>
      </c>
      <c r="T10">
        <f>HYPERLINK("https://klasma.github.io/Logging_1060/kartor/A 37860-2025 karta.png", "A 37860-2025")</f>
        <v/>
      </c>
      <c r="V10">
        <f>HYPERLINK("https://klasma.github.io/Logging_1060/klagomål/A 37860-2025 FSC-klagomål.docx", "A 37860-2025")</f>
        <v/>
      </c>
      <c r="W10">
        <f>HYPERLINK("https://klasma.github.io/Logging_1060/klagomålsmail/A 37860-2025 FSC-klagomål mail.docx", "A 37860-2025")</f>
        <v/>
      </c>
      <c r="X10">
        <f>HYPERLINK("https://klasma.github.io/Logging_1060/tillsyn/A 37860-2025 tillsynsbegäran.docx", "A 37860-2025")</f>
        <v/>
      </c>
      <c r="Y10">
        <f>HYPERLINK("https://klasma.github.io/Logging_1060/tillsynsmail/A 37860-2025 tillsynsbegäran mail.docx", "A 37860-2025")</f>
        <v/>
      </c>
    </row>
    <row r="11" ht="15" customHeight="1">
      <c r="A11" t="inlineStr">
        <is>
          <t>A 43609-2025</t>
        </is>
      </c>
      <c r="B11" s="1" t="n">
        <v>45911</v>
      </c>
      <c r="C11" s="1" t="n">
        <v>46196</v>
      </c>
      <c r="D11" t="inlineStr">
        <is>
          <t>BLEKINGE LÄN</t>
        </is>
      </c>
      <c r="E11" t="inlineStr">
        <is>
          <t>KARLSKRONA</t>
        </is>
      </c>
      <c r="G11" t="n">
        <v>10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Gammelekslav
Liten sönderfallslav
Rosa skärelav
Grå skärelav
Rostfläck</t>
        </is>
      </c>
      <c r="S11">
        <f>HYPERLINK("https://klasma.github.io/Logging_1080/artfynd/A 43609-2025 artfynd.xlsx", "A 43609-2025")</f>
        <v/>
      </c>
      <c r="T11">
        <f>HYPERLINK("https://klasma.github.io/Logging_1080/kartor/A 43609-2025 karta.png", "A 43609-2025")</f>
        <v/>
      </c>
      <c r="V11">
        <f>HYPERLINK("https://klasma.github.io/Logging_1080/klagomål/A 43609-2025 FSC-klagomål.docx", "A 43609-2025")</f>
        <v/>
      </c>
      <c r="W11">
        <f>HYPERLINK("https://klasma.github.io/Logging_1080/klagomålsmail/A 43609-2025 FSC-klagomål mail.docx", "A 43609-2025")</f>
        <v/>
      </c>
      <c r="X11">
        <f>HYPERLINK("https://klasma.github.io/Logging_1080/tillsyn/A 43609-2025 tillsynsbegäran.docx", "A 43609-2025")</f>
        <v/>
      </c>
      <c r="Y11">
        <f>HYPERLINK("https://klasma.github.io/Logging_1080/tillsynsmail/A 43609-2025 tillsynsbegäran mail.docx", "A 43609-2025")</f>
        <v/>
      </c>
    </row>
    <row r="12" ht="15" customHeight="1">
      <c r="A12" t="inlineStr">
        <is>
          <t>A 27128-2024</t>
        </is>
      </c>
      <c r="B12" s="1" t="n">
        <v>45471</v>
      </c>
      <c r="C12" s="1" t="n">
        <v>46196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2.8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Bokkantlav
Bokvårtlav
Fällmossa
Havstulpanlav
Platt fjädermossa</t>
        </is>
      </c>
      <c r="S12">
        <f>HYPERLINK("https://klasma.github.io/Logging_1081/artfynd/A 27128-2024 artfynd.xlsx", "A 27128-2024")</f>
        <v/>
      </c>
      <c r="T12">
        <f>HYPERLINK("https://klasma.github.io/Logging_1081/kartor/A 27128-2024 karta.png", "A 27128-2024")</f>
        <v/>
      </c>
      <c r="V12">
        <f>HYPERLINK("https://klasma.github.io/Logging_1081/klagomål/A 27128-2024 FSC-klagomål.docx", "A 27128-2024")</f>
        <v/>
      </c>
      <c r="W12">
        <f>HYPERLINK("https://klasma.github.io/Logging_1081/klagomålsmail/A 27128-2024 FSC-klagomål mail.docx", "A 27128-2024")</f>
        <v/>
      </c>
      <c r="X12">
        <f>HYPERLINK("https://klasma.github.io/Logging_1081/tillsyn/A 27128-2024 tillsynsbegäran.docx", "A 27128-2024")</f>
        <v/>
      </c>
      <c r="Y12">
        <f>HYPERLINK("https://klasma.github.io/Logging_1081/tillsynsmail/A 27128-2024 tillsynsbegäran mail.docx", "A 27128-2024")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46196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Småvänderot
Lunglav
Ängsmetallvinge
Lönnlav
Platt fjädermossa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46709-2021</t>
        </is>
      </c>
      <c r="B14" s="1" t="n">
        <v>44445</v>
      </c>
      <c r="C14" s="1" t="n">
        <v>46196</v>
      </c>
      <c r="D14" t="inlineStr">
        <is>
          <t>BLEKINGE LÄN</t>
        </is>
      </c>
      <c r="E14" t="inlineStr">
        <is>
          <t>KARLSKRONA</t>
        </is>
      </c>
      <c r="G14" t="n">
        <v>11.3</v>
      </c>
      <c r="H14" t="n">
        <v>0</v>
      </c>
      <c r="I14" t="n">
        <v>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Ask
Skogsalm
Vippärt
Lönnlav
Skinnlav</t>
        </is>
      </c>
      <c r="S14">
        <f>HYPERLINK("https://klasma.github.io/Logging_1080/artfynd/A 46709-2021 artfynd.xlsx", "A 46709-2021")</f>
        <v/>
      </c>
      <c r="T14">
        <f>HYPERLINK("https://klasma.github.io/Logging_1080/kartor/A 46709-2021 karta.png", "A 46709-2021")</f>
        <v/>
      </c>
      <c r="V14">
        <f>HYPERLINK("https://klasma.github.io/Logging_1080/klagomål/A 46709-2021 FSC-klagomål.docx", "A 46709-2021")</f>
        <v/>
      </c>
      <c r="W14">
        <f>HYPERLINK("https://klasma.github.io/Logging_1080/klagomålsmail/A 46709-2021 FSC-klagomål mail.docx", "A 46709-2021")</f>
        <v/>
      </c>
      <c r="X14">
        <f>HYPERLINK("https://klasma.github.io/Logging_1080/tillsyn/A 46709-2021 tillsynsbegäran.docx", "A 46709-2021")</f>
        <v/>
      </c>
      <c r="Y14">
        <f>HYPERLINK("https://klasma.github.io/Logging_1080/tillsynsmail/A 46709-2021 tillsynsbegäran mail.docx", "A 46709-2021")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46196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Sandödla
Grönhjon
Molnfläcksbock
Ekoxe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28588-2023</t>
        </is>
      </c>
      <c r="B16" s="1" t="n">
        <v>45103</v>
      </c>
      <c r="C16" s="1" t="n">
        <v>46196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2.3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Rosa lundlav
Ekskinn
Fällmossa
Guldlockmossa
Lönnlav</t>
        </is>
      </c>
      <c r="S16">
        <f>HYPERLINK("https://klasma.github.io/Logging_1081/artfynd/A 28588-2023 artfynd.xlsx", "A 28588-2023")</f>
        <v/>
      </c>
      <c r="T16">
        <f>HYPERLINK("https://klasma.github.io/Logging_1081/kartor/A 28588-2023 karta.png", "A 28588-2023")</f>
        <v/>
      </c>
      <c r="V16">
        <f>HYPERLINK("https://klasma.github.io/Logging_1081/klagomål/A 28588-2023 FSC-klagomål.docx", "A 28588-2023")</f>
        <v/>
      </c>
      <c r="W16">
        <f>HYPERLINK("https://klasma.github.io/Logging_1081/klagomålsmail/A 28588-2023 FSC-klagomål mail.docx", "A 28588-2023")</f>
        <v/>
      </c>
      <c r="X16">
        <f>HYPERLINK("https://klasma.github.io/Logging_1081/tillsyn/A 28588-2023 tillsynsbegäran.docx", "A 28588-2023")</f>
        <v/>
      </c>
      <c r="Y16">
        <f>HYPERLINK("https://klasma.github.io/Logging_1081/tillsynsmail/A 28588-2023 tillsynsbegäran mail.docx", "A 28588-2023")</f>
        <v/>
      </c>
    </row>
    <row r="17" ht="15" customHeight="1">
      <c r="A17" t="inlineStr">
        <is>
          <t>A 60502-2024</t>
        </is>
      </c>
      <c r="B17" s="1" t="n">
        <v>45643</v>
      </c>
      <c r="C17" s="1" t="n">
        <v>46196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Backsippa
Jungfrulin
Solvända
Vårstarr
Gullviva</t>
        </is>
      </c>
      <c r="S17">
        <f>HYPERLINK("https://klasma.github.io/Logging_1081/artfynd/A 60502-2024 artfynd.xlsx", "A 60502-2024")</f>
        <v/>
      </c>
      <c r="T17">
        <f>HYPERLINK("https://klasma.github.io/Logging_1081/kartor/A 60502-2024 karta.png", "A 60502-2024")</f>
        <v/>
      </c>
      <c r="V17">
        <f>HYPERLINK("https://klasma.github.io/Logging_1081/klagomål/A 60502-2024 FSC-klagomål.docx", "A 60502-2024")</f>
        <v/>
      </c>
      <c r="W17">
        <f>HYPERLINK("https://klasma.github.io/Logging_1081/klagomålsmail/A 60502-2024 FSC-klagomål mail.docx", "A 60502-2024")</f>
        <v/>
      </c>
      <c r="X17">
        <f>HYPERLINK("https://klasma.github.io/Logging_1081/tillsyn/A 60502-2024 tillsynsbegäran.docx", "A 60502-2024")</f>
        <v/>
      </c>
      <c r="Y17">
        <f>HYPERLINK("https://klasma.github.io/Logging_1081/tillsynsmail/A 60502-2024 tillsynsbegäran mail.docx", "A 60502-2024")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46196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Sandödla
Vitfläckig guldvinge
Guldlockmossa
Klippfrullania
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</row>
    <row r="19" ht="15" customHeight="1">
      <c r="A19" t="inlineStr">
        <is>
          <t>A 48900-2024</t>
        </is>
      </c>
      <c r="B19" s="1" t="n">
        <v>45594</v>
      </c>
      <c r="C19" s="1" t="n">
        <v>46196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8.699999999999999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Ekpricklav
Oxtungssvamp
Havstulpanlav
Rostfläck</t>
        </is>
      </c>
      <c r="S19">
        <f>HYPERLINK("https://klasma.github.io/Logging_1081/artfynd/A 48900-2024 artfynd.xlsx", "A 48900-2024")</f>
        <v/>
      </c>
      <c r="T19">
        <f>HYPERLINK("https://klasma.github.io/Logging_1081/kartor/A 48900-2024 karta.png", "A 48900-2024")</f>
        <v/>
      </c>
      <c r="V19">
        <f>HYPERLINK("https://klasma.github.io/Logging_1081/klagomål/A 48900-2024 FSC-klagomål.docx", "A 48900-2024")</f>
        <v/>
      </c>
      <c r="W19">
        <f>HYPERLINK("https://klasma.github.io/Logging_1081/klagomålsmail/A 48900-2024 FSC-klagomål mail.docx", "A 48900-2024")</f>
        <v/>
      </c>
      <c r="X19">
        <f>HYPERLINK("https://klasma.github.io/Logging_1081/tillsyn/A 48900-2024 tillsynsbegäran.docx", "A 48900-2024")</f>
        <v/>
      </c>
      <c r="Y19">
        <f>HYPERLINK("https://klasma.github.io/Logging_1081/tillsynsmail/A 48900-2024 tillsynsbegäran mail.docx", "A 48900-2024")</f>
        <v/>
      </c>
    </row>
    <row r="20" ht="15" customHeight="1">
      <c r="A20" t="inlineStr">
        <is>
          <t>A 59134-2025</t>
        </is>
      </c>
      <c r="B20" s="1" t="n">
        <v>45988</v>
      </c>
      <c r="C20" s="1" t="n">
        <v>46196</v>
      </c>
      <c r="D20" t="inlineStr">
        <is>
          <t>BLEKINGE LÄN</t>
        </is>
      </c>
      <c r="E20" t="inlineStr">
        <is>
          <t>KARLSKRONA</t>
        </is>
      </c>
      <c r="G20" t="n">
        <v>0.4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Fällmossa
Guldlockmossa
Havstulpanlav
Platt fjädermossa</t>
        </is>
      </c>
      <c r="S20">
        <f>HYPERLINK("https://klasma.github.io/Logging_1080/artfynd/A 59134-2025 artfynd.xlsx", "A 59134-2025")</f>
        <v/>
      </c>
      <c r="T20">
        <f>HYPERLINK("https://klasma.github.io/Logging_1080/kartor/A 59134-2025 karta.png", "A 59134-2025")</f>
        <v/>
      </c>
      <c r="V20">
        <f>HYPERLINK("https://klasma.github.io/Logging_1080/klagomål/A 59134-2025 FSC-klagomål.docx", "A 59134-2025")</f>
        <v/>
      </c>
      <c r="W20">
        <f>HYPERLINK("https://klasma.github.io/Logging_1080/klagomålsmail/A 59134-2025 FSC-klagomål mail.docx", "A 59134-2025")</f>
        <v/>
      </c>
      <c r="X20">
        <f>HYPERLINK("https://klasma.github.io/Logging_1080/tillsyn/A 59134-2025 tillsynsbegäran.docx", "A 59134-2025")</f>
        <v/>
      </c>
      <c r="Y20">
        <f>HYPERLINK("https://klasma.github.io/Logging_1080/tillsynsmail/A 59134-2025 tillsynsbegäran mail.docx", "A 59134-2025")</f>
        <v/>
      </c>
    </row>
    <row r="21" ht="15" customHeight="1">
      <c r="A21" t="inlineStr">
        <is>
          <t>A 45017-2025</t>
        </is>
      </c>
      <c r="B21" s="1" t="n">
        <v>45918</v>
      </c>
      <c r="C21" s="1" t="n">
        <v>46196</v>
      </c>
      <c r="D21" t="inlineStr">
        <is>
          <t>BLEKINGE LÄN</t>
        </is>
      </c>
      <c r="E21" t="inlineStr">
        <is>
          <t>KARLSKRONA</t>
        </is>
      </c>
      <c r="G21" t="n">
        <v>3.7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Jungfrulin
Solvända
Större vattensalamander
Fläcknycklar</t>
        </is>
      </c>
      <c r="S21">
        <f>HYPERLINK("https://klasma.github.io/Logging_1080/artfynd/A 45017-2025 artfynd.xlsx", "A 45017-2025")</f>
        <v/>
      </c>
      <c r="T21">
        <f>HYPERLINK("https://klasma.github.io/Logging_1080/kartor/A 45017-2025 karta.png", "A 45017-2025")</f>
        <v/>
      </c>
      <c r="V21">
        <f>HYPERLINK("https://klasma.github.io/Logging_1080/klagomål/A 45017-2025 FSC-klagomål.docx", "A 45017-2025")</f>
        <v/>
      </c>
      <c r="W21">
        <f>HYPERLINK("https://klasma.github.io/Logging_1080/klagomålsmail/A 45017-2025 FSC-klagomål mail.docx", "A 45017-2025")</f>
        <v/>
      </c>
      <c r="X21">
        <f>HYPERLINK("https://klasma.github.io/Logging_1080/tillsyn/A 45017-2025 tillsynsbegäran.docx", "A 45017-2025")</f>
        <v/>
      </c>
      <c r="Y21">
        <f>HYPERLINK("https://klasma.github.io/Logging_1080/tillsynsmail/A 45017-2025 tillsynsbegäran mail.docx", "A 45017-2025")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46196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Igelkott
Nötkörvel
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46168-2021</t>
        </is>
      </c>
      <c r="B23" s="1" t="n">
        <v>44442</v>
      </c>
      <c r="C23" s="1" t="n">
        <v>46196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3.3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Krypfloka
Sjötåtel
Brunag
Blåsfliksmossa</t>
        </is>
      </c>
      <c r="S23">
        <f>HYPERLINK("https://klasma.github.io/Logging_1060/artfynd/A 46168-2021 artfynd.xlsx", "A 46168-2021")</f>
        <v/>
      </c>
      <c r="T23">
        <f>HYPERLINK("https://klasma.github.io/Logging_1060/kartor/A 46168-2021 karta.png", "A 46168-2021")</f>
        <v/>
      </c>
      <c r="V23">
        <f>HYPERLINK("https://klasma.github.io/Logging_1060/klagomål/A 46168-2021 FSC-klagomål.docx", "A 46168-2021")</f>
        <v/>
      </c>
      <c r="W23">
        <f>HYPERLINK("https://klasma.github.io/Logging_1060/klagomålsmail/A 46168-2021 FSC-klagomål mail.docx", "A 46168-2021")</f>
        <v/>
      </c>
      <c r="X23">
        <f>HYPERLINK("https://klasma.github.io/Logging_1060/tillsyn/A 46168-2021 tillsynsbegäran.docx", "A 46168-2021")</f>
        <v/>
      </c>
      <c r="Y23">
        <f>HYPERLINK("https://klasma.github.io/Logging_1060/tillsynsmail/A 46168-2021 tillsynsbegäran mail.docx", "A 46168-2021")</f>
        <v/>
      </c>
    </row>
    <row r="24" ht="15" customHeight="1">
      <c r="A24" t="inlineStr">
        <is>
          <t>A 29994-2025</t>
        </is>
      </c>
      <c r="B24" s="1" t="n">
        <v>45826</v>
      </c>
      <c r="C24" s="1" t="n">
        <v>46196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Slåttergubbe
Stortimjan
Jungfrulin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46196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Rödlånke
Hasselmus
Långbensgroda
Vanlig padda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30508-2022</t>
        </is>
      </c>
      <c r="B26" s="1" t="n">
        <v>44762</v>
      </c>
      <c r="C26" s="1" t="n">
        <v>46196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6.7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Puderfläck
Fällmossa
Rostfläck
Blåsippa</t>
        </is>
      </c>
      <c r="S26">
        <f>HYPERLINK("https://klasma.github.io/Logging_1081/artfynd/A 30508-2022 artfynd.xlsx", "A 30508-2022")</f>
        <v/>
      </c>
      <c r="T26">
        <f>HYPERLINK("https://klasma.github.io/Logging_1081/kartor/A 30508-2022 karta.png", "A 30508-2022")</f>
        <v/>
      </c>
      <c r="V26">
        <f>HYPERLINK("https://klasma.github.io/Logging_1081/klagomål/A 30508-2022 FSC-klagomål.docx", "A 30508-2022")</f>
        <v/>
      </c>
      <c r="W26">
        <f>HYPERLINK("https://klasma.github.io/Logging_1081/klagomålsmail/A 30508-2022 FSC-klagomål mail.docx", "A 30508-2022")</f>
        <v/>
      </c>
      <c r="X26">
        <f>HYPERLINK("https://klasma.github.io/Logging_1081/tillsyn/A 30508-2022 tillsynsbegäran.docx", "A 30508-2022")</f>
        <v/>
      </c>
      <c r="Y26">
        <f>HYPERLINK("https://klasma.github.io/Logging_1081/tillsynsmail/A 30508-2022 tillsynsbegäran mail.docx", "A 30508-2022")</f>
        <v/>
      </c>
    </row>
    <row r="27" ht="15" customHeight="1">
      <c r="A27" t="inlineStr">
        <is>
          <t>A 43789-2023</t>
        </is>
      </c>
      <c r="B27" s="1" t="n">
        <v>45187</v>
      </c>
      <c r="C27" s="1" t="n">
        <v>46196</v>
      </c>
      <c r="D27" t="inlineStr">
        <is>
          <t>BLEKINGE LÄN</t>
        </is>
      </c>
      <c r="E27" t="inlineStr">
        <is>
          <t>KARLSHAMN</t>
        </is>
      </c>
      <c r="G27" t="n">
        <v>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Gul dropplav
Hjälmbrosklav
Korallticka
Grå skärelav</t>
        </is>
      </c>
      <c r="S27">
        <f>HYPERLINK("https://klasma.github.io/Logging_1082/artfynd/A 43789-2023 artfynd.xlsx", "A 43789-2023")</f>
        <v/>
      </c>
      <c r="T27">
        <f>HYPERLINK("https://klasma.github.io/Logging_1082/kartor/A 43789-2023 karta.png", "A 43789-2023")</f>
        <v/>
      </c>
      <c r="V27">
        <f>HYPERLINK("https://klasma.github.io/Logging_1082/klagomål/A 43789-2023 FSC-klagomål.docx", "A 43789-2023")</f>
        <v/>
      </c>
      <c r="W27">
        <f>HYPERLINK("https://klasma.github.io/Logging_1082/klagomålsmail/A 43789-2023 FSC-klagomål mail.docx", "A 43789-2023")</f>
        <v/>
      </c>
      <c r="X27">
        <f>HYPERLINK("https://klasma.github.io/Logging_1082/tillsyn/A 43789-2023 tillsynsbegäran.docx", "A 43789-2023")</f>
        <v/>
      </c>
      <c r="Y27">
        <f>HYPERLINK("https://klasma.github.io/Logging_1082/tillsynsmail/A 43789-2023 tillsynsbegäran mail.docx", "A 43789-2023")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46196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46196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46196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46196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547-2026</t>
        </is>
      </c>
      <c r="B33" s="1" t="n">
        <v>46029</v>
      </c>
      <c r="C33" s="1" t="n">
        <v>46196</v>
      </c>
      <c r="D33" t="inlineStr">
        <is>
          <t>BLEKINGE LÄN</t>
        </is>
      </c>
      <c r="E33" t="inlineStr">
        <is>
          <t>OLOFSTRÖM</t>
        </is>
      </c>
      <c r="G33" t="n">
        <v>2.3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Småvänderot
Skogsbräsma
Revlummer</t>
        </is>
      </c>
      <c r="S33">
        <f>HYPERLINK("https://klasma.github.io/Logging_1060/artfynd/A 547-2026 artfynd.xlsx", "A 547-2026")</f>
        <v/>
      </c>
      <c r="T33">
        <f>HYPERLINK("https://klasma.github.io/Logging_1060/kartor/A 547-2026 karta.png", "A 547-2026")</f>
        <v/>
      </c>
      <c r="V33">
        <f>HYPERLINK("https://klasma.github.io/Logging_1060/klagomål/A 547-2026 FSC-klagomål.docx", "A 547-2026")</f>
        <v/>
      </c>
      <c r="W33">
        <f>HYPERLINK("https://klasma.github.io/Logging_1060/klagomålsmail/A 547-2026 FSC-klagomål mail.docx", "A 547-2026")</f>
        <v/>
      </c>
      <c r="X33">
        <f>HYPERLINK("https://klasma.github.io/Logging_1060/tillsyn/A 547-2026 tillsynsbegäran.docx", "A 547-2026")</f>
        <v/>
      </c>
      <c r="Y33">
        <f>HYPERLINK("https://klasma.github.io/Logging_1060/tillsynsmail/A 547-2026 tillsynsbegäran mail.docx", "A 547-2026")</f>
        <v/>
      </c>
    </row>
    <row r="34" ht="15" customHeight="1">
      <c r="A34" t="inlineStr">
        <is>
          <t>A 9449-2026</t>
        </is>
      </c>
      <c r="B34" s="1" t="n">
        <v>46071</v>
      </c>
      <c r="C34" s="1" t="n">
        <v>46196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37115-2021</t>
        </is>
      </c>
      <c r="B35" s="1" t="n">
        <v>44395</v>
      </c>
      <c r="C35" s="1" t="n">
        <v>46196</v>
      </c>
      <c r="D35" t="inlineStr">
        <is>
          <t>BLEKINGE LÄN</t>
        </is>
      </c>
      <c r="E35" t="inlineStr">
        <is>
          <t>KARLSHAMN</t>
        </is>
      </c>
      <c r="G35" t="n">
        <v>16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Hållav
Pulverädellav
Havstulpanlav</t>
        </is>
      </c>
      <c r="S35">
        <f>HYPERLINK("https://klasma.github.io/Logging_1082/artfynd/A 37115-2021 artfynd.xlsx", "A 37115-2021")</f>
        <v/>
      </c>
      <c r="T35">
        <f>HYPERLINK("https://klasma.github.io/Logging_1082/kartor/A 37115-2021 karta.png", "A 37115-2021")</f>
        <v/>
      </c>
      <c r="V35">
        <f>HYPERLINK("https://klasma.github.io/Logging_1082/klagomål/A 37115-2021 FSC-klagomål.docx", "A 37115-2021")</f>
        <v/>
      </c>
      <c r="W35">
        <f>HYPERLINK("https://klasma.github.io/Logging_1082/klagomålsmail/A 37115-2021 FSC-klagomål mail.docx", "A 37115-2021")</f>
        <v/>
      </c>
      <c r="X35">
        <f>HYPERLINK("https://klasma.github.io/Logging_1082/tillsyn/A 37115-2021 tillsynsbegäran.docx", "A 37115-2021")</f>
        <v/>
      </c>
      <c r="Y35">
        <f>HYPERLINK("https://klasma.github.io/Logging_1082/tillsynsmail/A 37115-2021 tillsynsbegäran mail.docx", "A 37115-2021")</f>
        <v/>
      </c>
    </row>
    <row r="36" ht="15" customHeight="1">
      <c r="A36" t="inlineStr">
        <is>
          <t>A 55925-2025</t>
        </is>
      </c>
      <c r="B36" s="1" t="n">
        <v>45973</v>
      </c>
      <c r="C36" s="1" t="n">
        <v>46196</v>
      </c>
      <c r="D36" t="inlineStr">
        <is>
          <t>BLEKINGE LÄN</t>
        </is>
      </c>
      <c r="E36" t="inlineStr">
        <is>
          <t>RONNEBY</t>
        </is>
      </c>
      <c r="G36" t="n">
        <v>6.4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Flikros
Ekoxe</t>
        </is>
      </c>
      <c r="S36">
        <f>HYPERLINK("https://klasma.github.io/Logging_1081/artfynd/A 55925-2025 artfynd.xlsx", "A 55925-2025")</f>
        <v/>
      </c>
      <c r="T36">
        <f>HYPERLINK("https://klasma.github.io/Logging_1081/kartor/A 55925-2025 karta.png", "A 55925-2025")</f>
        <v/>
      </c>
      <c r="V36">
        <f>HYPERLINK("https://klasma.github.io/Logging_1081/klagomål/A 55925-2025 FSC-klagomål.docx", "A 55925-2025")</f>
        <v/>
      </c>
      <c r="W36">
        <f>HYPERLINK("https://klasma.github.io/Logging_1081/klagomålsmail/A 55925-2025 FSC-klagomål mail.docx", "A 55925-2025")</f>
        <v/>
      </c>
      <c r="X36">
        <f>HYPERLINK("https://klasma.github.io/Logging_1081/tillsyn/A 55925-2025 tillsynsbegäran.docx", "A 55925-2025")</f>
        <v/>
      </c>
      <c r="Y36">
        <f>HYPERLINK("https://klasma.github.io/Logging_1081/tillsynsmail/A 55925-2025 tillsynsbegäran mail.docx", "A 55925-2025")</f>
        <v/>
      </c>
    </row>
    <row r="37" ht="15" customHeight="1">
      <c r="A37" t="inlineStr">
        <is>
          <t>A 26616-2026</t>
        </is>
      </c>
      <c r="B37" s="1" t="n">
        <v>46184</v>
      </c>
      <c r="C37" s="1" t="n">
        <v>46196</v>
      </c>
      <c r="D37" t="inlineStr">
        <is>
          <t>BLEKINGE LÄN</t>
        </is>
      </c>
      <c r="E37" t="inlineStr">
        <is>
          <t>KARLSHAMN</t>
        </is>
      </c>
      <c r="G37" t="n">
        <v>4.1</v>
      </c>
      <c r="H37" t="n">
        <v>0</v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Skogsalm
Skogsbräsma
Trädporella</t>
        </is>
      </c>
      <c r="S37">
        <f>HYPERLINK("https://klasma.github.io/Logging_1082/artfynd/A 26616-2026 artfynd.xlsx", "A 26616-2026")</f>
        <v/>
      </c>
      <c r="T37">
        <f>HYPERLINK("https://klasma.github.io/Logging_1082/kartor/A 26616-2026 karta.png", "A 26616-2026")</f>
        <v/>
      </c>
      <c r="V37">
        <f>HYPERLINK("https://klasma.github.io/Logging_1082/klagomål/A 26616-2026 FSC-klagomål.docx", "A 26616-2026")</f>
        <v/>
      </c>
      <c r="W37">
        <f>HYPERLINK("https://klasma.github.io/Logging_1082/klagomålsmail/A 26616-2026 FSC-klagomål mail.docx", "A 26616-2026")</f>
        <v/>
      </c>
      <c r="X37">
        <f>HYPERLINK("https://klasma.github.io/Logging_1082/tillsyn/A 26616-2026 tillsynsbegäran.docx", "A 26616-2026")</f>
        <v/>
      </c>
      <c r="Y37">
        <f>HYPERLINK("https://klasma.github.io/Logging_1082/tillsynsmail/A 26616-2026 tillsynsbegäran mail.docx", "A 26616-2026")</f>
        <v/>
      </c>
    </row>
    <row r="38" ht="15" customHeight="1">
      <c r="A38" t="inlineStr">
        <is>
          <t>A 33863-2023</t>
        </is>
      </c>
      <c r="B38" s="1" t="n">
        <v>45133</v>
      </c>
      <c r="C38" s="1" t="n">
        <v>46196</v>
      </c>
      <c r="D38" t="inlineStr">
        <is>
          <t>BLEKINGE LÄN</t>
        </is>
      </c>
      <c r="E38" t="inlineStr">
        <is>
          <t>OLOFSTRÖM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Backruta
Grönvit nattviol</t>
        </is>
      </c>
      <c r="S38">
        <f>HYPERLINK("https://klasma.github.io/Logging_1060/artfynd/A 33863-2023 artfynd.xlsx", "A 33863-2023")</f>
        <v/>
      </c>
      <c r="T38">
        <f>HYPERLINK("https://klasma.github.io/Logging_1060/kartor/A 33863-2023 karta.png", "A 33863-2023")</f>
        <v/>
      </c>
      <c r="V38">
        <f>HYPERLINK("https://klasma.github.io/Logging_1060/klagomål/A 33863-2023 FSC-klagomål.docx", "A 33863-2023")</f>
        <v/>
      </c>
      <c r="W38">
        <f>HYPERLINK("https://klasma.github.io/Logging_1060/klagomålsmail/A 33863-2023 FSC-klagomål mail.docx", "A 33863-2023")</f>
        <v/>
      </c>
      <c r="X38">
        <f>HYPERLINK("https://klasma.github.io/Logging_1060/tillsyn/A 33863-2023 tillsynsbegäran.docx", "A 33863-2023")</f>
        <v/>
      </c>
      <c r="Y38">
        <f>HYPERLINK("https://klasma.github.io/Logging_1060/tillsynsmail/A 33863-2023 tillsynsbegäran mail.docx", "A 33863-2023")</f>
        <v/>
      </c>
    </row>
    <row r="39" ht="15" customHeight="1">
      <c r="A39" t="inlineStr">
        <is>
          <t>A 57229-2024</t>
        </is>
      </c>
      <c r="B39" s="1" t="n">
        <v>45629</v>
      </c>
      <c r="C39" s="1" t="n">
        <v>46196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Lunglav
Platt fjädermossa</t>
        </is>
      </c>
      <c r="S39">
        <f>HYPERLINK("https://klasma.github.io/Logging_1060/artfynd/A 57229-2024 artfynd.xlsx", "A 57229-2024")</f>
        <v/>
      </c>
      <c r="T39">
        <f>HYPERLINK("https://klasma.github.io/Logging_1060/kartor/A 57229-2024 karta.png", "A 57229-2024")</f>
        <v/>
      </c>
      <c r="V39">
        <f>HYPERLINK("https://klasma.github.io/Logging_1060/klagomål/A 57229-2024 FSC-klagomål.docx", "A 57229-2024")</f>
        <v/>
      </c>
      <c r="W39">
        <f>HYPERLINK("https://klasma.github.io/Logging_1060/klagomålsmail/A 57229-2024 FSC-klagomål mail.docx", "A 57229-2024")</f>
        <v/>
      </c>
      <c r="X39">
        <f>HYPERLINK("https://klasma.github.io/Logging_1060/tillsyn/A 57229-2024 tillsynsbegäran.docx", "A 57229-2024")</f>
        <v/>
      </c>
      <c r="Y39">
        <f>HYPERLINK("https://klasma.github.io/Logging_1060/tillsynsmail/A 57229-2024 tillsynsbegäran mail.docx", "A 57229-2024")</f>
        <v/>
      </c>
    </row>
    <row r="40" ht="15" customHeight="1">
      <c r="A40" t="inlineStr">
        <is>
          <t>A 62747-2023</t>
        </is>
      </c>
      <c r="B40" s="1" t="n">
        <v>45268</v>
      </c>
      <c r="C40" s="1" t="n">
        <v>46196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8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Igelkott
Kungsfiskare
Utter</t>
        </is>
      </c>
      <c r="S40">
        <f>HYPERLINK("https://klasma.github.io/Logging_1060/artfynd/A 62747-2023 artfynd.xlsx", "A 62747-2023")</f>
        <v/>
      </c>
      <c r="T40">
        <f>HYPERLINK("https://klasma.github.io/Logging_1060/kartor/A 62747-2023 karta.png", "A 62747-2023")</f>
        <v/>
      </c>
      <c r="V40">
        <f>HYPERLINK("https://klasma.github.io/Logging_1060/klagomål/A 62747-2023 FSC-klagomål.docx", "A 62747-2023")</f>
        <v/>
      </c>
      <c r="W40">
        <f>HYPERLINK("https://klasma.github.io/Logging_1060/klagomålsmail/A 62747-2023 FSC-klagomål mail.docx", "A 62747-2023")</f>
        <v/>
      </c>
      <c r="X40">
        <f>HYPERLINK("https://klasma.github.io/Logging_1060/tillsyn/A 62747-2023 tillsynsbegäran.docx", "A 62747-2023")</f>
        <v/>
      </c>
      <c r="Y40">
        <f>HYPERLINK("https://klasma.github.io/Logging_1060/tillsynsmail/A 62747-2023 tillsynsbegäran mail.docx", "A 62747-2023")</f>
        <v/>
      </c>
    </row>
    <row r="41" ht="15" customHeight="1">
      <c r="A41" t="inlineStr">
        <is>
          <t>A 5556-2023</t>
        </is>
      </c>
      <c r="B41" s="1" t="n">
        <v>44960</v>
      </c>
      <c r="C41" s="1" t="n">
        <v>46196</v>
      </c>
      <c r="D41" t="inlineStr">
        <is>
          <t>BLEKINGE LÄN</t>
        </is>
      </c>
      <c r="E41" t="inlineStr">
        <is>
          <t>KARLSKRONA</t>
        </is>
      </c>
      <c r="G41" t="n">
        <v>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Rödlånke
Blåmossa
Långbensgroda</t>
        </is>
      </c>
      <c r="S41">
        <f>HYPERLINK("https://klasma.github.io/Logging_1080/artfynd/A 5556-2023 artfynd.xlsx", "A 5556-2023")</f>
        <v/>
      </c>
      <c r="T41">
        <f>HYPERLINK("https://klasma.github.io/Logging_1080/kartor/A 5556-2023 karta.png", "A 5556-2023")</f>
        <v/>
      </c>
      <c r="V41">
        <f>HYPERLINK("https://klasma.github.io/Logging_1080/klagomål/A 5556-2023 FSC-klagomål.docx", "A 5556-2023")</f>
        <v/>
      </c>
      <c r="W41">
        <f>HYPERLINK("https://klasma.github.io/Logging_1080/klagomålsmail/A 5556-2023 FSC-klagomål mail.docx", "A 5556-2023")</f>
        <v/>
      </c>
      <c r="X41">
        <f>HYPERLINK("https://klasma.github.io/Logging_1080/tillsyn/A 5556-2023 tillsynsbegäran.docx", "A 5556-2023")</f>
        <v/>
      </c>
      <c r="Y41">
        <f>HYPERLINK("https://klasma.github.io/Logging_1080/tillsynsmail/A 5556-2023 tillsynsbegäran mail.docx", "A 5556-2023")</f>
        <v/>
      </c>
    </row>
    <row r="42" ht="15" customHeight="1">
      <c r="A42" t="inlineStr">
        <is>
          <t>A 39568-2021</t>
        </is>
      </c>
      <c r="B42" s="1" t="n">
        <v>44416</v>
      </c>
      <c r="C42" s="1" t="n">
        <v>46196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Småvänderot
Gullpudra
Stenporella</t>
        </is>
      </c>
      <c r="S42">
        <f>HYPERLINK("https://klasma.github.io/Logging_1060/artfynd/A 39568-2021 artfynd.xlsx", "A 39568-2021")</f>
        <v/>
      </c>
      <c r="T42">
        <f>HYPERLINK("https://klasma.github.io/Logging_1060/kartor/A 39568-2021 karta.png", "A 39568-2021")</f>
        <v/>
      </c>
      <c r="V42">
        <f>HYPERLINK("https://klasma.github.io/Logging_1060/klagomål/A 39568-2021 FSC-klagomål.docx", "A 39568-2021")</f>
        <v/>
      </c>
      <c r="W42">
        <f>HYPERLINK("https://klasma.github.io/Logging_1060/klagomålsmail/A 39568-2021 FSC-klagomål mail.docx", "A 39568-2021")</f>
        <v/>
      </c>
      <c r="X42">
        <f>HYPERLINK("https://klasma.github.io/Logging_1060/tillsyn/A 39568-2021 tillsynsbegäran.docx", "A 39568-2021")</f>
        <v/>
      </c>
      <c r="Y42">
        <f>HYPERLINK("https://klasma.github.io/Logging_1060/tillsynsmail/A 39568-2021 tillsynsbegäran mail.docx", "A 39568-2021")</f>
        <v/>
      </c>
    </row>
    <row r="43" ht="15" customHeight="1">
      <c r="A43" t="inlineStr">
        <is>
          <t>A 10096-2022</t>
        </is>
      </c>
      <c r="B43" s="1" t="n">
        <v>44621</v>
      </c>
      <c r="C43" s="1" t="n">
        <v>46196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4.8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Stare
Ädellav
Gulpudrad spiklav</t>
        </is>
      </c>
      <c r="S43">
        <f>HYPERLINK("https://klasma.github.io/Logging_1082/artfynd/A 10096-2022 artfynd.xlsx", "A 10096-2022")</f>
        <v/>
      </c>
      <c r="T43">
        <f>HYPERLINK("https://klasma.github.io/Logging_1082/kartor/A 10096-2022 karta.png", "A 10096-2022")</f>
        <v/>
      </c>
      <c r="V43">
        <f>HYPERLINK("https://klasma.github.io/Logging_1082/klagomål/A 10096-2022 FSC-klagomål.docx", "A 10096-2022")</f>
        <v/>
      </c>
      <c r="W43">
        <f>HYPERLINK("https://klasma.github.io/Logging_1082/klagomålsmail/A 10096-2022 FSC-klagomål mail.docx", "A 10096-2022")</f>
        <v/>
      </c>
      <c r="X43">
        <f>HYPERLINK("https://klasma.github.io/Logging_1082/tillsyn/A 10096-2022 tillsynsbegäran.docx", "A 10096-2022")</f>
        <v/>
      </c>
      <c r="Y43">
        <f>HYPERLINK("https://klasma.github.io/Logging_1082/tillsynsmail/A 10096-2022 tillsynsbegäran mail.docx", "A 10096-2022")</f>
        <v/>
      </c>
      <c r="Z43">
        <f>HYPERLINK("https://klasma.github.io/Logging_1082/fåglar/A 10096-2022 prioriterade fågelarter.docx", "A 10096-2022")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46196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10274-2022</t>
        </is>
      </c>
      <c r="B45" s="1" t="n">
        <v>44622</v>
      </c>
      <c r="C45" s="1" t="n">
        <v>46196</v>
      </c>
      <c r="D45" t="inlineStr">
        <is>
          <t>BLEKINGE LÄN</t>
        </is>
      </c>
      <c r="E45" t="inlineStr">
        <is>
          <t>SÖLVESBORG</t>
        </is>
      </c>
      <c r="G45" t="n">
        <v>0.4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HYPERLINK("https://klasma.github.io/Logging_1083/artfynd/A 10274-2022 artfynd.xlsx", "A 10274-2022")</f>
        <v/>
      </c>
      <c r="T45">
        <f>HYPERLINK("https://klasma.github.io/Logging_1083/kartor/A 10274-2022 karta.png", "A 10274-2022")</f>
        <v/>
      </c>
      <c r="V45">
        <f>HYPERLINK("https://klasma.github.io/Logging_1083/klagomål/A 10274-2022 FSC-klagomål.docx", "A 10274-2022")</f>
        <v/>
      </c>
      <c r="W45">
        <f>HYPERLINK("https://klasma.github.io/Logging_1083/klagomålsmail/A 10274-2022 FSC-klagomål mail.docx", "A 10274-2022")</f>
        <v/>
      </c>
      <c r="X45">
        <f>HYPERLINK("https://klasma.github.io/Logging_1083/tillsyn/A 10274-2022 tillsynsbegäran.docx", "A 10274-2022")</f>
        <v/>
      </c>
      <c r="Y45">
        <f>HYPERLINK("https://klasma.github.io/Logging_1083/tillsynsmail/A 10274-2022 tillsynsbegäran mail.docx", "A 10274-2022")</f>
        <v/>
      </c>
    </row>
    <row r="46" ht="15" customHeight="1">
      <c r="A46" t="inlineStr">
        <is>
          <t>A 32004-2023</t>
        </is>
      </c>
      <c r="B46" s="1" t="n">
        <v>45107</v>
      </c>
      <c r="C46" s="1" t="n">
        <v>46196</v>
      </c>
      <c r="D46" t="inlineStr">
        <is>
          <t>BLEKINGE LÄN</t>
        </is>
      </c>
      <c r="E46" t="inlineStr">
        <is>
          <t>OLOFSTRÖM</t>
        </is>
      </c>
      <c r="G46" t="n">
        <v>2.3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Murgröna
Blåsippa</t>
        </is>
      </c>
      <c r="S46">
        <f>HYPERLINK("https://klasma.github.io/Logging_1060/artfynd/A 32004-2023 artfynd.xlsx", "A 32004-2023")</f>
        <v/>
      </c>
      <c r="T46">
        <f>HYPERLINK("https://klasma.github.io/Logging_1060/kartor/A 32004-2023 karta.png", "A 32004-2023")</f>
        <v/>
      </c>
      <c r="V46">
        <f>HYPERLINK("https://klasma.github.io/Logging_1060/klagomål/A 32004-2023 FSC-klagomål.docx", "A 32004-2023")</f>
        <v/>
      </c>
      <c r="W46">
        <f>HYPERLINK("https://klasma.github.io/Logging_1060/klagomålsmail/A 32004-2023 FSC-klagomål mail.docx", "A 32004-2023")</f>
        <v/>
      </c>
      <c r="X46">
        <f>HYPERLINK("https://klasma.github.io/Logging_1060/tillsyn/A 32004-2023 tillsynsbegäran.docx", "A 32004-2023")</f>
        <v/>
      </c>
      <c r="Y46">
        <f>HYPERLINK("https://klasma.github.io/Logging_1060/tillsynsmail/A 32004-2023 tillsynsbegäran mail.docx", "A 32004-2023")</f>
        <v/>
      </c>
    </row>
    <row r="47" ht="15" customHeight="1">
      <c r="A47" t="inlineStr">
        <is>
          <t>A 46918-2024</t>
        </is>
      </c>
      <c r="B47" s="1" t="n">
        <v>45583</v>
      </c>
      <c r="C47" s="1" t="n">
        <v>46196</v>
      </c>
      <c r="D47" t="inlineStr">
        <is>
          <t>BLEKINGE LÄN</t>
        </is>
      </c>
      <c r="E47" t="inlineStr">
        <is>
          <t>OLOFSTRÖM</t>
        </is>
      </c>
      <c r="G47" t="n">
        <v>16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Fyrflikig jordstjärna
Kamjordstjärna</t>
        </is>
      </c>
      <c r="S47">
        <f>HYPERLINK("https://klasma.github.io/Logging_1060/artfynd/A 46918-2024 artfynd.xlsx", "A 46918-2024")</f>
        <v/>
      </c>
      <c r="T47">
        <f>HYPERLINK("https://klasma.github.io/Logging_1060/kartor/A 46918-2024 karta.png", "A 46918-2024")</f>
        <v/>
      </c>
      <c r="V47">
        <f>HYPERLINK("https://klasma.github.io/Logging_1060/klagomål/A 46918-2024 FSC-klagomål.docx", "A 46918-2024")</f>
        <v/>
      </c>
      <c r="W47">
        <f>HYPERLINK("https://klasma.github.io/Logging_1060/klagomålsmail/A 46918-2024 FSC-klagomål mail.docx", "A 46918-2024")</f>
        <v/>
      </c>
      <c r="X47">
        <f>HYPERLINK("https://klasma.github.io/Logging_1060/tillsyn/A 46918-2024 tillsynsbegäran.docx", "A 46918-2024")</f>
        <v/>
      </c>
      <c r="Y47">
        <f>HYPERLINK("https://klasma.github.io/Logging_1060/tillsynsmail/A 46918-2024 tillsynsbegäran mail.docx", "A 46918-2024")</f>
        <v/>
      </c>
    </row>
    <row r="48" ht="15" customHeight="1">
      <c r="A48" t="inlineStr">
        <is>
          <t>A 38918-2025</t>
        </is>
      </c>
      <c r="B48" s="1" t="n">
        <v>45884</v>
      </c>
      <c r="C48" s="1" t="n">
        <v>46196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Pudrad kärrtrollslända</t>
        </is>
      </c>
      <c r="S48">
        <f>HYPERLINK("https://klasma.github.io/Logging_1081/artfynd/A 38918-2025 artfynd.xlsx", "A 38918-2025")</f>
        <v/>
      </c>
      <c r="T48">
        <f>HYPERLINK("https://klasma.github.io/Logging_1081/kartor/A 38918-2025 karta.png", "A 38918-2025")</f>
        <v/>
      </c>
      <c r="V48">
        <f>HYPERLINK("https://klasma.github.io/Logging_1081/klagomål/A 38918-2025 FSC-klagomål.docx", "A 38918-2025")</f>
        <v/>
      </c>
      <c r="W48">
        <f>HYPERLINK("https://klasma.github.io/Logging_1081/klagomålsmail/A 38918-2025 FSC-klagomål mail.docx", "A 38918-2025")</f>
        <v/>
      </c>
      <c r="X48">
        <f>HYPERLINK("https://klasma.github.io/Logging_1081/tillsyn/A 38918-2025 tillsynsbegäran.docx", "A 38918-2025")</f>
        <v/>
      </c>
      <c r="Y48">
        <f>HYPERLINK("https://klasma.github.io/Logging_1081/tillsynsmail/A 38918-2025 tillsynsbegäran mail.docx", "A 38918-2025")</f>
        <v/>
      </c>
    </row>
    <row r="49" ht="15" customHeight="1">
      <c r="A49" t="inlineStr">
        <is>
          <t>A 42957-2025</t>
        </is>
      </c>
      <c r="B49" s="1" t="n">
        <v>45909</v>
      </c>
      <c r="C49" s="1" t="n">
        <v>46196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Mindre bastardsvärmare
Svinrot</t>
        </is>
      </c>
      <c r="S49">
        <f>HYPERLINK("https://klasma.github.io/Logging_1082/artfynd/A 42957-2025 artfynd.xlsx", "A 42957-2025")</f>
        <v/>
      </c>
      <c r="T49">
        <f>HYPERLINK("https://klasma.github.io/Logging_1082/kartor/A 42957-2025 karta.png", "A 42957-2025")</f>
        <v/>
      </c>
      <c r="V49">
        <f>HYPERLINK("https://klasma.github.io/Logging_1082/klagomål/A 42957-2025 FSC-klagomål.docx", "A 42957-2025")</f>
        <v/>
      </c>
      <c r="W49">
        <f>HYPERLINK("https://klasma.github.io/Logging_1082/klagomålsmail/A 42957-2025 FSC-klagomål mail.docx", "A 42957-2025")</f>
        <v/>
      </c>
      <c r="X49">
        <f>HYPERLINK("https://klasma.github.io/Logging_1082/tillsyn/A 42957-2025 tillsynsbegäran.docx", "A 42957-2025")</f>
        <v/>
      </c>
      <c r="Y49">
        <f>HYPERLINK("https://klasma.github.io/Logging_1082/tillsynsmail/A 42957-2025 tillsynsbegäran mail.docx", "A 42957-2025")</f>
        <v/>
      </c>
    </row>
    <row r="50" ht="15" customHeight="1">
      <c r="A50" t="inlineStr">
        <is>
          <t>A 41421-2025</t>
        </is>
      </c>
      <c r="B50" s="1" t="n">
        <v>45901</v>
      </c>
      <c r="C50" s="1" t="n">
        <v>46196</v>
      </c>
      <c r="D50" t="inlineStr">
        <is>
          <t>BLEKINGE LÄN</t>
        </is>
      </c>
      <c r="E50" t="inlineStr">
        <is>
          <t>KARLSKRONA</t>
        </is>
      </c>
      <c r="F50" t="inlineStr">
        <is>
          <t>Kommuner</t>
        </is>
      </c>
      <c r="G50" t="n">
        <v>4.2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Sydlig sotticka
Ekoxe</t>
        </is>
      </c>
      <c r="S50">
        <f>HYPERLINK("https://klasma.github.io/Logging_1080/artfynd/A 41421-2025 artfynd.xlsx", "A 41421-2025")</f>
        <v/>
      </c>
      <c r="T50">
        <f>HYPERLINK("https://klasma.github.io/Logging_1080/kartor/A 41421-2025 karta.png", "A 41421-2025")</f>
        <v/>
      </c>
      <c r="V50">
        <f>HYPERLINK("https://klasma.github.io/Logging_1080/klagomål/A 41421-2025 FSC-klagomål.docx", "A 41421-2025")</f>
        <v/>
      </c>
      <c r="W50">
        <f>HYPERLINK("https://klasma.github.io/Logging_1080/klagomålsmail/A 41421-2025 FSC-klagomål mail.docx", "A 41421-2025")</f>
        <v/>
      </c>
      <c r="X50">
        <f>HYPERLINK("https://klasma.github.io/Logging_1080/tillsyn/A 41421-2025 tillsynsbegäran.docx", "A 41421-2025")</f>
        <v/>
      </c>
      <c r="Y50">
        <f>HYPERLINK("https://klasma.github.io/Logging_1080/tillsynsmail/A 41421-2025 tillsynsbegäran mail.docx", "A 41421-2025")</f>
        <v/>
      </c>
    </row>
    <row r="51" ht="15" customHeight="1">
      <c r="A51" t="inlineStr">
        <is>
          <t>A 49941-2025</t>
        </is>
      </c>
      <c r="B51" s="1" t="n">
        <v>45940</v>
      </c>
      <c r="C51" s="1" t="n">
        <v>46196</v>
      </c>
      <c r="D51" t="inlineStr">
        <is>
          <t>BLEKINGE LÄN</t>
        </is>
      </c>
      <c r="E51" t="inlineStr">
        <is>
          <t>OLOFSTRÖM</t>
        </is>
      </c>
      <c r="G51" t="n">
        <v>6.5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Västlig hakmossa
Revlummer</t>
        </is>
      </c>
      <c r="S51">
        <f>HYPERLINK("https://klasma.github.io/Logging_1060/artfynd/A 49941-2025 artfynd.xlsx", "A 49941-2025")</f>
        <v/>
      </c>
      <c r="T51">
        <f>HYPERLINK("https://klasma.github.io/Logging_1060/kartor/A 49941-2025 karta.png", "A 49941-2025")</f>
        <v/>
      </c>
      <c r="V51">
        <f>HYPERLINK("https://klasma.github.io/Logging_1060/klagomål/A 49941-2025 FSC-klagomål.docx", "A 49941-2025")</f>
        <v/>
      </c>
      <c r="W51">
        <f>HYPERLINK("https://klasma.github.io/Logging_1060/klagomålsmail/A 49941-2025 FSC-klagomål mail.docx", "A 49941-2025")</f>
        <v/>
      </c>
      <c r="X51">
        <f>HYPERLINK("https://klasma.github.io/Logging_1060/tillsyn/A 49941-2025 tillsynsbegäran.docx", "A 49941-2025")</f>
        <v/>
      </c>
      <c r="Y51">
        <f>HYPERLINK("https://klasma.github.io/Logging_1060/tillsynsmail/A 49941-2025 tillsynsbegäran mail.docx", "A 49941-2025")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46196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Stortimjan
Flikros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59891-2024</t>
        </is>
      </c>
      <c r="B53" s="1" t="n">
        <v>45641</v>
      </c>
      <c r="C53" s="1" t="n">
        <v>46196</v>
      </c>
      <c r="D53" t="inlineStr">
        <is>
          <t>BLEKINGE LÄN</t>
        </is>
      </c>
      <c r="E53" t="inlineStr">
        <is>
          <t>OLOFSTRÖM</t>
        </is>
      </c>
      <c r="G53" t="n">
        <v>4.3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Sjötåtel
Revlummer</t>
        </is>
      </c>
      <c r="S53">
        <f>HYPERLINK("https://klasma.github.io/Logging_1060/artfynd/A 59891-2024 artfynd.xlsx", "A 59891-2024")</f>
        <v/>
      </c>
      <c r="T53">
        <f>HYPERLINK("https://klasma.github.io/Logging_1060/kartor/A 59891-2024 karta.png", "A 59891-2024")</f>
        <v/>
      </c>
      <c r="V53">
        <f>HYPERLINK("https://klasma.github.io/Logging_1060/klagomål/A 59891-2024 FSC-klagomål.docx", "A 59891-2024")</f>
        <v/>
      </c>
      <c r="W53">
        <f>HYPERLINK("https://klasma.github.io/Logging_1060/klagomålsmail/A 59891-2024 FSC-klagomål mail.docx", "A 59891-2024")</f>
        <v/>
      </c>
      <c r="X53">
        <f>HYPERLINK("https://klasma.github.io/Logging_1060/tillsyn/A 59891-2024 tillsynsbegäran.docx", "A 59891-2024")</f>
        <v/>
      </c>
      <c r="Y53">
        <f>HYPERLINK("https://klasma.github.io/Logging_1060/tillsynsmail/A 59891-2024 tillsynsbegäran mail.docx", "A 59891-2024")</f>
        <v/>
      </c>
    </row>
    <row r="54" ht="15" customHeight="1">
      <c r="A54" t="inlineStr">
        <is>
          <t>A 14625-2022</t>
        </is>
      </c>
      <c r="B54" s="1" t="n">
        <v>44655</v>
      </c>
      <c r="C54" s="1" t="n">
        <v>46196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HYPERLINK("https://klasma.github.io/Logging_1081/artfynd/A 14625-2022 artfynd.xlsx", "A 14625-2022")</f>
        <v/>
      </c>
      <c r="T54">
        <f>HYPERLINK("https://klasma.github.io/Logging_1081/kartor/A 14625-2022 karta.png", "A 14625-2022")</f>
        <v/>
      </c>
      <c r="V54">
        <f>HYPERLINK("https://klasma.github.io/Logging_1081/klagomål/A 14625-2022 FSC-klagomål.docx", "A 14625-2022")</f>
        <v/>
      </c>
      <c r="W54">
        <f>HYPERLINK("https://klasma.github.io/Logging_1081/klagomålsmail/A 14625-2022 FSC-klagomål mail.docx", "A 14625-2022")</f>
        <v/>
      </c>
      <c r="X54">
        <f>HYPERLINK("https://klasma.github.io/Logging_1081/tillsyn/A 14625-2022 tillsynsbegäran.docx", "A 14625-2022")</f>
        <v/>
      </c>
      <c r="Y54">
        <f>HYPERLINK("https://klasma.github.io/Logging_1081/tillsynsmail/A 14625-2022 tillsynsbegäran mail.docx", "A 14625-2022")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46196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Skogsalm
Sankt pers nycklar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60489-2025</t>
        </is>
      </c>
      <c r="B56" s="1" t="n">
        <v>45995</v>
      </c>
      <c r="C56" s="1" t="n">
        <v>46196</v>
      </c>
      <c r="D56" t="inlineStr">
        <is>
          <t>BLEKINGE LÄN</t>
        </is>
      </c>
      <c r="E56" t="inlineStr">
        <is>
          <t>KARLSKRONA</t>
        </is>
      </c>
      <c r="G56" t="n">
        <v>18.3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Hållav
Sårläka</t>
        </is>
      </c>
      <c r="S56">
        <f>HYPERLINK("https://klasma.github.io/Logging_1080/artfynd/A 60489-2025 artfynd.xlsx", "A 60489-2025")</f>
        <v/>
      </c>
      <c r="T56">
        <f>HYPERLINK("https://klasma.github.io/Logging_1080/kartor/A 60489-2025 karta.png", "A 60489-2025")</f>
        <v/>
      </c>
      <c r="V56">
        <f>HYPERLINK("https://klasma.github.io/Logging_1080/klagomål/A 60489-2025 FSC-klagomål.docx", "A 60489-2025")</f>
        <v/>
      </c>
      <c r="W56">
        <f>HYPERLINK("https://klasma.github.io/Logging_1080/klagomålsmail/A 60489-2025 FSC-klagomål mail.docx", "A 60489-2025")</f>
        <v/>
      </c>
      <c r="X56">
        <f>HYPERLINK("https://klasma.github.io/Logging_1080/tillsyn/A 60489-2025 tillsynsbegäran.docx", "A 60489-2025")</f>
        <v/>
      </c>
      <c r="Y56">
        <f>HYPERLINK("https://klasma.github.io/Logging_1080/tillsynsmail/A 60489-2025 tillsynsbegäran mail.docx", "A 60489-2025")</f>
        <v/>
      </c>
    </row>
    <row r="57" ht="15" customHeight="1">
      <c r="A57" t="inlineStr">
        <is>
          <t>A 27307-2026</t>
        </is>
      </c>
      <c r="B57" s="1" t="n">
        <v>46188</v>
      </c>
      <c r="C57" s="1" t="n">
        <v>46196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Ekskinn
Noshornsoxe</t>
        </is>
      </c>
      <c r="S57">
        <f>HYPERLINK("https://klasma.github.io/Logging_1081/artfynd/A 27307-2026 artfynd.xlsx", "A 27307-2026")</f>
        <v/>
      </c>
      <c r="T57">
        <f>HYPERLINK("https://klasma.github.io/Logging_1081/kartor/A 27307-2026 karta.png", "A 27307-2026")</f>
        <v/>
      </c>
      <c r="V57">
        <f>HYPERLINK("https://klasma.github.io/Logging_1081/klagomål/A 27307-2026 FSC-klagomål.docx", "A 27307-2026")</f>
        <v/>
      </c>
      <c r="W57">
        <f>HYPERLINK("https://klasma.github.io/Logging_1081/klagomålsmail/A 27307-2026 FSC-klagomål mail.docx", "A 27307-2026")</f>
        <v/>
      </c>
      <c r="X57">
        <f>HYPERLINK("https://klasma.github.io/Logging_1081/tillsyn/A 27307-2026 tillsynsbegäran.docx", "A 27307-2026")</f>
        <v/>
      </c>
      <c r="Y57">
        <f>HYPERLINK("https://klasma.github.io/Logging_1081/tillsynsmail/A 27307-2026 tillsynsbegäran mail.docx", "A 27307-2026")</f>
        <v/>
      </c>
    </row>
    <row r="58" ht="15" customHeight="1">
      <c r="A58" t="inlineStr">
        <is>
          <t>A 47800-2024</t>
        </is>
      </c>
      <c r="B58" s="1" t="n">
        <v>45588</v>
      </c>
      <c r="C58" s="1" t="n">
        <v>46196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5.8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Grå taggsvamp
Tjockfotad fingersvamp</t>
        </is>
      </c>
      <c r="S58">
        <f>HYPERLINK("https://klasma.github.io/Logging_1081/artfynd/A 47800-2024 artfynd.xlsx", "A 47800-2024")</f>
        <v/>
      </c>
      <c r="T58">
        <f>HYPERLINK("https://klasma.github.io/Logging_1081/kartor/A 47800-2024 karta.png", "A 47800-2024")</f>
        <v/>
      </c>
      <c r="V58">
        <f>HYPERLINK("https://klasma.github.io/Logging_1081/klagomål/A 47800-2024 FSC-klagomål.docx", "A 47800-2024")</f>
        <v/>
      </c>
      <c r="W58">
        <f>HYPERLINK("https://klasma.github.io/Logging_1081/klagomålsmail/A 47800-2024 FSC-klagomål mail.docx", "A 47800-2024")</f>
        <v/>
      </c>
      <c r="X58">
        <f>HYPERLINK("https://klasma.github.io/Logging_1081/tillsyn/A 47800-2024 tillsynsbegäran.docx", "A 47800-2024")</f>
        <v/>
      </c>
      <c r="Y58">
        <f>HYPERLINK("https://klasma.github.io/Logging_1081/tillsynsmail/A 47800-2024 tillsynsbegäran mail.docx", "A 47800-2024")</f>
        <v/>
      </c>
    </row>
    <row r="59" ht="15" customHeight="1">
      <c r="A59" t="inlineStr">
        <is>
          <t>A 25455-2023</t>
        </is>
      </c>
      <c r="B59" s="1" t="n">
        <v>45089</v>
      </c>
      <c r="C59" s="1" t="n">
        <v>46196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Mindre bastardsvärmare
Slåtterfibbla</t>
        </is>
      </c>
      <c r="S59">
        <f>HYPERLINK("https://klasma.github.io/Logging_1080/artfynd/A 25455-2023 artfynd.xlsx", "A 25455-2023")</f>
        <v/>
      </c>
      <c r="T59">
        <f>HYPERLINK("https://klasma.github.io/Logging_1080/kartor/A 25455-2023 karta.png", "A 25455-2023")</f>
        <v/>
      </c>
      <c r="V59">
        <f>HYPERLINK("https://klasma.github.io/Logging_1080/klagomål/A 25455-2023 FSC-klagomål.docx", "A 25455-2023")</f>
        <v/>
      </c>
      <c r="W59">
        <f>HYPERLINK("https://klasma.github.io/Logging_1080/klagomålsmail/A 25455-2023 FSC-klagomål mail.docx", "A 25455-2023")</f>
        <v/>
      </c>
      <c r="X59">
        <f>HYPERLINK("https://klasma.github.io/Logging_1080/tillsyn/A 25455-2023 tillsynsbegäran.docx", "A 25455-2023")</f>
        <v/>
      </c>
      <c r="Y59">
        <f>HYPERLINK("https://klasma.github.io/Logging_1080/tillsynsmail/A 25455-2023 tillsynsbegäran mail.docx", "A 25455-2023")</f>
        <v/>
      </c>
    </row>
    <row r="60" ht="15" customHeight="1">
      <c r="A60" t="inlineStr">
        <is>
          <t>A 40310-2023</t>
        </is>
      </c>
      <c r="B60" s="1" t="n">
        <v>45169</v>
      </c>
      <c r="C60" s="1" t="n">
        <v>46196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Sydspärgel
Skogsknipprot</t>
        </is>
      </c>
      <c r="S60">
        <f>HYPERLINK("https://klasma.github.io/Logging_1082/artfynd/A 40310-2023 artfynd.xlsx", "A 40310-2023")</f>
        <v/>
      </c>
      <c r="T60">
        <f>HYPERLINK("https://klasma.github.io/Logging_1082/kartor/A 40310-2023 karta.png", "A 40310-2023")</f>
        <v/>
      </c>
      <c r="V60">
        <f>HYPERLINK("https://klasma.github.io/Logging_1082/klagomål/A 40310-2023 FSC-klagomål.docx", "A 40310-2023")</f>
        <v/>
      </c>
      <c r="W60">
        <f>HYPERLINK("https://klasma.github.io/Logging_1082/klagomålsmail/A 40310-2023 FSC-klagomål mail.docx", "A 40310-2023")</f>
        <v/>
      </c>
      <c r="X60">
        <f>HYPERLINK("https://klasma.github.io/Logging_1082/tillsyn/A 40310-2023 tillsynsbegäran.docx", "A 40310-2023")</f>
        <v/>
      </c>
      <c r="Y60">
        <f>HYPERLINK("https://klasma.github.io/Logging_1082/tillsynsmail/A 40310-2023 tillsynsbegäran mail.docx", "A 40310-2023")</f>
        <v/>
      </c>
    </row>
    <row r="61" ht="15" customHeight="1">
      <c r="A61" t="inlineStr">
        <is>
          <t>A 691-2023</t>
        </is>
      </c>
      <c r="B61" s="1" t="n">
        <v>44930</v>
      </c>
      <c r="C61" s="1" t="n">
        <v>46196</v>
      </c>
      <c r="D61" t="inlineStr">
        <is>
          <t>BLEKINGE LÄN</t>
        </is>
      </c>
      <c r="E61" t="inlineStr">
        <is>
          <t>KARLSKRONA</t>
        </is>
      </c>
      <c r="G61" t="n">
        <v>3.4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Kavelhirs
Mjukdån</t>
        </is>
      </c>
      <c r="S61">
        <f>HYPERLINK("https://klasma.github.io/Logging_1080/artfynd/A 691-2023 artfynd.xlsx", "A 691-2023")</f>
        <v/>
      </c>
      <c r="T61">
        <f>HYPERLINK("https://klasma.github.io/Logging_1080/kartor/A 691-2023 karta.png", "A 691-2023")</f>
        <v/>
      </c>
      <c r="V61">
        <f>HYPERLINK("https://klasma.github.io/Logging_1080/klagomål/A 691-2023 FSC-klagomål.docx", "A 691-2023")</f>
        <v/>
      </c>
      <c r="W61">
        <f>HYPERLINK("https://klasma.github.io/Logging_1080/klagomålsmail/A 691-2023 FSC-klagomål mail.docx", "A 691-2023")</f>
        <v/>
      </c>
      <c r="X61">
        <f>HYPERLINK("https://klasma.github.io/Logging_1080/tillsyn/A 691-2023 tillsynsbegäran.docx", "A 691-2023")</f>
        <v/>
      </c>
      <c r="Y61">
        <f>HYPERLINK("https://klasma.github.io/Logging_1080/tillsynsmail/A 691-2023 tillsynsbegäran mail.docx", "A 691-2023")</f>
        <v/>
      </c>
    </row>
    <row r="62" ht="15" customHeight="1">
      <c r="A62" t="inlineStr">
        <is>
          <t>A 14351-2025</t>
        </is>
      </c>
      <c r="B62" s="1" t="n">
        <v>45741</v>
      </c>
      <c r="C62" s="1" t="n">
        <v>46196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5.5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Oxtungssvamp
Sotlav</t>
        </is>
      </c>
      <c r="S62">
        <f>HYPERLINK("https://klasma.github.io/Logging_1081/artfynd/A 14351-2025 artfynd.xlsx", "A 14351-2025")</f>
        <v/>
      </c>
      <c r="T62">
        <f>HYPERLINK("https://klasma.github.io/Logging_1081/kartor/A 14351-2025 karta.png", "A 14351-2025")</f>
        <v/>
      </c>
      <c r="V62">
        <f>HYPERLINK("https://klasma.github.io/Logging_1081/klagomål/A 14351-2025 FSC-klagomål.docx", "A 14351-2025")</f>
        <v/>
      </c>
      <c r="W62">
        <f>HYPERLINK("https://klasma.github.io/Logging_1081/klagomålsmail/A 14351-2025 FSC-klagomål mail.docx", "A 14351-2025")</f>
        <v/>
      </c>
      <c r="X62">
        <f>HYPERLINK("https://klasma.github.io/Logging_1081/tillsyn/A 14351-2025 tillsynsbegäran.docx", "A 14351-2025")</f>
        <v/>
      </c>
      <c r="Y62">
        <f>HYPERLINK("https://klasma.github.io/Logging_1081/tillsynsmail/A 14351-2025 tillsynsbegäran mail.docx", "A 14351-2025")</f>
        <v/>
      </c>
    </row>
    <row r="63" ht="15" customHeight="1">
      <c r="A63" t="inlineStr">
        <is>
          <t>A 14176-2024</t>
        </is>
      </c>
      <c r="B63" s="1" t="n">
        <v>45393</v>
      </c>
      <c r="C63" s="1" t="n">
        <v>46196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Långbensgroda
Mindre vattensalamander</t>
        </is>
      </c>
      <c r="S63">
        <f>HYPERLINK("https://klasma.github.io/Logging_1080/artfynd/A 14176-2024 artfynd.xlsx", "A 14176-2024")</f>
        <v/>
      </c>
      <c r="T63">
        <f>HYPERLINK("https://klasma.github.io/Logging_1080/kartor/A 14176-2024 karta.png", "A 14176-2024")</f>
        <v/>
      </c>
      <c r="V63">
        <f>HYPERLINK("https://klasma.github.io/Logging_1080/klagomål/A 14176-2024 FSC-klagomål.docx", "A 14176-2024")</f>
        <v/>
      </c>
      <c r="W63">
        <f>HYPERLINK("https://klasma.github.io/Logging_1080/klagomålsmail/A 14176-2024 FSC-klagomål mail.docx", "A 14176-2024")</f>
        <v/>
      </c>
      <c r="X63">
        <f>HYPERLINK("https://klasma.github.io/Logging_1080/tillsyn/A 14176-2024 tillsynsbegäran.docx", "A 14176-2024")</f>
        <v/>
      </c>
      <c r="Y63">
        <f>HYPERLINK("https://klasma.github.io/Logging_1080/tillsynsmail/A 14176-2024 tillsynsbegäran mail.docx", "A 14176-2024")</f>
        <v/>
      </c>
    </row>
    <row r="64" ht="15" customHeight="1">
      <c r="A64" t="inlineStr">
        <is>
          <t>A 46157-2024</t>
        </is>
      </c>
      <c r="B64" s="1" t="n">
        <v>45581</v>
      </c>
      <c r="C64" s="1" t="n">
        <v>46196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Västlig hakmossa</t>
        </is>
      </c>
      <c r="S64">
        <f>HYPERLINK("https://klasma.github.io/Logging_1060/artfynd/A 46157-2024 artfynd.xlsx", "A 46157-2024")</f>
        <v/>
      </c>
      <c r="T64">
        <f>HYPERLINK("https://klasma.github.io/Logging_1060/kartor/A 46157-2024 karta.png", "A 46157-2024")</f>
        <v/>
      </c>
      <c r="U64">
        <f>HYPERLINK("https://klasma.github.io/Logging_1060/knärot/A 46157-2024 karta knärot.png", "A 46157-2024")</f>
        <v/>
      </c>
      <c r="V64">
        <f>HYPERLINK("https://klasma.github.io/Logging_1060/klagomål/A 46157-2024 FSC-klagomål.docx", "A 46157-2024")</f>
        <v/>
      </c>
      <c r="W64">
        <f>HYPERLINK("https://klasma.github.io/Logging_1060/klagomålsmail/A 46157-2024 FSC-klagomål mail.docx", "A 46157-2024")</f>
        <v/>
      </c>
      <c r="X64">
        <f>HYPERLINK("https://klasma.github.io/Logging_1060/tillsyn/A 46157-2024 tillsynsbegäran.docx", "A 46157-2024")</f>
        <v/>
      </c>
      <c r="Y64">
        <f>HYPERLINK("https://klasma.github.io/Logging_1060/tillsynsmail/A 46157-2024 tillsynsbegäran mail.docx", "A 46157-2024")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46196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Svarthakad buskskvätta
Trana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  <c r="Z65">
        <f>HYPERLINK("https://klasma.github.io/Logging_1081/fåglar/A 12131-2023 prioriterade fågelarter.docx", "A 12131-2023")</f>
        <v/>
      </c>
    </row>
    <row r="66" ht="15" customHeight="1">
      <c r="A66" t="inlineStr">
        <is>
          <t>A 55678-2022</t>
        </is>
      </c>
      <c r="B66" s="1" t="n">
        <v>44888</v>
      </c>
      <c r="C66" s="1" t="n">
        <v>46196</v>
      </c>
      <c r="D66" t="inlineStr">
        <is>
          <t>BLEKINGE LÄN</t>
        </is>
      </c>
      <c r="E66" t="inlineStr">
        <is>
          <t>RONNEBY</t>
        </is>
      </c>
      <c r="G66" t="n">
        <v>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Kungsfågel
Röd glada</t>
        </is>
      </c>
      <c r="S66">
        <f>HYPERLINK("https://klasma.github.io/Logging_1081/artfynd/A 55678-2022 artfynd.xlsx", "A 55678-2022")</f>
        <v/>
      </c>
      <c r="T66">
        <f>HYPERLINK("https://klasma.github.io/Logging_1081/kartor/A 55678-2022 karta.png", "A 55678-2022")</f>
        <v/>
      </c>
      <c r="V66">
        <f>HYPERLINK("https://klasma.github.io/Logging_1081/klagomål/A 55678-2022 FSC-klagomål.docx", "A 55678-2022")</f>
        <v/>
      </c>
      <c r="W66">
        <f>HYPERLINK("https://klasma.github.io/Logging_1081/klagomålsmail/A 55678-2022 FSC-klagomål mail.docx", "A 55678-2022")</f>
        <v/>
      </c>
      <c r="X66">
        <f>HYPERLINK("https://klasma.github.io/Logging_1081/tillsyn/A 55678-2022 tillsynsbegäran.docx", "A 55678-2022")</f>
        <v/>
      </c>
      <c r="Y66">
        <f>HYPERLINK("https://klasma.github.io/Logging_1081/tillsynsmail/A 55678-2022 tillsynsbegäran mail.docx", "A 55678-2022")</f>
        <v/>
      </c>
      <c r="Z66">
        <f>HYPERLINK("https://klasma.github.io/Logging_1081/fåglar/A 55678-2022 prioriterade fågelarter.docx", "A 55678-2022")</f>
        <v/>
      </c>
    </row>
    <row r="67" ht="15" customHeight="1">
      <c r="A67" t="inlineStr">
        <is>
          <t>A 17849-2023</t>
        </is>
      </c>
      <c r="B67" s="1" t="n">
        <v>45037</v>
      </c>
      <c r="C67" s="1" t="n">
        <v>46196</v>
      </c>
      <c r="D67" t="inlineStr">
        <is>
          <t>BLEKINGE LÄN</t>
        </is>
      </c>
      <c r="E67" t="inlineStr">
        <is>
          <t>KARLSKRONA</t>
        </is>
      </c>
      <c r="F67" t="inlineStr">
        <is>
          <t>Kommuner</t>
        </is>
      </c>
      <c r="G67" t="n">
        <v>10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Igelkott
Vätteros</t>
        </is>
      </c>
      <c r="S67">
        <f>HYPERLINK("https://klasma.github.io/Logging_1080/artfynd/A 17849-2023 artfynd.xlsx", "A 17849-2023")</f>
        <v/>
      </c>
      <c r="T67">
        <f>HYPERLINK("https://klasma.github.io/Logging_1080/kartor/A 17849-2023 karta.png", "A 17849-2023")</f>
        <v/>
      </c>
      <c r="V67">
        <f>HYPERLINK("https://klasma.github.io/Logging_1080/klagomål/A 17849-2023 FSC-klagomål.docx", "A 17849-2023")</f>
        <v/>
      </c>
      <c r="W67">
        <f>HYPERLINK("https://klasma.github.io/Logging_1080/klagomålsmail/A 17849-2023 FSC-klagomål mail.docx", "A 17849-2023")</f>
        <v/>
      </c>
      <c r="X67">
        <f>HYPERLINK("https://klasma.github.io/Logging_1080/tillsyn/A 17849-2023 tillsynsbegäran.docx", "A 17849-2023")</f>
        <v/>
      </c>
      <c r="Y67">
        <f>HYPERLINK("https://klasma.github.io/Logging_1080/tillsynsmail/A 17849-2023 tillsynsbegäran mail.docx", "A 17849-2023")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46196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Murgröna
Rostfläck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46196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46196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46196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46196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46196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46196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46196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46196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46196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69282-2021</t>
        </is>
      </c>
      <c r="B78" s="1" t="n">
        <v>44531</v>
      </c>
      <c r="C78" s="1" t="n">
        <v>46196</v>
      </c>
      <c r="D78" t="inlineStr">
        <is>
          <t>BLEKINGE LÄN</t>
        </is>
      </c>
      <c r="E78" t="inlineStr">
        <is>
          <t>KARLSKRONA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HYPERLINK("https://klasma.github.io/Logging_1080/artfynd/A 69282-2021 artfynd.xlsx", "A 69282-2021")</f>
        <v/>
      </c>
      <c r="T78">
        <f>HYPERLINK("https://klasma.github.io/Logging_1080/kartor/A 69282-2021 karta.png", "A 69282-2021")</f>
        <v/>
      </c>
      <c r="V78">
        <f>HYPERLINK("https://klasma.github.io/Logging_1080/klagomål/A 69282-2021 FSC-klagomål.docx", "A 69282-2021")</f>
        <v/>
      </c>
      <c r="W78">
        <f>HYPERLINK("https://klasma.github.io/Logging_1080/klagomålsmail/A 69282-2021 FSC-klagomål mail.docx", "A 69282-2021")</f>
        <v/>
      </c>
      <c r="X78">
        <f>HYPERLINK("https://klasma.github.io/Logging_1080/tillsyn/A 69282-2021 tillsynsbegäran.docx", "A 69282-2021")</f>
        <v/>
      </c>
      <c r="Y78">
        <f>HYPERLINK("https://klasma.github.io/Logging_1080/tillsynsmail/A 69282-2021 tillsynsbegäran mail.docx", "A 69282-2021")</f>
        <v/>
      </c>
    </row>
    <row r="79" ht="15" customHeight="1">
      <c r="A79" t="inlineStr">
        <is>
          <t>A 52837-2021</t>
        </is>
      </c>
      <c r="B79" s="1" t="n">
        <v>44467</v>
      </c>
      <c r="C79" s="1" t="n">
        <v>46196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groda</t>
        </is>
      </c>
      <c r="S79">
        <f>HYPERLINK("https://klasma.github.io/Logging_1080/artfynd/A 52837-2021 artfynd.xlsx", "A 52837-2021")</f>
        <v/>
      </c>
      <c r="T79">
        <f>HYPERLINK("https://klasma.github.io/Logging_1080/kartor/A 52837-2021 karta.png", "A 52837-2021")</f>
        <v/>
      </c>
      <c r="V79">
        <f>HYPERLINK("https://klasma.github.io/Logging_1080/klagomål/A 52837-2021 FSC-klagomål.docx", "A 52837-2021")</f>
        <v/>
      </c>
      <c r="W79">
        <f>HYPERLINK("https://klasma.github.io/Logging_1080/klagomålsmail/A 52837-2021 FSC-klagomål mail.docx", "A 52837-2021")</f>
        <v/>
      </c>
      <c r="X79">
        <f>HYPERLINK("https://klasma.github.io/Logging_1080/tillsyn/A 52837-2021 tillsynsbegäran.docx", "A 52837-2021")</f>
        <v/>
      </c>
      <c r="Y79">
        <f>HYPERLINK("https://klasma.github.io/Logging_1080/tillsynsmail/A 52837-2021 tillsynsbegäran mail.docx", "A 52837-2021")</f>
        <v/>
      </c>
    </row>
    <row r="80" ht="15" customHeight="1">
      <c r="A80" t="inlineStr">
        <is>
          <t>A 32159-2022</t>
        </is>
      </c>
      <c r="B80" s="1" t="n">
        <v>44756</v>
      </c>
      <c r="C80" s="1" t="n">
        <v>46196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HYPERLINK("https://klasma.github.io/Logging_1081/artfynd/A 32159-2022 artfynd.xlsx", "A 32159-2022")</f>
        <v/>
      </c>
      <c r="T80">
        <f>HYPERLINK("https://klasma.github.io/Logging_1081/kartor/A 32159-2022 karta.png", "A 32159-2022")</f>
        <v/>
      </c>
      <c r="V80">
        <f>HYPERLINK("https://klasma.github.io/Logging_1081/klagomål/A 32159-2022 FSC-klagomål.docx", "A 32159-2022")</f>
        <v/>
      </c>
      <c r="W80">
        <f>HYPERLINK("https://klasma.github.io/Logging_1081/klagomålsmail/A 32159-2022 FSC-klagomål mail.docx", "A 32159-2022")</f>
        <v/>
      </c>
      <c r="X80">
        <f>HYPERLINK("https://klasma.github.io/Logging_1081/tillsyn/A 32159-2022 tillsynsbegäran.docx", "A 32159-2022")</f>
        <v/>
      </c>
      <c r="Y80">
        <f>HYPERLINK("https://klasma.github.io/Logging_1081/tillsynsmail/A 32159-2022 tillsynsbegäran mail.docx", "A 32159-2022")</f>
        <v/>
      </c>
    </row>
    <row r="81" ht="15" customHeight="1">
      <c r="A81" t="inlineStr">
        <is>
          <t>A 53806-2022</t>
        </is>
      </c>
      <c r="B81" s="1" t="n">
        <v>44880</v>
      </c>
      <c r="C81" s="1" t="n">
        <v>46196</v>
      </c>
      <c r="D81" t="inlineStr">
        <is>
          <t>BLEKINGE LÄN</t>
        </is>
      </c>
      <c r="E81" t="inlineStr">
        <is>
          <t>OLOFSTRÖM</t>
        </is>
      </c>
      <c r="G81" t="n">
        <v>11.5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HYPERLINK("https://klasma.github.io/Logging_1060/artfynd/A 53806-2022 artfynd.xlsx", "A 53806-2022")</f>
        <v/>
      </c>
      <c r="T81">
        <f>HYPERLINK("https://klasma.github.io/Logging_1060/kartor/A 53806-2022 karta.png", "A 53806-2022")</f>
        <v/>
      </c>
      <c r="V81">
        <f>HYPERLINK("https://klasma.github.io/Logging_1060/klagomål/A 53806-2022 FSC-klagomål.docx", "A 53806-2022")</f>
        <v/>
      </c>
      <c r="W81">
        <f>HYPERLINK("https://klasma.github.io/Logging_1060/klagomålsmail/A 53806-2022 FSC-klagomål mail.docx", "A 53806-2022")</f>
        <v/>
      </c>
      <c r="X81">
        <f>HYPERLINK("https://klasma.github.io/Logging_1060/tillsyn/A 53806-2022 tillsynsbegäran.docx", "A 53806-2022")</f>
        <v/>
      </c>
      <c r="Y81">
        <f>HYPERLINK("https://klasma.github.io/Logging_1060/tillsynsmail/A 53806-2022 tillsynsbegäran mail.docx", "A 53806-2022")</f>
        <v/>
      </c>
    </row>
    <row r="82" ht="15" customHeight="1">
      <c r="A82" t="inlineStr">
        <is>
          <t>A 13289-2023</t>
        </is>
      </c>
      <c r="B82" s="1" t="n">
        <v>45004</v>
      </c>
      <c r="C82" s="1" t="n">
        <v>46196</v>
      </c>
      <c r="D82" t="inlineStr">
        <is>
          <t>BLEKINGE LÄN</t>
        </is>
      </c>
      <c r="E82" t="inlineStr">
        <is>
          <t>KARLSKRONA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HYPERLINK("https://klasma.github.io/Logging_1080/artfynd/A 13289-2023 artfynd.xlsx", "A 13289-2023")</f>
        <v/>
      </c>
      <c r="T82">
        <f>HYPERLINK("https://klasma.github.io/Logging_1080/kartor/A 13289-2023 karta.png", "A 13289-2023")</f>
        <v/>
      </c>
      <c r="V82">
        <f>HYPERLINK("https://klasma.github.io/Logging_1080/klagomål/A 13289-2023 FSC-klagomål.docx", "A 13289-2023")</f>
        <v/>
      </c>
      <c r="W82">
        <f>HYPERLINK("https://klasma.github.io/Logging_1080/klagomålsmail/A 13289-2023 FSC-klagomål mail.docx", "A 13289-2023")</f>
        <v/>
      </c>
      <c r="X82">
        <f>HYPERLINK("https://klasma.github.io/Logging_1080/tillsyn/A 13289-2023 tillsynsbegäran.docx", "A 13289-2023")</f>
        <v/>
      </c>
      <c r="Y82">
        <f>HYPERLINK("https://klasma.github.io/Logging_1080/tillsynsmail/A 13289-2023 tillsynsbegäran mail.docx", "A 13289-2023")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46196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24296-2024</t>
        </is>
      </c>
      <c r="B84" s="1" t="n">
        <v>45457</v>
      </c>
      <c r="C84" s="1" t="n">
        <v>46196</v>
      </c>
      <c r="D84" t="inlineStr">
        <is>
          <t>BLEKINGE LÄN</t>
        </is>
      </c>
      <c r="E84" t="inlineStr">
        <is>
          <t>RONNEBY</t>
        </is>
      </c>
      <c r="G84" t="n">
        <v>12.7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HYPERLINK("https://klasma.github.io/Logging_1081/artfynd/A 24296-2024 artfynd.xlsx", "A 24296-2024")</f>
        <v/>
      </c>
      <c r="T84">
        <f>HYPERLINK("https://klasma.github.io/Logging_1081/kartor/A 24296-2024 karta.png", "A 24296-2024")</f>
        <v/>
      </c>
      <c r="V84">
        <f>HYPERLINK("https://klasma.github.io/Logging_1081/klagomål/A 24296-2024 FSC-klagomål.docx", "A 24296-2024")</f>
        <v/>
      </c>
      <c r="W84">
        <f>HYPERLINK("https://klasma.github.io/Logging_1081/klagomålsmail/A 24296-2024 FSC-klagomål mail.docx", "A 24296-2024")</f>
        <v/>
      </c>
      <c r="X84">
        <f>HYPERLINK("https://klasma.github.io/Logging_1081/tillsyn/A 24296-2024 tillsynsbegäran.docx", "A 24296-2024")</f>
        <v/>
      </c>
      <c r="Y84">
        <f>HYPERLINK("https://klasma.github.io/Logging_1081/tillsynsmail/A 24296-2024 tillsynsbegäran mail.docx", "A 24296-2024")</f>
        <v/>
      </c>
    </row>
    <row r="85" ht="15" customHeight="1">
      <c r="A85" t="inlineStr">
        <is>
          <t>A 51772-2025</t>
        </is>
      </c>
      <c r="B85" s="1" t="n">
        <v>45951</v>
      </c>
      <c r="C85" s="1" t="n">
        <v>46196</v>
      </c>
      <c r="D85" t="inlineStr">
        <is>
          <t>BLEKINGE LÄN</t>
        </is>
      </c>
      <c r="E85" t="inlineStr">
        <is>
          <t>SÖLVESBORG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Kragjordstjärna</t>
        </is>
      </c>
      <c r="S85">
        <f>HYPERLINK("https://klasma.github.io/Logging_1083/artfynd/A 51772-2025 artfynd.xlsx", "A 51772-2025")</f>
        <v/>
      </c>
      <c r="T85">
        <f>HYPERLINK("https://klasma.github.io/Logging_1083/kartor/A 51772-2025 karta.png", "A 51772-2025")</f>
        <v/>
      </c>
      <c r="V85">
        <f>HYPERLINK("https://klasma.github.io/Logging_1083/klagomål/A 51772-2025 FSC-klagomål.docx", "A 51772-2025")</f>
        <v/>
      </c>
      <c r="W85">
        <f>HYPERLINK("https://klasma.github.io/Logging_1083/klagomålsmail/A 51772-2025 FSC-klagomål mail.docx", "A 51772-2025")</f>
        <v/>
      </c>
      <c r="X85">
        <f>HYPERLINK("https://klasma.github.io/Logging_1083/tillsyn/A 51772-2025 tillsynsbegäran.docx", "A 51772-2025")</f>
        <v/>
      </c>
      <c r="Y85">
        <f>HYPERLINK("https://klasma.github.io/Logging_1083/tillsynsmail/A 51772-2025 tillsynsbegäran mail.docx", "A 51772-2025")</f>
        <v/>
      </c>
    </row>
    <row r="86" ht="15" customHeight="1">
      <c r="A86" t="inlineStr">
        <is>
          <t>A 6431-2025</t>
        </is>
      </c>
      <c r="B86" s="1" t="n">
        <v>45699</v>
      </c>
      <c r="C86" s="1" t="n">
        <v>46196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Igelkott</t>
        </is>
      </c>
      <c r="S86">
        <f>HYPERLINK("https://klasma.github.io/Logging_1081/artfynd/A 6431-2025 artfynd.xlsx", "A 6431-2025")</f>
        <v/>
      </c>
      <c r="T86">
        <f>HYPERLINK("https://klasma.github.io/Logging_1081/kartor/A 6431-2025 karta.png", "A 6431-2025")</f>
        <v/>
      </c>
      <c r="V86">
        <f>HYPERLINK("https://klasma.github.io/Logging_1081/klagomål/A 6431-2025 FSC-klagomål.docx", "A 6431-2025")</f>
        <v/>
      </c>
      <c r="W86">
        <f>HYPERLINK("https://klasma.github.io/Logging_1081/klagomålsmail/A 6431-2025 FSC-klagomål mail.docx", "A 6431-2025")</f>
        <v/>
      </c>
      <c r="X86">
        <f>HYPERLINK("https://klasma.github.io/Logging_1081/tillsyn/A 6431-2025 tillsynsbegäran.docx", "A 6431-2025")</f>
        <v/>
      </c>
      <c r="Y86">
        <f>HYPERLINK("https://klasma.github.io/Logging_1081/tillsynsmail/A 6431-2025 tillsynsbegäran mail.docx", "A 6431-2025")</f>
        <v/>
      </c>
    </row>
    <row r="87" ht="15" customHeight="1">
      <c r="A87" t="inlineStr">
        <is>
          <t>A 27763-2024</t>
        </is>
      </c>
      <c r="B87" s="1" t="n">
        <v>45475</v>
      </c>
      <c r="C87" s="1" t="n">
        <v>46196</v>
      </c>
      <c r="D87" t="inlineStr">
        <is>
          <t>BLEKINGE LÄN</t>
        </is>
      </c>
      <c r="E87" t="inlineStr">
        <is>
          <t>KARLSKRONA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Långbensgroda</t>
        </is>
      </c>
      <c r="S87">
        <f>HYPERLINK("https://klasma.github.io/Logging_1080/artfynd/A 27763-2024 artfynd.xlsx", "A 27763-2024")</f>
        <v/>
      </c>
      <c r="T87">
        <f>HYPERLINK("https://klasma.github.io/Logging_1080/kartor/A 27763-2024 karta.png", "A 27763-2024")</f>
        <v/>
      </c>
      <c r="V87">
        <f>HYPERLINK("https://klasma.github.io/Logging_1080/klagomål/A 27763-2024 FSC-klagomål.docx", "A 27763-2024")</f>
        <v/>
      </c>
      <c r="W87">
        <f>HYPERLINK("https://klasma.github.io/Logging_1080/klagomålsmail/A 27763-2024 FSC-klagomål mail.docx", "A 27763-2024")</f>
        <v/>
      </c>
      <c r="X87">
        <f>HYPERLINK("https://klasma.github.io/Logging_1080/tillsyn/A 27763-2024 tillsynsbegäran.docx", "A 27763-2024")</f>
        <v/>
      </c>
      <c r="Y87">
        <f>HYPERLINK("https://klasma.github.io/Logging_1080/tillsynsmail/A 27763-2024 tillsynsbegäran mail.docx", "A 27763-2024")</f>
        <v/>
      </c>
    </row>
    <row r="88" ht="15" customHeight="1">
      <c r="A88" t="inlineStr">
        <is>
          <t>A 56583-2024</t>
        </is>
      </c>
      <c r="B88" s="1" t="n">
        <v>45625</v>
      </c>
      <c r="C88" s="1" t="n">
        <v>46196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HYPERLINK("https://klasma.github.io/Logging_1060/artfynd/A 56583-2024 artfynd.xlsx", "A 56583-2024")</f>
        <v/>
      </c>
      <c r="T88">
        <f>HYPERLINK("https://klasma.github.io/Logging_1060/kartor/A 56583-2024 karta.png", "A 56583-2024")</f>
        <v/>
      </c>
      <c r="V88">
        <f>HYPERLINK("https://klasma.github.io/Logging_1060/klagomål/A 56583-2024 FSC-klagomål.docx", "A 56583-2024")</f>
        <v/>
      </c>
      <c r="W88">
        <f>HYPERLINK("https://klasma.github.io/Logging_1060/klagomålsmail/A 56583-2024 FSC-klagomål mail.docx", "A 56583-2024")</f>
        <v/>
      </c>
      <c r="X88">
        <f>HYPERLINK("https://klasma.github.io/Logging_1060/tillsyn/A 56583-2024 tillsynsbegäran.docx", "A 56583-2024")</f>
        <v/>
      </c>
      <c r="Y88">
        <f>HYPERLINK("https://klasma.github.io/Logging_1060/tillsynsmail/A 56583-2024 tillsynsbegäran mail.docx", "A 56583-2024")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46196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53865-2025</t>
        </is>
      </c>
      <c r="B90" s="1" t="n">
        <v>45961</v>
      </c>
      <c r="C90" s="1" t="n">
        <v>46196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HYPERLINK("https://klasma.github.io/Logging_1080/artfynd/A 53865-2025 artfynd.xlsx", "A 53865-2025")</f>
        <v/>
      </c>
      <c r="T90">
        <f>HYPERLINK("https://klasma.github.io/Logging_1080/kartor/A 53865-2025 karta.png", "A 53865-2025")</f>
        <v/>
      </c>
      <c r="V90">
        <f>HYPERLINK("https://klasma.github.io/Logging_1080/klagomål/A 53865-2025 FSC-klagomål.docx", "A 53865-2025")</f>
        <v/>
      </c>
      <c r="W90">
        <f>HYPERLINK("https://klasma.github.io/Logging_1080/klagomålsmail/A 53865-2025 FSC-klagomål mail.docx", "A 53865-2025")</f>
        <v/>
      </c>
      <c r="X90">
        <f>HYPERLINK("https://klasma.github.io/Logging_1080/tillsyn/A 53865-2025 tillsynsbegäran.docx", "A 53865-2025")</f>
        <v/>
      </c>
      <c r="Y90">
        <f>HYPERLINK("https://klasma.github.io/Logging_1080/tillsynsmail/A 53865-2025 tillsynsbegäran mail.docx", "A 53865-2025")</f>
        <v/>
      </c>
    </row>
    <row r="91" ht="15" customHeight="1">
      <c r="A91" t="inlineStr">
        <is>
          <t>A 38228-2024</t>
        </is>
      </c>
      <c r="B91" s="1" t="n">
        <v>45545</v>
      </c>
      <c r="C91" s="1" t="n">
        <v>46196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Hasselsnok</t>
        </is>
      </c>
      <c r="S91">
        <f>HYPERLINK("https://klasma.github.io/Logging_1081/artfynd/A 38228-2024 artfynd.xlsx", "A 38228-2024")</f>
        <v/>
      </c>
      <c r="T91">
        <f>HYPERLINK("https://klasma.github.io/Logging_1081/kartor/A 38228-2024 karta.png", "A 38228-2024")</f>
        <v/>
      </c>
      <c r="V91">
        <f>HYPERLINK("https://klasma.github.io/Logging_1081/klagomål/A 38228-2024 FSC-klagomål.docx", "A 38228-2024")</f>
        <v/>
      </c>
      <c r="W91">
        <f>HYPERLINK("https://klasma.github.io/Logging_1081/klagomålsmail/A 38228-2024 FSC-klagomål mail.docx", "A 38228-2024")</f>
        <v/>
      </c>
      <c r="X91">
        <f>HYPERLINK("https://klasma.github.io/Logging_1081/tillsyn/A 38228-2024 tillsynsbegäran.docx", "A 38228-2024")</f>
        <v/>
      </c>
      <c r="Y91">
        <f>HYPERLINK("https://klasma.github.io/Logging_1081/tillsynsmail/A 38228-2024 tillsynsbegäran mail.docx", "A 38228-2024")</f>
        <v/>
      </c>
    </row>
    <row r="92" ht="15" customHeight="1">
      <c r="A92" t="inlineStr">
        <is>
          <t>A 37770-2024</t>
        </is>
      </c>
      <c r="B92" s="1" t="n">
        <v>45541</v>
      </c>
      <c r="C92" s="1" t="n">
        <v>46196</v>
      </c>
      <c r="D92" t="inlineStr">
        <is>
          <t>BLEKINGE LÄN</t>
        </is>
      </c>
      <c r="E92" t="inlineStr">
        <is>
          <t>KARLSHAMN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HYPERLINK("https://klasma.github.io/Logging_1082/artfynd/A 37770-2024 artfynd.xlsx", "A 37770-2024")</f>
        <v/>
      </c>
      <c r="T92">
        <f>HYPERLINK("https://klasma.github.io/Logging_1082/kartor/A 37770-2024 karta.png", "A 37770-2024")</f>
        <v/>
      </c>
      <c r="V92">
        <f>HYPERLINK("https://klasma.github.io/Logging_1082/klagomål/A 37770-2024 FSC-klagomål.docx", "A 37770-2024")</f>
        <v/>
      </c>
      <c r="W92">
        <f>HYPERLINK("https://klasma.github.io/Logging_1082/klagomålsmail/A 37770-2024 FSC-klagomål mail.docx", "A 37770-2024")</f>
        <v/>
      </c>
      <c r="X92">
        <f>HYPERLINK("https://klasma.github.io/Logging_1082/tillsyn/A 37770-2024 tillsynsbegäran.docx", "A 37770-2024")</f>
        <v/>
      </c>
      <c r="Y92">
        <f>HYPERLINK("https://klasma.github.io/Logging_1082/tillsynsmail/A 37770-2024 tillsynsbegäran mail.docx", "A 37770-2024")</f>
        <v/>
      </c>
    </row>
    <row r="93" ht="15" customHeight="1">
      <c r="A93" t="inlineStr">
        <is>
          <t>A 3711-2025</t>
        </is>
      </c>
      <c r="B93" s="1" t="n">
        <v>45681</v>
      </c>
      <c r="C93" s="1" t="n">
        <v>46196</v>
      </c>
      <c r="D93" t="inlineStr">
        <is>
          <t>BLEKINGE LÄN</t>
        </is>
      </c>
      <c r="E93" t="inlineStr">
        <is>
          <t>OLOFSTRÖM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3711-2025 artfynd.xlsx", "A 3711-2025")</f>
        <v/>
      </c>
      <c r="T93">
        <f>HYPERLINK("https://klasma.github.io/Logging_1060/kartor/A 3711-2025 karta.png", "A 3711-2025")</f>
        <v/>
      </c>
      <c r="V93">
        <f>HYPERLINK("https://klasma.github.io/Logging_1060/klagomål/A 3711-2025 FSC-klagomål.docx", "A 3711-2025")</f>
        <v/>
      </c>
      <c r="W93">
        <f>HYPERLINK("https://klasma.github.io/Logging_1060/klagomålsmail/A 3711-2025 FSC-klagomål mail.docx", "A 3711-2025")</f>
        <v/>
      </c>
      <c r="X93">
        <f>HYPERLINK("https://klasma.github.io/Logging_1060/tillsyn/A 3711-2025 tillsynsbegäran.docx", "A 3711-2025")</f>
        <v/>
      </c>
      <c r="Y93">
        <f>HYPERLINK("https://klasma.github.io/Logging_1060/tillsynsmail/A 3711-2025 tillsynsbegäran mail.docx", "A 3711-2025")</f>
        <v/>
      </c>
    </row>
    <row r="94" ht="15" customHeight="1">
      <c r="A94" t="inlineStr">
        <is>
          <t>A 41968-2025</t>
        </is>
      </c>
      <c r="B94" s="1" t="n">
        <v>45903</v>
      </c>
      <c r="C94" s="1" t="n">
        <v>46196</v>
      </c>
      <c r="D94" t="inlineStr">
        <is>
          <t>BLEKINGE LÄN</t>
        </is>
      </c>
      <c r="E94" t="inlineStr">
        <is>
          <t>KARLSKRONA</t>
        </is>
      </c>
      <c r="F94" t="inlineStr">
        <is>
          <t>Kommuner</t>
        </is>
      </c>
      <c r="G94" t="n">
        <v>4.6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41968-2025 artfynd.xlsx", "A 41968-2025")</f>
        <v/>
      </c>
      <c r="T94">
        <f>HYPERLINK("https://klasma.github.io/Logging_1080/kartor/A 41968-2025 karta.png", "A 41968-2025")</f>
        <v/>
      </c>
      <c r="V94">
        <f>HYPERLINK("https://klasma.github.io/Logging_1080/klagomål/A 41968-2025 FSC-klagomål.docx", "A 41968-2025")</f>
        <v/>
      </c>
      <c r="W94">
        <f>HYPERLINK("https://klasma.github.io/Logging_1080/klagomålsmail/A 41968-2025 FSC-klagomål mail.docx", "A 41968-2025")</f>
        <v/>
      </c>
      <c r="X94">
        <f>HYPERLINK("https://klasma.github.io/Logging_1080/tillsyn/A 41968-2025 tillsynsbegäran.docx", "A 41968-2025")</f>
        <v/>
      </c>
      <c r="Y94">
        <f>HYPERLINK("https://klasma.github.io/Logging_1080/tillsynsmail/A 41968-2025 tillsynsbegäran mail.docx", "A 41968-2025")</f>
        <v/>
      </c>
    </row>
    <row r="95" ht="15" customHeight="1">
      <c r="A95" t="inlineStr">
        <is>
          <t>A 60347-2025</t>
        </is>
      </c>
      <c r="B95" s="1" t="n">
        <v>45995</v>
      </c>
      <c r="C95" s="1" t="n">
        <v>46196</v>
      </c>
      <c r="D95" t="inlineStr">
        <is>
          <t>BLEKINGE LÄN</t>
        </is>
      </c>
      <c r="E95" t="inlineStr">
        <is>
          <t>RONNEBY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HYPERLINK("https://klasma.github.io/Logging_1081/artfynd/A 60347-2025 artfynd.xlsx", "A 60347-2025")</f>
        <v/>
      </c>
      <c r="T95">
        <f>HYPERLINK("https://klasma.github.io/Logging_1081/kartor/A 60347-2025 karta.png", "A 60347-2025")</f>
        <v/>
      </c>
      <c r="V95">
        <f>HYPERLINK("https://klasma.github.io/Logging_1081/klagomål/A 60347-2025 FSC-klagomål.docx", "A 60347-2025")</f>
        <v/>
      </c>
      <c r="W95">
        <f>HYPERLINK("https://klasma.github.io/Logging_1081/klagomålsmail/A 60347-2025 FSC-klagomål mail.docx", "A 60347-2025")</f>
        <v/>
      </c>
      <c r="X95">
        <f>HYPERLINK("https://klasma.github.io/Logging_1081/tillsyn/A 60347-2025 tillsynsbegäran.docx", "A 60347-2025")</f>
        <v/>
      </c>
      <c r="Y95">
        <f>HYPERLINK("https://klasma.github.io/Logging_1081/tillsynsmail/A 60347-2025 tillsynsbegäran mail.docx", "A 60347-2025")</f>
        <v/>
      </c>
    </row>
    <row r="96" ht="15" customHeight="1">
      <c r="A96" t="inlineStr">
        <is>
          <t>A 45688-2023</t>
        </is>
      </c>
      <c r="B96" s="1" t="n">
        <v>45195</v>
      </c>
      <c r="C96" s="1" t="n">
        <v>46196</v>
      </c>
      <c r="D96" t="inlineStr">
        <is>
          <t>BLEKINGE LÄN</t>
        </is>
      </c>
      <c r="E96" t="inlineStr">
        <is>
          <t>OLOFSTRÖM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HYPERLINK("https://klasma.github.io/Logging_1060/artfynd/A 45688-2023 artfynd.xlsx", "A 45688-2023")</f>
        <v/>
      </c>
      <c r="T96">
        <f>HYPERLINK("https://klasma.github.io/Logging_1060/kartor/A 45688-2023 karta.png", "A 45688-2023")</f>
        <v/>
      </c>
      <c r="V96">
        <f>HYPERLINK("https://klasma.github.io/Logging_1060/klagomål/A 45688-2023 FSC-klagomål.docx", "A 45688-2023")</f>
        <v/>
      </c>
      <c r="W96">
        <f>HYPERLINK("https://klasma.github.io/Logging_1060/klagomålsmail/A 45688-2023 FSC-klagomål mail.docx", "A 45688-2023")</f>
        <v/>
      </c>
      <c r="X96">
        <f>HYPERLINK("https://klasma.github.io/Logging_1060/tillsyn/A 45688-2023 tillsynsbegäran.docx", "A 45688-2023")</f>
        <v/>
      </c>
      <c r="Y96">
        <f>HYPERLINK("https://klasma.github.io/Logging_1060/tillsynsmail/A 45688-2023 tillsynsbegäran mail.docx", "A 45688-2023")</f>
        <v/>
      </c>
    </row>
    <row r="97" ht="15" customHeight="1">
      <c r="A97" t="inlineStr">
        <is>
          <t>A 650-2022</t>
        </is>
      </c>
      <c r="B97" s="1" t="n">
        <v>44568</v>
      </c>
      <c r="C97" s="1" t="n">
        <v>46196</v>
      </c>
      <c r="D97" t="inlineStr">
        <is>
          <t>BLEKINGE LÄN</t>
        </is>
      </c>
      <c r="E97" t="inlineStr">
        <is>
          <t>OLOFSTRÖM</t>
        </is>
      </c>
      <c r="F97" t="inlineStr">
        <is>
          <t>Sveaskog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revmossa</t>
        </is>
      </c>
      <c r="S97">
        <f>HYPERLINK("https://klasma.github.io/Logging_1060/artfynd/A 650-2022 artfynd.xlsx", "A 650-2022")</f>
        <v/>
      </c>
      <c r="T97">
        <f>HYPERLINK("https://klasma.github.io/Logging_1060/kartor/A 650-2022 karta.png", "A 650-2022")</f>
        <v/>
      </c>
      <c r="V97">
        <f>HYPERLINK("https://klasma.github.io/Logging_1060/klagomål/A 650-2022 FSC-klagomål.docx", "A 650-2022")</f>
        <v/>
      </c>
      <c r="W97">
        <f>HYPERLINK("https://klasma.github.io/Logging_1060/klagomålsmail/A 650-2022 FSC-klagomål mail.docx", "A 650-2022")</f>
        <v/>
      </c>
      <c r="X97">
        <f>HYPERLINK("https://klasma.github.io/Logging_1060/tillsyn/A 650-2022 tillsynsbegäran.docx", "A 650-2022")</f>
        <v/>
      </c>
      <c r="Y97">
        <f>HYPERLINK("https://klasma.github.io/Logging_1060/tillsynsmail/A 650-2022 tillsynsbegäran mail.docx", "A 650-2022")</f>
        <v/>
      </c>
    </row>
    <row r="98" ht="15" customHeight="1">
      <c r="A98" t="inlineStr">
        <is>
          <t>A 2573-2023</t>
        </is>
      </c>
      <c r="B98" s="1" t="n">
        <v>44943</v>
      </c>
      <c r="C98" s="1" t="n">
        <v>46196</v>
      </c>
      <c r="D98" t="inlineStr">
        <is>
          <t>BLEKINGE LÄN</t>
        </is>
      </c>
      <c r="E98" t="inlineStr">
        <is>
          <t>KARLSHAMN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Lömsk flugsvamp</t>
        </is>
      </c>
      <c r="S98">
        <f>HYPERLINK("https://klasma.github.io/Logging_1082/artfynd/A 2573-2023 artfynd.xlsx", "A 2573-2023")</f>
        <v/>
      </c>
      <c r="T98">
        <f>HYPERLINK("https://klasma.github.io/Logging_1082/kartor/A 2573-2023 karta.png", "A 2573-2023")</f>
        <v/>
      </c>
      <c r="V98">
        <f>HYPERLINK("https://klasma.github.io/Logging_1082/klagomål/A 2573-2023 FSC-klagomål.docx", "A 2573-2023")</f>
        <v/>
      </c>
      <c r="W98">
        <f>HYPERLINK("https://klasma.github.io/Logging_1082/klagomålsmail/A 2573-2023 FSC-klagomål mail.docx", "A 2573-2023")</f>
        <v/>
      </c>
      <c r="X98">
        <f>HYPERLINK("https://klasma.github.io/Logging_1082/tillsyn/A 2573-2023 tillsynsbegäran.docx", "A 2573-2023")</f>
        <v/>
      </c>
      <c r="Y98">
        <f>HYPERLINK("https://klasma.github.io/Logging_1082/tillsynsmail/A 2573-2023 tillsynsbegäran mail.docx", "A 2573-2023")</f>
        <v/>
      </c>
    </row>
    <row r="99" ht="15" customHeight="1">
      <c r="A99" t="inlineStr">
        <is>
          <t>A 28642-2023</t>
        </is>
      </c>
      <c r="B99" s="1" t="n">
        <v>45103</v>
      </c>
      <c r="C99" s="1" t="n">
        <v>46196</v>
      </c>
      <c r="D99" t="inlineStr">
        <is>
          <t>BLEKINGE LÄN</t>
        </is>
      </c>
      <c r="E99" t="inlineStr">
        <is>
          <t>KARLSKRONA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HYPERLINK("https://klasma.github.io/Logging_1080/artfynd/A 28642-2023 artfynd.xlsx", "A 28642-2023")</f>
        <v/>
      </c>
      <c r="T99">
        <f>HYPERLINK("https://klasma.github.io/Logging_1080/kartor/A 28642-2023 karta.png", "A 28642-2023")</f>
        <v/>
      </c>
      <c r="V99">
        <f>HYPERLINK("https://klasma.github.io/Logging_1080/klagomål/A 28642-2023 FSC-klagomål.docx", "A 28642-2023")</f>
        <v/>
      </c>
      <c r="W99">
        <f>HYPERLINK("https://klasma.github.io/Logging_1080/klagomålsmail/A 28642-2023 FSC-klagomål mail.docx", "A 28642-2023")</f>
        <v/>
      </c>
      <c r="X99">
        <f>HYPERLINK("https://klasma.github.io/Logging_1080/tillsyn/A 28642-2023 tillsynsbegäran.docx", "A 28642-2023")</f>
        <v/>
      </c>
      <c r="Y99">
        <f>HYPERLINK("https://klasma.github.io/Logging_1080/tillsynsmail/A 28642-2023 tillsynsbegäran mail.docx", "A 28642-2023")</f>
        <v/>
      </c>
    </row>
    <row r="100" ht="15" customHeight="1">
      <c r="A100" t="inlineStr">
        <is>
          <t>A 41867-2024</t>
        </is>
      </c>
      <c r="B100" s="1" t="n">
        <v>45561</v>
      </c>
      <c r="C100" s="1" t="n">
        <v>46196</v>
      </c>
      <c r="D100" t="inlineStr">
        <is>
          <t>BLEKINGE LÄN</t>
        </is>
      </c>
      <c r="E100" t="inlineStr">
        <is>
          <t>KARLSKRONA</t>
        </is>
      </c>
      <c r="G100" t="n">
        <v>11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41867-2024 artfynd.xlsx", "A 41867-2024")</f>
        <v/>
      </c>
      <c r="T100">
        <f>HYPERLINK("https://klasma.github.io/Logging_1080/kartor/A 41867-2024 karta.png", "A 41867-2024")</f>
        <v/>
      </c>
      <c r="V100">
        <f>HYPERLINK("https://klasma.github.io/Logging_1080/klagomål/A 41867-2024 FSC-klagomål.docx", "A 41867-2024")</f>
        <v/>
      </c>
      <c r="W100">
        <f>HYPERLINK("https://klasma.github.io/Logging_1080/klagomålsmail/A 41867-2024 FSC-klagomål mail.docx", "A 41867-2024")</f>
        <v/>
      </c>
      <c r="X100">
        <f>HYPERLINK("https://klasma.github.io/Logging_1080/tillsyn/A 41867-2024 tillsynsbegäran.docx", "A 41867-2024")</f>
        <v/>
      </c>
      <c r="Y100">
        <f>HYPERLINK("https://klasma.github.io/Logging_1080/tillsynsmail/A 41867-2024 tillsynsbegäran mail.docx", "A 41867-2024")</f>
        <v/>
      </c>
    </row>
    <row r="101" ht="15" customHeight="1">
      <c r="A101" t="inlineStr">
        <is>
          <t>A 29904-2025</t>
        </is>
      </c>
      <c r="B101" s="1" t="n">
        <v>45826</v>
      </c>
      <c r="C101" s="1" t="n">
        <v>46196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HYPERLINK("https://klasma.github.io/Logging_1082/artfynd/A 29904-2025 artfynd.xlsx", "A 29904-2025")</f>
        <v/>
      </c>
      <c r="T101">
        <f>HYPERLINK("https://klasma.github.io/Logging_1082/kartor/A 29904-2025 karta.png", "A 29904-2025")</f>
        <v/>
      </c>
      <c r="V101">
        <f>HYPERLINK("https://klasma.github.io/Logging_1082/klagomål/A 29904-2025 FSC-klagomål.docx", "A 29904-2025")</f>
        <v/>
      </c>
      <c r="W101">
        <f>HYPERLINK("https://klasma.github.io/Logging_1082/klagomålsmail/A 29904-2025 FSC-klagomål mail.docx", "A 29904-2025")</f>
        <v/>
      </c>
      <c r="X101">
        <f>HYPERLINK("https://klasma.github.io/Logging_1082/tillsyn/A 29904-2025 tillsynsbegäran.docx", "A 29904-2025")</f>
        <v/>
      </c>
      <c r="Y101">
        <f>HYPERLINK("https://klasma.github.io/Logging_1082/tillsynsmail/A 29904-2025 tillsynsbegäran mail.docx", "A 29904-2025")</f>
        <v/>
      </c>
      <c r="Z101">
        <f>HYPERLINK("https://klasma.github.io/Logging_1082/fåglar/A 29904-2025 prioriterade fågelarter.docx", "A 29904-2025")</f>
        <v/>
      </c>
    </row>
    <row r="102" ht="15" customHeight="1">
      <c r="A102" t="inlineStr">
        <is>
          <t>A 2463-2026</t>
        </is>
      </c>
      <c r="B102" s="1" t="n">
        <v>46037</v>
      </c>
      <c r="C102" s="1" t="n">
        <v>46196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Grönhjon</t>
        </is>
      </c>
      <c r="S102">
        <f>HYPERLINK("https://klasma.github.io/Logging_1060/artfynd/A 2463-2026 artfynd.xlsx", "A 2463-2026")</f>
        <v/>
      </c>
      <c r="T102">
        <f>HYPERLINK("https://klasma.github.io/Logging_1060/kartor/A 2463-2026 karta.png", "A 2463-2026")</f>
        <v/>
      </c>
      <c r="V102">
        <f>HYPERLINK("https://klasma.github.io/Logging_1060/klagomål/A 2463-2026 FSC-klagomål.docx", "A 2463-2026")</f>
        <v/>
      </c>
      <c r="W102">
        <f>HYPERLINK("https://klasma.github.io/Logging_1060/klagomålsmail/A 2463-2026 FSC-klagomål mail.docx", "A 2463-2026")</f>
        <v/>
      </c>
      <c r="X102">
        <f>HYPERLINK("https://klasma.github.io/Logging_1060/tillsyn/A 2463-2026 tillsynsbegäran.docx", "A 2463-2026")</f>
        <v/>
      </c>
      <c r="Y102">
        <f>HYPERLINK("https://klasma.github.io/Logging_1060/tillsynsmail/A 2463-2026 tillsynsbegäran mail.docx", "A 2463-2026")</f>
        <v/>
      </c>
    </row>
    <row r="103" ht="15" customHeight="1">
      <c r="A103" t="inlineStr">
        <is>
          <t>A 34742-2023</t>
        </is>
      </c>
      <c r="B103" s="1" t="n">
        <v>45141</v>
      </c>
      <c r="C103" s="1" t="n">
        <v>46196</v>
      </c>
      <c r="D103" t="inlineStr">
        <is>
          <t>BLEKINGE LÄN</t>
        </is>
      </c>
      <c r="E103" t="inlineStr">
        <is>
          <t>OLOFSTRÖM</t>
        </is>
      </c>
      <c r="G103" t="n">
        <v>3.6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Guldlockmossa</t>
        </is>
      </c>
      <c r="S103">
        <f>HYPERLINK("https://klasma.github.io/Logging_1060/artfynd/A 34742-2023 artfynd.xlsx", "A 34742-2023")</f>
        <v/>
      </c>
      <c r="T103">
        <f>HYPERLINK("https://klasma.github.io/Logging_1060/kartor/A 34742-2023 karta.png", "A 34742-2023")</f>
        <v/>
      </c>
      <c r="V103">
        <f>HYPERLINK("https://klasma.github.io/Logging_1060/klagomål/A 34742-2023 FSC-klagomål.docx", "A 34742-2023")</f>
        <v/>
      </c>
      <c r="W103">
        <f>HYPERLINK("https://klasma.github.io/Logging_1060/klagomålsmail/A 34742-2023 FSC-klagomål mail.docx", "A 34742-2023")</f>
        <v/>
      </c>
      <c r="X103">
        <f>HYPERLINK("https://klasma.github.io/Logging_1060/tillsyn/A 34742-2023 tillsynsbegäran.docx", "A 34742-2023")</f>
        <v/>
      </c>
      <c r="Y103">
        <f>HYPERLINK("https://klasma.github.io/Logging_1060/tillsynsmail/A 34742-2023 tillsynsbegäran mail.docx", "A 34742-2023")</f>
        <v/>
      </c>
    </row>
    <row r="104" ht="15" customHeight="1">
      <c r="A104" t="inlineStr">
        <is>
          <t>A 29000-2023</t>
        </is>
      </c>
      <c r="B104" s="1" t="n">
        <v>45104</v>
      </c>
      <c r="C104" s="1" t="n">
        <v>46196</v>
      </c>
      <c r="D104" t="inlineStr">
        <is>
          <t>BLEKINGE LÄN</t>
        </is>
      </c>
      <c r="E104" t="inlineStr">
        <is>
          <t>KARLSHAMN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Grönhjon</t>
        </is>
      </c>
      <c r="S104">
        <f>HYPERLINK("https://klasma.github.io/Logging_1082/artfynd/A 29000-2023 artfynd.xlsx", "A 29000-2023")</f>
        <v/>
      </c>
      <c r="T104">
        <f>HYPERLINK("https://klasma.github.io/Logging_1082/kartor/A 29000-2023 karta.png", "A 29000-2023")</f>
        <v/>
      </c>
      <c r="V104">
        <f>HYPERLINK("https://klasma.github.io/Logging_1082/klagomål/A 29000-2023 FSC-klagomål.docx", "A 29000-2023")</f>
        <v/>
      </c>
      <c r="W104">
        <f>HYPERLINK("https://klasma.github.io/Logging_1082/klagomålsmail/A 29000-2023 FSC-klagomål mail.docx", "A 29000-2023")</f>
        <v/>
      </c>
      <c r="X104">
        <f>HYPERLINK("https://klasma.github.io/Logging_1082/tillsyn/A 29000-2023 tillsynsbegäran.docx", "A 29000-2023")</f>
        <v/>
      </c>
      <c r="Y104">
        <f>HYPERLINK("https://klasma.github.io/Logging_1082/tillsynsmail/A 29000-2023 tillsynsbegäran mail.docx", "A 29000-2023")</f>
        <v/>
      </c>
    </row>
    <row r="105" ht="15" customHeight="1">
      <c r="A105" t="inlineStr">
        <is>
          <t>A 34609-2025</t>
        </is>
      </c>
      <c r="B105" s="1" t="n">
        <v>45847</v>
      </c>
      <c r="C105" s="1" t="n">
        <v>46196</v>
      </c>
      <c r="D105" t="inlineStr">
        <is>
          <t>BLEKINGE LÄN</t>
        </is>
      </c>
      <c r="E105" t="inlineStr">
        <is>
          <t>KARLSKRONA</t>
        </is>
      </c>
      <c r="G105" t="n">
        <v>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Backsippa</t>
        </is>
      </c>
      <c r="S105">
        <f>HYPERLINK("https://klasma.github.io/Logging_1080/artfynd/A 34609-2025 artfynd.xlsx", "A 34609-2025")</f>
        <v/>
      </c>
      <c r="T105">
        <f>HYPERLINK("https://klasma.github.io/Logging_1080/kartor/A 34609-2025 karta.png", "A 34609-2025")</f>
        <v/>
      </c>
      <c r="V105">
        <f>HYPERLINK("https://klasma.github.io/Logging_1080/klagomål/A 34609-2025 FSC-klagomål.docx", "A 34609-2025")</f>
        <v/>
      </c>
      <c r="W105">
        <f>HYPERLINK("https://klasma.github.io/Logging_1080/klagomålsmail/A 34609-2025 FSC-klagomål mail.docx", "A 34609-2025")</f>
        <v/>
      </c>
      <c r="X105">
        <f>HYPERLINK("https://klasma.github.io/Logging_1080/tillsyn/A 34609-2025 tillsynsbegäran.docx", "A 34609-2025")</f>
        <v/>
      </c>
      <c r="Y105">
        <f>HYPERLINK("https://klasma.github.io/Logging_1080/tillsynsmail/A 34609-2025 tillsynsbegäran mail.docx", "A 34609-2025")</f>
        <v/>
      </c>
    </row>
    <row r="106" ht="15" customHeight="1">
      <c r="A106" t="inlineStr">
        <is>
          <t>A 5425-2026</t>
        </is>
      </c>
      <c r="B106" s="1" t="n">
        <v>46050</v>
      </c>
      <c r="C106" s="1" t="n">
        <v>46196</v>
      </c>
      <c r="D106" t="inlineStr">
        <is>
          <t>BLEKINGE LÄN</t>
        </is>
      </c>
      <c r="E106" t="inlineStr">
        <is>
          <t>OLOFSTRÖM</t>
        </is>
      </c>
      <c r="G106" t="n">
        <v>5.4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HYPERLINK("https://klasma.github.io/Logging_1060/artfynd/A 5425-2026 artfynd.xlsx", "A 5425-2026")</f>
        <v/>
      </c>
      <c r="T106">
        <f>HYPERLINK("https://klasma.github.io/Logging_1060/kartor/A 5425-2026 karta.png", "A 5425-2026")</f>
        <v/>
      </c>
      <c r="V106">
        <f>HYPERLINK("https://klasma.github.io/Logging_1060/klagomål/A 5425-2026 FSC-klagomål.docx", "A 5425-2026")</f>
        <v/>
      </c>
      <c r="W106">
        <f>HYPERLINK("https://klasma.github.io/Logging_1060/klagomålsmail/A 5425-2026 FSC-klagomål mail.docx", "A 5425-2026")</f>
        <v/>
      </c>
      <c r="X106">
        <f>HYPERLINK("https://klasma.github.io/Logging_1060/tillsyn/A 5425-2026 tillsynsbegäran.docx", "A 5425-2026")</f>
        <v/>
      </c>
      <c r="Y106">
        <f>HYPERLINK("https://klasma.github.io/Logging_1060/tillsynsmail/A 5425-2026 tillsynsbegäran mail.docx", "A 5425-2026")</f>
        <v/>
      </c>
    </row>
    <row r="107" ht="15" customHeight="1">
      <c r="A107" t="inlineStr">
        <is>
          <t>A 19602-2023</t>
        </is>
      </c>
      <c r="B107" s="1" t="n">
        <v>45050</v>
      </c>
      <c r="C107" s="1" t="n">
        <v>46196</v>
      </c>
      <c r="D107" t="inlineStr">
        <is>
          <t>BLEKINGE LÄN</t>
        </is>
      </c>
      <c r="E107" t="inlineStr">
        <is>
          <t>KARLSKRONA</t>
        </is>
      </c>
      <c r="G107" t="n">
        <v>19.5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HYPERLINK("https://klasma.github.io/Logging_1080/artfynd/A 19602-2023 artfynd.xlsx", "A 19602-2023")</f>
        <v/>
      </c>
      <c r="T107">
        <f>HYPERLINK("https://klasma.github.io/Logging_1080/kartor/A 19602-2023 karta.png", "A 19602-2023")</f>
        <v/>
      </c>
      <c r="V107">
        <f>HYPERLINK("https://klasma.github.io/Logging_1080/klagomål/A 19602-2023 FSC-klagomål.docx", "A 19602-2023")</f>
        <v/>
      </c>
      <c r="W107">
        <f>HYPERLINK("https://klasma.github.io/Logging_1080/klagomålsmail/A 19602-2023 FSC-klagomål mail.docx", "A 19602-2023")</f>
        <v/>
      </c>
      <c r="X107">
        <f>HYPERLINK("https://klasma.github.io/Logging_1080/tillsyn/A 19602-2023 tillsynsbegäran.docx", "A 19602-2023")</f>
        <v/>
      </c>
      <c r="Y107">
        <f>HYPERLINK("https://klasma.github.io/Logging_1080/tillsynsmail/A 19602-2023 tillsynsbegäran mail.docx", "A 19602-2023")</f>
        <v/>
      </c>
    </row>
    <row r="108" ht="15" customHeight="1">
      <c r="A108" t="inlineStr">
        <is>
          <t>A 1356-2024</t>
        </is>
      </c>
      <c r="B108" s="1" t="n">
        <v>45303</v>
      </c>
      <c r="C108" s="1" t="n">
        <v>46196</v>
      </c>
      <c r="D108" t="inlineStr">
        <is>
          <t>BLEKINGE LÄN</t>
        </is>
      </c>
      <c r="E108" t="inlineStr">
        <is>
          <t>KARLSKRONA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Ekoxe</t>
        </is>
      </c>
      <c r="S108">
        <f>HYPERLINK("https://klasma.github.io/Logging_1080/artfynd/A 1356-2024 artfynd.xlsx", "A 1356-2024")</f>
        <v/>
      </c>
      <c r="T108">
        <f>HYPERLINK("https://klasma.github.io/Logging_1080/kartor/A 1356-2024 karta.png", "A 1356-2024")</f>
        <v/>
      </c>
      <c r="V108">
        <f>HYPERLINK("https://klasma.github.io/Logging_1080/klagomål/A 1356-2024 FSC-klagomål.docx", "A 1356-2024")</f>
        <v/>
      </c>
      <c r="W108">
        <f>HYPERLINK("https://klasma.github.io/Logging_1080/klagomålsmail/A 1356-2024 FSC-klagomål mail.docx", "A 1356-2024")</f>
        <v/>
      </c>
      <c r="X108">
        <f>HYPERLINK("https://klasma.github.io/Logging_1080/tillsyn/A 1356-2024 tillsynsbegäran.docx", "A 1356-2024")</f>
        <v/>
      </c>
      <c r="Y108">
        <f>HYPERLINK("https://klasma.github.io/Logging_1080/tillsynsmail/A 1356-2024 tillsynsbegäran mail.docx", "A 1356-2024")</f>
        <v/>
      </c>
    </row>
    <row r="109" ht="15" customHeight="1">
      <c r="A109" t="inlineStr">
        <is>
          <t>A 21447-2025</t>
        </is>
      </c>
      <c r="B109" s="1" t="n">
        <v>45782</v>
      </c>
      <c r="C109" s="1" t="n">
        <v>46196</v>
      </c>
      <c r="D109" t="inlineStr">
        <is>
          <t>BLEKINGE LÄN</t>
        </is>
      </c>
      <c r="E109" t="inlineStr">
        <is>
          <t>KARLSHAMN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HYPERLINK("https://klasma.github.io/Logging_1082/artfynd/A 21447-2025 artfynd.xlsx", "A 21447-2025")</f>
        <v/>
      </c>
      <c r="T109">
        <f>HYPERLINK("https://klasma.github.io/Logging_1082/kartor/A 21447-2025 karta.png", "A 21447-2025")</f>
        <v/>
      </c>
      <c r="V109">
        <f>HYPERLINK("https://klasma.github.io/Logging_1082/klagomål/A 21447-2025 FSC-klagomål.docx", "A 21447-2025")</f>
        <v/>
      </c>
      <c r="W109">
        <f>HYPERLINK("https://klasma.github.io/Logging_1082/klagomålsmail/A 21447-2025 FSC-klagomål mail.docx", "A 21447-2025")</f>
        <v/>
      </c>
      <c r="X109">
        <f>HYPERLINK("https://klasma.github.io/Logging_1082/tillsyn/A 21447-2025 tillsynsbegäran.docx", "A 21447-2025")</f>
        <v/>
      </c>
      <c r="Y109">
        <f>HYPERLINK("https://klasma.github.io/Logging_1082/tillsynsmail/A 21447-2025 tillsynsbegäran mail.docx", "A 21447-2025")</f>
        <v/>
      </c>
    </row>
    <row r="110" ht="15" customHeight="1">
      <c r="A110" t="inlineStr">
        <is>
          <t>A 9033-2026</t>
        </is>
      </c>
      <c r="B110" s="1" t="n">
        <v>46069</v>
      </c>
      <c r="C110" s="1" t="n">
        <v>46196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HYPERLINK("https://klasma.github.io/Logging_1080/artfynd/A 9033-2026 artfynd.xlsx", "A 9033-2026")</f>
        <v/>
      </c>
      <c r="T110">
        <f>HYPERLINK("https://klasma.github.io/Logging_1080/kartor/A 9033-2026 karta.png", "A 9033-2026")</f>
        <v/>
      </c>
      <c r="V110">
        <f>HYPERLINK("https://klasma.github.io/Logging_1080/klagomål/A 9033-2026 FSC-klagomål.docx", "A 9033-2026")</f>
        <v/>
      </c>
      <c r="W110">
        <f>HYPERLINK("https://klasma.github.io/Logging_1080/klagomålsmail/A 9033-2026 FSC-klagomål mail.docx", "A 9033-2026")</f>
        <v/>
      </c>
      <c r="X110">
        <f>HYPERLINK("https://klasma.github.io/Logging_1080/tillsyn/A 9033-2026 tillsynsbegäran.docx", "A 9033-2026")</f>
        <v/>
      </c>
      <c r="Y110">
        <f>HYPERLINK("https://klasma.github.io/Logging_1080/tillsynsmail/A 9033-2026 tillsynsbegäran mail.docx", "A 9033-2026")</f>
        <v/>
      </c>
    </row>
    <row r="111" ht="15" customHeight="1">
      <c r="A111" t="inlineStr">
        <is>
          <t>A 9313-2026</t>
        </is>
      </c>
      <c r="B111" s="1" t="n">
        <v>46070</v>
      </c>
      <c r="C111" s="1" t="n">
        <v>46196</v>
      </c>
      <c r="D111" t="inlineStr">
        <is>
          <t>BLEKINGE LÄN</t>
        </is>
      </c>
      <c r="E111" t="inlineStr">
        <is>
          <t>OLOFSTRÖM</t>
        </is>
      </c>
      <c r="G111" t="n">
        <v>12.5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HYPERLINK("https://klasma.github.io/Logging_1060/artfynd/A 9313-2026 artfynd.xlsx", "A 9313-2026")</f>
        <v/>
      </c>
      <c r="T111">
        <f>HYPERLINK("https://klasma.github.io/Logging_1060/kartor/A 9313-2026 karta.png", "A 9313-2026")</f>
        <v/>
      </c>
      <c r="V111">
        <f>HYPERLINK("https://klasma.github.io/Logging_1060/klagomål/A 9313-2026 FSC-klagomål.docx", "A 9313-2026")</f>
        <v/>
      </c>
      <c r="W111">
        <f>HYPERLINK("https://klasma.github.io/Logging_1060/klagomålsmail/A 9313-2026 FSC-klagomål mail.docx", "A 9313-2026")</f>
        <v/>
      </c>
      <c r="X111">
        <f>HYPERLINK("https://klasma.github.io/Logging_1060/tillsyn/A 9313-2026 tillsynsbegäran.docx", "A 9313-2026")</f>
        <v/>
      </c>
      <c r="Y111">
        <f>HYPERLINK("https://klasma.github.io/Logging_1060/tillsynsmail/A 9313-2026 tillsynsbegäran mail.docx", "A 9313-2026")</f>
        <v/>
      </c>
    </row>
    <row r="112" ht="15" customHeight="1">
      <c r="A112" t="inlineStr">
        <is>
          <t>A 5571-2023</t>
        </is>
      </c>
      <c r="B112" s="1" t="n">
        <v>44957</v>
      </c>
      <c r="C112" s="1" t="n">
        <v>46196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HYPERLINK("https://klasma.github.io/Logging_1081/artfynd/A 5571-2023 artfynd.xlsx", "A 5571-2023")</f>
        <v/>
      </c>
      <c r="T112">
        <f>HYPERLINK("https://klasma.github.io/Logging_1081/kartor/A 5571-2023 karta.png", "A 5571-2023")</f>
        <v/>
      </c>
      <c r="V112">
        <f>HYPERLINK("https://klasma.github.io/Logging_1081/klagomål/A 5571-2023 FSC-klagomål.docx", "A 5571-2023")</f>
        <v/>
      </c>
      <c r="W112">
        <f>HYPERLINK("https://klasma.github.io/Logging_1081/klagomålsmail/A 5571-2023 FSC-klagomål mail.docx", "A 5571-2023")</f>
        <v/>
      </c>
      <c r="X112">
        <f>HYPERLINK("https://klasma.github.io/Logging_1081/tillsyn/A 5571-2023 tillsynsbegäran.docx", "A 5571-2023")</f>
        <v/>
      </c>
      <c r="Y112">
        <f>HYPERLINK("https://klasma.github.io/Logging_1081/tillsynsmail/A 5571-2023 tillsynsbegäran mail.docx", "A 5571-2023")</f>
        <v/>
      </c>
    </row>
    <row r="113" ht="15" customHeight="1">
      <c r="A113" t="inlineStr">
        <is>
          <t>A 12660-2026</t>
        </is>
      </c>
      <c r="B113" s="1" t="n">
        <v>46091</v>
      </c>
      <c r="C113" s="1" t="n">
        <v>46196</v>
      </c>
      <c r="D113" t="inlineStr">
        <is>
          <t>BLEKINGE LÄN</t>
        </is>
      </c>
      <c r="E113" t="inlineStr">
        <is>
          <t>RONNEBY</t>
        </is>
      </c>
      <c r="G113" t="n">
        <v>3.4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HYPERLINK("https://klasma.github.io/Logging_1081/artfynd/A 12660-2026 artfynd.xlsx", "A 12660-2026")</f>
        <v/>
      </c>
      <c r="T113">
        <f>HYPERLINK("https://klasma.github.io/Logging_1081/kartor/A 12660-2026 karta.png", "A 12660-2026")</f>
        <v/>
      </c>
      <c r="V113">
        <f>HYPERLINK("https://klasma.github.io/Logging_1081/klagomål/A 12660-2026 FSC-klagomål.docx", "A 12660-2026")</f>
        <v/>
      </c>
      <c r="W113">
        <f>HYPERLINK("https://klasma.github.io/Logging_1081/klagomålsmail/A 12660-2026 FSC-klagomål mail.docx", "A 12660-2026")</f>
        <v/>
      </c>
      <c r="X113">
        <f>HYPERLINK("https://klasma.github.io/Logging_1081/tillsyn/A 12660-2026 tillsynsbegäran.docx", "A 12660-2026")</f>
        <v/>
      </c>
      <c r="Y113">
        <f>HYPERLINK("https://klasma.github.io/Logging_1081/tillsynsmail/A 12660-2026 tillsynsbegäran mail.docx", "A 12660-2026")</f>
        <v/>
      </c>
    </row>
    <row r="114" ht="15" customHeight="1">
      <c r="A114" t="inlineStr">
        <is>
          <t>A 16465-2026</t>
        </is>
      </c>
      <c r="B114" s="1" t="n">
        <v>46112</v>
      </c>
      <c r="C114" s="1" t="n">
        <v>46196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HYPERLINK("https://klasma.github.io/Logging_1080/artfynd/A 16465-2026 artfynd.xlsx", "A 16465-2026")</f>
        <v/>
      </c>
      <c r="T114">
        <f>HYPERLINK("https://klasma.github.io/Logging_1080/kartor/A 16465-2026 karta.png", "A 16465-2026")</f>
        <v/>
      </c>
      <c r="V114">
        <f>HYPERLINK("https://klasma.github.io/Logging_1080/klagomål/A 16465-2026 FSC-klagomål.docx", "A 16465-2026")</f>
        <v/>
      </c>
      <c r="W114">
        <f>HYPERLINK("https://klasma.github.io/Logging_1080/klagomålsmail/A 16465-2026 FSC-klagomål mail.docx", "A 16465-2026")</f>
        <v/>
      </c>
      <c r="X114">
        <f>HYPERLINK("https://klasma.github.io/Logging_1080/tillsyn/A 16465-2026 tillsynsbegäran.docx", "A 16465-2026")</f>
        <v/>
      </c>
      <c r="Y114">
        <f>HYPERLINK("https://klasma.github.io/Logging_1080/tillsynsmail/A 16465-2026 tillsynsbegäran mail.docx", "A 16465-2026")</f>
        <v/>
      </c>
    </row>
    <row r="115" ht="15" customHeight="1">
      <c r="A115" t="inlineStr">
        <is>
          <t>A 49064-2024</t>
        </is>
      </c>
      <c r="B115" s="1" t="n">
        <v>45594</v>
      </c>
      <c r="C115" s="1" t="n">
        <v>46196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Grönhjon</t>
        </is>
      </c>
      <c r="S115">
        <f>HYPERLINK("https://klasma.github.io/Logging_1060/artfynd/A 49064-2024 artfynd.xlsx", "A 49064-2024")</f>
        <v/>
      </c>
      <c r="T115">
        <f>HYPERLINK("https://klasma.github.io/Logging_1060/kartor/A 49064-2024 karta.png", "A 49064-2024")</f>
        <v/>
      </c>
      <c r="V115">
        <f>HYPERLINK("https://klasma.github.io/Logging_1060/klagomål/A 49064-2024 FSC-klagomål.docx", "A 49064-2024")</f>
        <v/>
      </c>
      <c r="W115">
        <f>HYPERLINK("https://klasma.github.io/Logging_1060/klagomålsmail/A 49064-2024 FSC-klagomål mail.docx", "A 49064-2024")</f>
        <v/>
      </c>
      <c r="X115">
        <f>HYPERLINK("https://klasma.github.io/Logging_1060/tillsyn/A 49064-2024 tillsynsbegäran.docx", "A 49064-2024")</f>
        <v/>
      </c>
      <c r="Y115">
        <f>HYPERLINK("https://klasma.github.io/Logging_1060/tillsynsmail/A 49064-2024 tillsynsbegäran mail.docx", "A 49064-2024")</f>
        <v/>
      </c>
    </row>
    <row r="116" ht="15" customHeight="1">
      <c r="A116" t="inlineStr">
        <is>
          <t>A 9378-2026</t>
        </is>
      </c>
      <c r="B116" s="1" t="n">
        <v>46070</v>
      </c>
      <c r="C116" s="1" t="n">
        <v>46196</v>
      </c>
      <c r="D116" t="inlineStr">
        <is>
          <t>BLEKINGE LÄN</t>
        </is>
      </c>
      <c r="E116" t="inlineStr">
        <is>
          <t>KARLSKRONA</t>
        </is>
      </c>
      <c r="G116" t="n">
        <v>3.9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HYPERLINK("https://klasma.github.io/Logging_1080/artfynd/A 9378-2026 artfynd.xlsx", "A 9378-2026")</f>
        <v/>
      </c>
      <c r="T116">
        <f>HYPERLINK("https://klasma.github.io/Logging_1080/kartor/A 9378-2026 karta.png", "A 9378-2026")</f>
        <v/>
      </c>
      <c r="V116">
        <f>HYPERLINK("https://klasma.github.io/Logging_1080/klagomål/A 9378-2026 FSC-klagomål.docx", "A 9378-2026")</f>
        <v/>
      </c>
      <c r="W116">
        <f>HYPERLINK("https://klasma.github.io/Logging_1080/klagomålsmail/A 9378-2026 FSC-klagomål mail.docx", "A 9378-2026")</f>
        <v/>
      </c>
      <c r="X116">
        <f>HYPERLINK("https://klasma.github.io/Logging_1080/tillsyn/A 9378-2026 tillsynsbegäran.docx", "A 9378-2026")</f>
        <v/>
      </c>
      <c r="Y116">
        <f>HYPERLINK("https://klasma.github.io/Logging_1080/tillsynsmail/A 9378-2026 tillsynsbegäran mail.docx", "A 9378-2026")</f>
        <v/>
      </c>
    </row>
    <row r="117" ht="15" customHeight="1">
      <c r="A117" t="inlineStr">
        <is>
          <t>A 18052-2026</t>
        </is>
      </c>
      <c r="B117" s="1" t="n">
        <v>46125</v>
      </c>
      <c r="C117" s="1" t="n">
        <v>46196</v>
      </c>
      <c r="D117" t="inlineStr">
        <is>
          <t>BLEKINGE LÄN</t>
        </is>
      </c>
      <c r="E117" t="inlineStr">
        <is>
          <t>KARLSKRONA</t>
        </is>
      </c>
      <c r="G117" t="n">
        <v>4.5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HYPERLINK("https://klasma.github.io/Logging_1080/artfynd/A 18052-2026 artfynd.xlsx", "A 18052-2026")</f>
        <v/>
      </c>
      <c r="T117">
        <f>HYPERLINK("https://klasma.github.io/Logging_1080/kartor/A 18052-2026 karta.png", "A 18052-2026")</f>
        <v/>
      </c>
      <c r="V117">
        <f>HYPERLINK("https://klasma.github.io/Logging_1080/klagomål/A 18052-2026 FSC-klagomål.docx", "A 18052-2026")</f>
        <v/>
      </c>
      <c r="W117">
        <f>HYPERLINK("https://klasma.github.io/Logging_1080/klagomålsmail/A 18052-2026 FSC-klagomål mail.docx", "A 18052-2026")</f>
        <v/>
      </c>
      <c r="X117">
        <f>HYPERLINK("https://klasma.github.io/Logging_1080/tillsyn/A 18052-2026 tillsynsbegäran.docx", "A 18052-2026")</f>
        <v/>
      </c>
      <c r="Y117">
        <f>HYPERLINK("https://klasma.github.io/Logging_1080/tillsynsmail/A 18052-2026 tillsynsbegäran mail.docx", "A 18052-2026")</f>
        <v/>
      </c>
    </row>
    <row r="118" ht="15" customHeight="1">
      <c r="A118" t="inlineStr">
        <is>
          <t>A 25104-2026</t>
        </is>
      </c>
      <c r="B118" s="1" t="n">
        <v>46175</v>
      </c>
      <c r="C118" s="1" t="n">
        <v>46196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Backsippa</t>
        </is>
      </c>
      <c r="S118">
        <f>HYPERLINK("https://klasma.github.io/Logging_1081/artfynd/A 25104-2026 artfynd.xlsx", "A 25104-2026")</f>
        <v/>
      </c>
      <c r="T118">
        <f>HYPERLINK("https://klasma.github.io/Logging_1081/kartor/A 25104-2026 karta.png", "A 25104-2026")</f>
        <v/>
      </c>
      <c r="V118">
        <f>HYPERLINK("https://klasma.github.io/Logging_1081/klagomål/A 25104-2026 FSC-klagomål.docx", "A 25104-2026")</f>
        <v/>
      </c>
      <c r="W118">
        <f>HYPERLINK("https://klasma.github.io/Logging_1081/klagomålsmail/A 25104-2026 FSC-klagomål mail.docx", "A 25104-2026")</f>
        <v/>
      </c>
      <c r="X118">
        <f>HYPERLINK("https://klasma.github.io/Logging_1081/tillsyn/A 25104-2026 tillsynsbegäran.docx", "A 25104-2026")</f>
        <v/>
      </c>
      <c r="Y118">
        <f>HYPERLINK("https://klasma.github.io/Logging_1081/tillsynsmail/A 25104-2026 tillsynsbegäran mail.docx", "A 25104-2026")</f>
        <v/>
      </c>
    </row>
    <row r="119" ht="15" customHeight="1">
      <c r="A119" t="inlineStr">
        <is>
          <t>A 19471-2026</t>
        </is>
      </c>
      <c r="B119" s="1" t="n">
        <v>46133</v>
      </c>
      <c r="C119" s="1" t="n">
        <v>46196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19471-2026 artfynd.xlsx", "A 19471-2026")</f>
        <v/>
      </c>
      <c r="T119">
        <f>HYPERLINK("https://klasma.github.io/Logging_1081/kartor/A 19471-2026 karta.png", "A 19471-2026")</f>
        <v/>
      </c>
      <c r="V119">
        <f>HYPERLINK("https://klasma.github.io/Logging_1081/klagomål/A 19471-2026 FSC-klagomål.docx", "A 19471-2026")</f>
        <v/>
      </c>
      <c r="W119">
        <f>HYPERLINK("https://klasma.github.io/Logging_1081/klagomålsmail/A 19471-2026 FSC-klagomål mail.docx", "A 19471-2026")</f>
        <v/>
      </c>
      <c r="X119">
        <f>HYPERLINK("https://klasma.github.io/Logging_1081/tillsyn/A 19471-2026 tillsynsbegäran.docx", "A 19471-2026")</f>
        <v/>
      </c>
      <c r="Y119">
        <f>HYPERLINK("https://klasma.github.io/Logging_1081/tillsynsmail/A 19471-2026 tillsynsbegäran mail.docx", "A 19471-2026")</f>
        <v/>
      </c>
    </row>
    <row r="120" ht="15" customHeight="1">
      <c r="A120" t="inlineStr">
        <is>
          <t>A 44576-2025</t>
        </is>
      </c>
      <c r="B120" s="1" t="n">
        <v>45917</v>
      </c>
      <c r="C120" s="1" t="n">
        <v>46196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HYPERLINK("https://klasma.github.io/Logging_1080/artfynd/A 44576-2025 artfynd.xlsx", "A 44576-2025")</f>
        <v/>
      </c>
      <c r="T120">
        <f>HYPERLINK("https://klasma.github.io/Logging_1080/kartor/A 44576-2025 karta.png", "A 44576-2025")</f>
        <v/>
      </c>
      <c r="V120">
        <f>HYPERLINK("https://klasma.github.io/Logging_1080/klagomål/A 44576-2025 FSC-klagomål.docx", "A 44576-2025")</f>
        <v/>
      </c>
      <c r="W120">
        <f>HYPERLINK("https://klasma.github.io/Logging_1080/klagomålsmail/A 44576-2025 FSC-klagomål mail.docx", "A 44576-2025")</f>
        <v/>
      </c>
      <c r="X120">
        <f>HYPERLINK("https://klasma.github.io/Logging_1080/tillsyn/A 44576-2025 tillsynsbegäran.docx", "A 44576-2025")</f>
        <v/>
      </c>
      <c r="Y120">
        <f>HYPERLINK("https://klasma.github.io/Logging_1080/tillsynsmail/A 44576-2025 tillsynsbegäran mail.docx", "A 44576-2025")</f>
        <v/>
      </c>
    </row>
    <row r="121" ht="15" customHeight="1">
      <c r="A121" t="inlineStr">
        <is>
          <t>A 26114-2026</t>
        </is>
      </c>
      <c r="B121" s="1" t="n">
        <v>46181</v>
      </c>
      <c r="C121" s="1" t="n">
        <v>46196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HYPERLINK("https://klasma.github.io/Logging_1081/artfynd/A 26114-2026 artfynd.xlsx", "A 26114-2026")</f>
        <v/>
      </c>
      <c r="T121">
        <f>HYPERLINK("https://klasma.github.io/Logging_1081/kartor/A 26114-2026 karta.png", "A 26114-2026")</f>
        <v/>
      </c>
      <c r="V121">
        <f>HYPERLINK("https://klasma.github.io/Logging_1081/klagomål/A 26114-2026 FSC-klagomål.docx", "A 26114-2026")</f>
        <v/>
      </c>
      <c r="W121">
        <f>HYPERLINK("https://klasma.github.io/Logging_1081/klagomålsmail/A 26114-2026 FSC-klagomål mail.docx", "A 26114-2026")</f>
        <v/>
      </c>
      <c r="X121">
        <f>HYPERLINK("https://klasma.github.io/Logging_1081/tillsyn/A 26114-2026 tillsynsbegäran.docx", "A 26114-2026")</f>
        <v/>
      </c>
      <c r="Y121">
        <f>HYPERLINK("https://klasma.github.io/Logging_1081/tillsynsmail/A 26114-2026 tillsynsbegäran mail.docx", "A 26114-2026")</f>
        <v/>
      </c>
    </row>
    <row r="122" ht="15" customHeight="1">
      <c r="A122" t="inlineStr">
        <is>
          <t>A 46675-2024</t>
        </is>
      </c>
      <c r="B122" s="1" t="n">
        <v>45583</v>
      </c>
      <c r="C122" s="1" t="n">
        <v>46196</v>
      </c>
      <c r="D122" t="inlineStr">
        <is>
          <t>BLEKINGE LÄN</t>
        </is>
      </c>
      <c r="E122" t="inlineStr">
        <is>
          <t>OLOFSTRÖM</t>
        </is>
      </c>
      <c r="G122" t="n">
        <v>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Sommarfibbla</t>
        </is>
      </c>
      <c r="S122">
        <f>HYPERLINK("https://klasma.github.io/Logging_1060/artfynd/A 46675-2024 artfynd.xlsx", "A 46675-2024")</f>
        <v/>
      </c>
      <c r="T122">
        <f>HYPERLINK("https://klasma.github.io/Logging_1060/kartor/A 46675-2024 karta.png", "A 46675-2024")</f>
        <v/>
      </c>
      <c r="V122">
        <f>HYPERLINK("https://klasma.github.io/Logging_1060/klagomål/A 46675-2024 FSC-klagomål.docx", "A 46675-2024")</f>
        <v/>
      </c>
      <c r="W122">
        <f>HYPERLINK("https://klasma.github.io/Logging_1060/klagomålsmail/A 46675-2024 FSC-klagomål mail.docx", "A 46675-2024")</f>
        <v/>
      </c>
      <c r="X122">
        <f>HYPERLINK("https://klasma.github.io/Logging_1060/tillsyn/A 46675-2024 tillsynsbegäran.docx", "A 46675-2024")</f>
        <v/>
      </c>
      <c r="Y122">
        <f>HYPERLINK("https://klasma.github.io/Logging_1060/tillsynsmail/A 46675-2024 tillsynsbegäran mail.docx", "A 46675-2024")</f>
        <v/>
      </c>
    </row>
    <row r="123" ht="15" customHeight="1">
      <c r="A123" t="inlineStr">
        <is>
          <t>A 26455-2026</t>
        </is>
      </c>
      <c r="B123" s="1" t="n">
        <v>46183</v>
      </c>
      <c r="C123" s="1" t="n">
        <v>46196</v>
      </c>
      <c r="D123" t="inlineStr">
        <is>
          <t>BLEKINGE LÄN</t>
        </is>
      </c>
      <c r="E123" t="inlineStr">
        <is>
          <t>SÖLVESBORG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Myskmadra</t>
        </is>
      </c>
      <c r="S123">
        <f>HYPERLINK("https://klasma.github.io/Logging_1083/artfynd/A 26455-2026 artfynd.xlsx", "A 26455-2026")</f>
        <v/>
      </c>
      <c r="T123">
        <f>HYPERLINK("https://klasma.github.io/Logging_1083/kartor/A 26455-2026 karta.png", "A 26455-2026")</f>
        <v/>
      </c>
      <c r="V123">
        <f>HYPERLINK("https://klasma.github.io/Logging_1083/klagomål/A 26455-2026 FSC-klagomål.docx", "A 26455-2026")</f>
        <v/>
      </c>
      <c r="W123">
        <f>HYPERLINK("https://klasma.github.io/Logging_1083/klagomålsmail/A 26455-2026 FSC-klagomål mail.docx", "A 26455-2026")</f>
        <v/>
      </c>
      <c r="X123">
        <f>HYPERLINK("https://klasma.github.io/Logging_1083/tillsyn/A 26455-2026 tillsynsbegäran.docx", "A 26455-2026")</f>
        <v/>
      </c>
      <c r="Y123">
        <f>HYPERLINK("https://klasma.github.io/Logging_1083/tillsynsmail/A 26455-2026 tillsynsbegäran mail.docx", "A 26455-2026")</f>
        <v/>
      </c>
    </row>
    <row r="124" ht="15" customHeight="1">
      <c r="A124" t="inlineStr">
        <is>
          <t>A 26288-2026</t>
        </is>
      </c>
      <c r="B124" s="1" t="n">
        <v>46182</v>
      </c>
      <c r="C124" s="1" t="n">
        <v>46196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Havstulpanlav</t>
        </is>
      </c>
      <c r="S124">
        <f>HYPERLINK("https://klasma.github.io/Logging_1081/artfynd/A 26288-2026 artfynd.xlsx", "A 26288-2026")</f>
        <v/>
      </c>
      <c r="T124">
        <f>HYPERLINK("https://klasma.github.io/Logging_1081/kartor/A 26288-2026 karta.png", "A 26288-2026")</f>
        <v/>
      </c>
      <c r="V124">
        <f>HYPERLINK("https://klasma.github.io/Logging_1081/klagomål/A 26288-2026 FSC-klagomål.docx", "A 26288-2026")</f>
        <v/>
      </c>
      <c r="W124">
        <f>HYPERLINK("https://klasma.github.io/Logging_1081/klagomålsmail/A 26288-2026 FSC-klagomål mail.docx", "A 26288-2026")</f>
        <v/>
      </c>
      <c r="X124">
        <f>HYPERLINK("https://klasma.github.io/Logging_1081/tillsyn/A 26288-2026 tillsynsbegäran.docx", "A 26288-2026")</f>
        <v/>
      </c>
      <c r="Y124">
        <f>HYPERLINK("https://klasma.github.io/Logging_1081/tillsynsmail/A 26288-2026 tillsynsbegäran mail.docx", "A 26288-2026")</f>
        <v/>
      </c>
    </row>
    <row r="125" ht="15" customHeight="1">
      <c r="A125" t="inlineStr">
        <is>
          <t>A 20881-2026</t>
        </is>
      </c>
      <c r="B125" s="1" t="n">
        <v>46142</v>
      </c>
      <c r="C125" s="1" t="n">
        <v>46196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0.8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Kopparödla</t>
        </is>
      </c>
      <c r="S125">
        <f>HYPERLINK("https://klasma.github.io/Logging_1080/artfynd/A 20881-2026 artfynd.xlsx", "A 20881-2026")</f>
        <v/>
      </c>
      <c r="T125">
        <f>HYPERLINK("https://klasma.github.io/Logging_1080/kartor/A 20881-2026 karta.png", "A 20881-2026")</f>
        <v/>
      </c>
      <c r="V125">
        <f>HYPERLINK("https://klasma.github.io/Logging_1080/klagomål/A 20881-2026 FSC-klagomål.docx", "A 20881-2026")</f>
        <v/>
      </c>
      <c r="W125">
        <f>HYPERLINK("https://klasma.github.io/Logging_1080/klagomålsmail/A 20881-2026 FSC-klagomål mail.docx", "A 20881-2026")</f>
        <v/>
      </c>
      <c r="X125">
        <f>HYPERLINK("https://klasma.github.io/Logging_1080/tillsyn/A 20881-2026 tillsynsbegäran.docx", "A 20881-2026")</f>
        <v/>
      </c>
      <c r="Y125">
        <f>HYPERLINK("https://klasma.github.io/Logging_1080/tillsynsmail/A 20881-2026 tillsynsbegäran mail.docx", "A 20881-2026")</f>
        <v/>
      </c>
    </row>
    <row r="126" ht="15" customHeight="1">
      <c r="A126" t="inlineStr">
        <is>
          <t>A 27203-2026</t>
        </is>
      </c>
      <c r="B126" s="1" t="n">
        <v>46188</v>
      </c>
      <c r="C126" s="1" t="n">
        <v>46196</v>
      </c>
      <c r="D126" t="inlineStr">
        <is>
          <t>BLEKINGE LÄN</t>
        </is>
      </c>
      <c r="E126" t="inlineStr">
        <is>
          <t>KARLSKRONA</t>
        </is>
      </c>
      <c r="G126" t="n">
        <v>2.8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Nötkråka</t>
        </is>
      </c>
      <c r="S126">
        <f>HYPERLINK("https://klasma.github.io/Logging_1080/artfynd/A 27203-2026 artfynd.xlsx", "A 27203-2026")</f>
        <v/>
      </c>
      <c r="T126">
        <f>HYPERLINK("https://klasma.github.io/Logging_1080/kartor/A 27203-2026 karta.png", "A 27203-2026")</f>
        <v/>
      </c>
      <c r="V126">
        <f>HYPERLINK("https://klasma.github.io/Logging_1080/klagomål/A 27203-2026 FSC-klagomål.docx", "A 27203-2026")</f>
        <v/>
      </c>
      <c r="W126">
        <f>HYPERLINK("https://klasma.github.io/Logging_1080/klagomålsmail/A 27203-2026 FSC-klagomål mail.docx", "A 27203-2026")</f>
        <v/>
      </c>
      <c r="X126">
        <f>HYPERLINK("https://klasma.github.io/Logging_1080/tillsyn/A 27203-2026 tillsynsbegäran.docx", "A 27203-2026")</f>
        <v/>
      </c>
      <c r="Y126">
        <f>HYPERLINK("https://klasma.github.io/Logging_1080/tillsynsmail/A 27203-2026 tillsynsbegäran mail.docx", "A 27203-2026")</f>
        <v/>
      </c>
      <c r="Z126">
        <f>HYPERLINK("https://klasma.github.io/Logging_1080/fåglar/A 27203-2026 prioriterade fågelarter.docx", "A 27203-2026")</f>
        <v/>
      </c>
    </row>
    <row r="127" ht="15" customHeight="1">
      <c r="A127" t="inlineStr">
        <is>
          <t>A 58405-2022</t>
        </is>
      </c>
      <c r="B127" s="1" t="n">
        <v>44901</v>
      </c>
      <c r="C127" s="1" t="n">
        <v>46196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1.2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Grönsångare</t>
        </is>
      </c>
      <c r="S127">
        <f>HYPERLINK("https://klasma.github.io/Logging_1082/artfynd/A 58405-2022 artfynd.xlsx", "A 58405-2022")</f>
        <v/>
      </c>
      <c r="T127">
        <f>HYPERLINK("https://klasma.github.io/Logging_1082/kartor/A 58405-2022 karta.png", "A 58405-2022")</f>
        <v/>
      </c>
      <c r="V127">
        <f>HYPERLINK("https://klasma.github.io/Logging_1082/klagomål/A 58405-2022 FSC-klagomål.docx", "A 58405-2022")</f>
        <v/>
      </c>
      <c r="W127">
        <f>HYPERLINK("https://klasma.github.io/Logging_1082/klagomålsmail/A 58405-2022 FSC-klagomål mail.docx", "A 58405-2022")</f>
        <v/>
      </c>
      <c r="X127">
        <f>HYPERLINK("https://klasma.github.io/Logging_1082/tillsyn/A 58405-2022 tillsynsbegäran.docx", "A 58405-2022")</f>
        <v/>
      </c>
      <c r="Y127">
        <f>HYPERLINK("https://klasma.github.io/Logging_1082/tillsynsmail/A 58405-2022 tillsynsbegäran mail.docx", "A 58405-2022")</f>
        <v/>
      </c>
      <c r="Z127">
        <f>HYPERLINK("https://klasma.github.io/Logging_1082/fåglar/A 58405-2022 prioriterade fågelarter.docx", "A 58405-2022")</f>
        <v/>
      </c>
    </row>
    <row r="128" ht="15" customHeight="1">
      <c r="A128" t="inlineStr">
        <is>
          <t>A 8961-2024</t>
        </is>
      </c>
      <c r="B128" s="1" t="n">
        <v>45357</v>
      </c>
      <c r="C128" s="1" t="n">
        <v>46196</v>
      </c>
      <c r="D128" t="inlineStr">
        <is>
          <t>BLEKINGE LÄN</t>
        </is>
      </c>
      <c r="E128" t="inlineStr">
        <is>
          <t>RONNEBY</t>
        </is>
      </c>
      <c r="G128" t="n">
        <v>19.7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Lopplummer (aggregat)</t>
        </is>
      </c>
      <c r="S128">
        <f>HYPERLINK("https://klasma.github.io/Logging_1081/artfynd/A 8961-2024 artfynd.xlsx", "A 8961-2024")</f>
        <v/>
      </c>
      <c r="T128">
        <f>HYPERLINK("https://klasma.github.io/Logging_1081/kartor/A 8961-2024 karta.png", "A 8961-2024")</f>
        <v/>
      </c>
      <c r="V128">
        <f>HYPERLINK("https://klasma.github.io/Logging_1081/klagomål/A 8961-2024 FSC-klagomål.docx", "A 8961-2024")</f>
        <v/>
      </c>
      <c r="W128">
        <f>HYPERLINK("https://klasma.github.io/Logging_1081/klagomålsmail/A 8961-2024 FSC-klagomål mail.docx", "A 8961-2024")</f>
        <v/>
      </c>
      <c r="X128">
        <f>HYPERLINK("https://klasma.github.io/Logging_1081/tillsyn/A 8961-2024 tillsynsbegäran.docx", "A 8961-2024")</f>
        <v/>
      </c>
      <c r="Y128">
        <f>HYPERLINK("https://klasma.github.io/Logging_1081/tillsynsmail/A 8961-2024 tillsynsbegäran mail.docx", "A 8961-2024")</f>
        <v/>
      </c>
    </row>
    <row r="129" ht="15" customHeight="1">
      <c r="A129" t="inlineStr">
        <is>
          <t>A 47776-2023</t>
        </is>
      </c>
      <c r="B129" s="1" t="n">
        <v>45203</v>
      </c>
      <c r="C129" s="1" t="n">
        <v>46196</v>
      </c>
      <c r="D129" t="inlineStr">
        <is>
          <t>BLEKINGE LÄN</t>
        </is>
      </c>
      <c r="E129" t="inlineStr">
        <is>
          <t>OLOFSTRÖM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HYPERLINK("https://klasma.github.io/Logging_1060/artfynd/A 47776-2023 artfynd.xlsx", "A 47776-2023")</f>
        <v/>
      </c>
      <c r="T129">
        <f>HYPERLINK("https://klasma.github.io/Logging_1060/kartor/A 47776-2023 karta.png", "A 47776-2023")</f>
        <v/>
      </c>
      <c r="V129">
        <f>HYPERLINK("https://klasma.github.io/Logging_1060/klagomål/A 47776-2023 FSC-klagomål.docx", "A 47776-2023")</f>
        <v/>
      </c>
      <c r="W129">
        <f>HYPERLINK("https://klasma.github.io/Logging_1060/klagomålsmail/A 47776-2023 FSC-klagomål mail.docx", "A 47776-2023")</f>
        <v/>
      </c>
      <c r="X129">
        <f>HYPERLINK("https://klasma.github.io/Logging_1060/tillsyn/A 47776-2023 tillsynsbegäran.docx", "A 47776-2023")</f>
        <v/>
      </c>
      <c r="Y129">
        <f>HYPERLINK("https://klasma.github.io/Logging_1060/tillsynsmail/A 47776-2023 tillsynsbegäran mail.docx", "A 47776-2023")</f>
        <v/>
      </c>
    </row>
    <row r="130" ht="15" customHeight="1">
      <c r="A130" t="inlineStr">
        <is>
          <t>A 39085-2024</t>
        </is>
      </c>
      <c r="B130" s="1" t="n">
        <v>45548</v>
      </c>
      <c r="C130" s="1" t="n">
        <v>46196</v>
      </c>
      <c r="D130" t="inlineStr">
        <is>
          <t>BLEKINGE LÄN</t>
        </is>
      </c>
      <c r="E130" t="inlineStr">
        <is>
          <t>OLOFSTRÖM</t>
        </is>
      </c>
      <c r="G130" t="n">
        <v>2.3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HYPERLINK("https://klasma.github.io/Logging_1060/artfynd/A 39085-2024 artfynd.xlsx", "A 39085-2024")</f>
        <v/>
      </c>
      <c r="T130">
        <f>HYPERLINK("https://klasma.github.io/Logging_1060/kartor/A 39085-2024 karta.png", "A 39085-2024")</f>
        <v/>
      </c>
      <c r="V130">
        <f>HYPERLINK("https://klasma.github.io/Logging_1060/klagomål/A 39085-2024 FSC-klagomål.docx", "A 39085-2024")</f>
        <v/>
      </c>
      <c r="W130">
        <f>HYPERLINK("https://klasma.github.io/Logging_1060/klagomålsmail/A 39085-2024 FSC-klagomål mail.docx", "A 39085-2024")</f>
        <v/>
      </c>
      <c r="X130">
        <f>HYPERLINK("https://klasma.github.io/Logging_1060/tillsyn/A 39085-2024 tillsynsbegäran.docx", "A 39085-2024")</f>
        <v/>
      </c>
      <c r="Y130">
        <f>HYPERLINK("https://klasma.github.io/Logging_1060/tillsynsmail/A 39085-2024 tillsynsbegäran mail.docx", "A 39085-2024")</f>
        <v/>
      </c>
    </row>
    <row r="131" ht="15" customHeight="1">
      <c r="A131" t="inlineStr">
        <is>
          <t>A 39104-2024</t>
        </is>
      </c>
      <c r="B131" s="1" t="n">
        <v>45548</v>
      </c>
      <c r="C131" s="1" t="n">
        <v>46196</v>
      </c>
      <c r="D131" t="inlineStr">
        <is>
          <t>BLEKINGE LÄN</t>
        </is>
      </c>
      <c r="E131" t="inlineStr">
        <is>
          <t>OLOFSTRÖM</t>
        </is>
      </c>
      <c r="G131" t="n">
        <v>7.7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Sotriska</t>
        </is>
      </c>
      <c r="S131">
        <f>HYPERLINK("https://klasma.github.io/Logging_1060/artfynd/A 39104-2024 artfynd.xlsx", "A 39104-2024")</f>
        <v/>
      </c>
      <c r="T131">
        <f>HYPERLINK("https://klasma.github.io/Logging_1060/kartor/A 39104-2024 karta.png", "A 39104-2024")</f>
        <v/>
      </c>
      <c r="V131">
        <f>HYPERLINK("https://klasma.github.io/Logging_1060/klagomål/A 39104-2024 FSC-klagomål.docx", "A 39104-2024")</f>
        <v/>
      </c>
      <c r="W131">
        <f>HYPERLINK("https://klasma.github.io/Logging_1060/klagomålsmail/A 39104-2024 FSC-klagomål mail.docx", "A 39104-2024")</f>
        <v/>
      </c>
      <c r="X131">
        <f>HYPERLINK("https://klasma.github.io/Logging_1060/tillsyn/A 39104-2024 tillsynsbegäran.docx", "A 39104-2024")</f>
        <v/>
      </c>
      <c r="Y131">
        <f>HYPERLINK("https://klasma.github.io/Logging_1060/tillsynsmail/A 39104-2024 tillsynsbegäran mail.docx", "A 39104-2024")</f>
        <v/>
      </c>
    </row>
    <row r="132" ht="15" customHeight="1">
      <c r="A132" t="inlineStr">
        <is>
          <t>A 27979-2023</t>
        </is>
      </c>
      <c r="B132" s="1" t="n">
        <v>45098</v>
      </c>
      <c r="C132" s="1" t="n">
        <v>46196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HYPERLINK("https://klasma.github.io/Logging_1060/artfynd/A 27979-2023 artfynd.xlsx", "A 27979-2023")</f>
        <v/>
      </c>
      <c r="T132">
        <f>HYPERLINK("https://klasma.github.io/Logging_1060/kartor/A 27979-2023 karta.png", "A 27979-2023")</f>
        <v/>
      </c>
      <c r="V132">
        <f>HYPERLINK("https://klasma.github.io/Logging_1060/klagomål/A 27979-2023 FSC-klagomål.docx", "A 27979-2023")</f>
        <v/>
      </c>
      <c r="W132">
        <f>HYPERLINK("https://klasma.github.io/Logging_1060/klagomålsmail/A 27979-2023 FSC-klagomål mail.docx", "A 27979-2023")</f>
        <v/>
      </c>
      <c r="X132">
        <f>HYPERLINK("https://klasma.github.io/Logging_1060/tillsyn/A 27979-2023 tillsynsbegäran.docx", "A 27979-2023")</f>
        <v/>
      </c>
      <c r="Y132">
        <f>HYPERLINK("https://klasma.github.io/Logging_1060/tillsynsmail/A 27979-2023 tillsynsbegäran mail.docx", "A 27979-2023")</f>
        <v/>
      </c>
    </row>
    <row r="133" ht="15" customHeight="1">
      <c r="A133" t="inlineStr">
        <is>
          <t>A 33416-2023</t>
        </is>
      </c>
      <c r="B133" s="1" t="n">
        <v>45117</v>
      </c>
      <c r="C133" s="1" t="n">
        <v>46196</v>
      </c>
      <c r="D133" t="inlineStr">
        <is>
          <t>BLEKINGE LÄN</t>
        </is>
      </c>
      <c r="E133" t="inlineStr">
        <is>
          <t>OLOFSTRÖM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Skogsbräsma</t>
        </is>
      </c>
      <c r="S133">
        <f>HYPERLINK("https://klasma.github.io/Logging_1060/artfynd/A 33416-2023 artfynd.xlsx", "A 33416-2023")</f>
        <v/>
      </c>
      <c r="T133">
        <f>HYPERLINK("https://klasma.github.io/Logging_1060/kartor/A 33416-2023 karta.png", "A 33416-2023")</f>
        <v/>
      </c>
      <c r="V133">
        <f>HYPERLINK("https://klasma.github.io/Logging_1060/klagomål/A 33416-2023 FSC-klagomål.docx", "A 33416-2023")</f>
        <v/>
      </c>
      <c r="W133">
        <f>HYPERLINK("https://klasma.github.io/Logging_1060/klagomålsmail/A 33416-2023 FSC-klagomål mail.docx", "A 33416-2023")</f>
        <v/>
      </c>
      <c r="X133">
        <f>HYPERLINK("https://klasma.github.io/Logging_1060/tillsyn/A 33416-2023 tillsynsbegäran.docx", "A 33416-2023")</f>
        <v/>
      </c>
      <c r="Y133">
        <f>HYPERLINK("https://klasma.github.io/Logging_1060/tillsynsmail/A 33416-2023 tillsynsbegäran mail.docx", "A 33416-2023")</f>
        <v/>
      </c>
    </row>
    <row r="134" ht="15" customHeight="1">
      <c r="A134" t="inlineStr">
        <is>
          <t>A 30181-2023</t>
        </is>
      </c>
      <c r="B134" s="1" t="n">
        <v>45110</v>
      </c>
      <c r="C134" s="1" t="n">
        <v>46196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Hasselsnok</t>
        </is>
      </c>
      <c r="S134">
        <f>HYPERLINK("https://klasma.github.io/Logging_1080/artfynd/A 30181-2023 artfynd.xlsx", "A 30181-2023")</f>
        <v/>
      </c>
      <c r="T134">
        <f>HYPERLINK("https://klasma.github.io/Logging_1080/kartor/A 30181-2023 karta.png", "A 30181-2023")</f>
        <v/>
      </c>
      <c r="V134">
        <f>HYPERLINK("https://klasma.github.io/Logging_1080/klagomål/A 30181-2023 FSC-klagomål.docx", "A 30181-2023")</f>
        <v/>
      </c>
      <c r="W134">
        <f>HYPERLINK("https://klasma.github.io/Logging_1080/klagomålsmail/A 30181-2023 FSC-klagomål mail.docx", "A 30181-2023")</f>
        <v/>
      </c>
      <c r="X134">
        <f>HYPERLINK("https://klasma.github.io/Logging_1080/tillsyn/A 30181-2023 tillsynsbegäran.docx", "A 30181-2023")</f>
        <v/>
      </c>
      <c r="Y134">
        <f>HYPERLINK("https://klasma.github.io/Logging_1080/tillsynsmail/A 30181-2023 tillsynsbegäran mail.docx", "A 30181-2023")</f>
        <v/>
      </c>
    </row>
    <row r="135" ht="15" customHeight="1">
      <c r="A135" t="inlineStr">
        <is>
          <t>A 14345-2023</t>
        </is>
      </c>
      <c r="B135" s="1" t="n">
        <v>45012</v>
      </c>
      <c r="C135" s="1" t="n">
        <v>46196</v>
      </c>
      <c r="D135" t="inlineStr">
        <is>
          <t>BLEKINGE LÄN</t>
        </is>
      </c>
      <c r="E135" t="inlineStr">
        <is>
          <t>KARLSKRONA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Kavelhirs</t>
        </is>
      </c>
      <c r="S135">
        <f>HYPERLINK("https://klasma.github.io/Logging_1080/artfynd/A 14345-2023 artfynd.xlsx", "A 14345-2023")</f>
        <v/>
      </c>
      <c r="T135">
        <f>HYPERLINK("https://klasma.github.io/Logging_1080/kartor/A 14345-2023 karta.png", "A 14345-2023")</f>
        <v/>
      </c>
      <c r="V135">
        <f>HYPERLINK("https://klasma.github.io/Logging_1080/klagomål/A 14345-2023 FSC-klagomål.docx", "A 14345-2023")</f>
        <v/>
      </c>
      <c r="W135">
        <f>HYPERLINK("https://klasma.github.io/Logging_1080/klagomålsmail/A 14345-2023 FSC-klagomål mail.docx", "A 14345-2023")</f>
        <v/>
      </c>
      <c r="X135">
        <f>HYPERLINK("https://klasma.github.io/Logging_1080/tillsyn/A 14345-2023 tillsynsbegäran.docx", "A 14345-2023")</f>
        <v/>
      </c>
      <c r="Y135">
        <f>HYPERLINK("https://klasma.github.io/Logging_1080/tillsynsmail/A 14345-2023 tillsynsbegäran mail.docx", "A 14345-2023")</f>
        <v/>
      </c>
    </row>
    <row r="136" ht="15" customHeight="1">
      <c r="A136" t="inlineStr">
        <is>
          <t>A 45413-2023</t>
        </is>
      </c>
      <c r="B136" s="1" t="n">
        <v>45194</v>
      </c>
      <c r="C136" s="1" t="n">
        <v>46196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Jungfrulin</t>
        </is>
      </c>
      <c r="S136">
        <f>HYPERLINK("https://klasma.github.io/Logging_1081/artfynd/A 45413-2023 artfynd.xlsx", "A 45413-2023")</f>
        <v/>
      </c>
      <c r="T136">
        <f>HYPERLINK("https://klasma.github.io/Logging_1081/kartor/A 45413-2023 karta.png", "A 45413-2023")</f>
        <v/>
      </c>
      <c r="V136">
        <f>HYPERLINK("https://klasma.github.io/Logging_1081/klagomål/A 45413-2023 FSC-klagomål.docx", "A 45413-2023")</f>
        <v/>
      </c>
      <c r="W136">
        <f>HYPERLINK("https://klasma.github.io/Logging_1081/klagomålsmail/A 45413-2023 FSC-klagomål mail.docx", "A 45413-2023")</f>
        <v/>
      </c>
      <c r="X136">
        <f>HYPERLINK("https://klasma.github.io/Logging_1081/tillsyn/A 45413-2023 tillsynsbegäran.docx", "A 45413-2023")</f>
        <v/>
      </c>
      <c r="Y136">
        <f>HYPERLINK("https://klasma.github.io/Logging_1081/tillsynsmail/A 45413-2023 tillsynsbegäran mail.docx", "A 45413-2023")</f>
        <v/>
      </c>
    </row>
    <row r="137" ht="15" customHeight="1">
      <c r="A137" t="inlineStr">
        <is>
          <t>A 6221-2024</t>
        </is>
      </c>
      <c r="B137" s="1" t="n">
        <v>45337</v>
      </c>
      <c r="C137" s="1" t="n">
        <v>46196</v>
      </c>
      <c r="D137" t="inlineStr">
        <is>
          <t>BLEKINGE LÄN</t>
        </is>
      </c>
      <c r="E137" t="inlineStr">
        <is>
          <t>KARLSKRONA</t>
        </is>
      </c>
      <c r="G137" t="n">
        <v>0.8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Ekoxe</t>
        </is>
      </c>
      <c r="S137">
        <f>HYPERLINK("https://klasma.github.io/Logging_1080/artfynd/A 6221-2024 artfynd.xlsx", "A 6221-2024")</f>
        <v/>
      </c>
      <c r="T137">
        <f>HYPERLINK("https://klasma.github.io/Logging_1080/kartor/A 6221-2024 karta.png", "A 6221-2024")</f>
        <v/>
      </c>
      <c r="V137">
        <f>HYPERLINK("https://klasma.github.io/Logging_1080/klagomål/A 6221-2024 FSC-klagomål.docx", "A 6221-2024")</f>
        <v/>
      </c>
      <c r="W137">
        <f>HYPERLINK("https://klasma.github.io/Logging_1080/klagomålsmail/A 6221-2024 FSC-klagomål mail.docx", "A 6221-2024")</f>
        <v/>
      </c>
      <c r="X137">
        <f>HYPERLINK("https://klasma.github.io/Logging_1080/tillsyn/A 6221-2024 tillsynsbegäran.docx", "A 6221-2024")</f>
        <v/>
      </c>
      <c r="Y137">
        <f>HYPERLINK("https://klasma.github.io/Logging_1080/tillsynsmail/A 6221-2024 tillsynsbegäran mail.docx", "A 6221-2024")</f>
        <v/>
      </c>
    </row>
    <row r="138" ht="15" customHeight="1">
      <c r="A138" t="inlineStr">
        <is>
          <t>A 9309-2023</t>
        </is>
      </c>
      <c r="B138" s="1" t="n">
        <v>44980</v>
      </c>
      <c r="C138" s="1" t="n">
        <v>46196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HYPERLINK("https://klasma.github.io/Logging_1081/artfynd/A 9309-2023 artfynd.xlsx", "A 9309-2023")</f>
        <v/>
      </c>
      <c r="T138">
        <f>HYPERLINK("https://klasma.github.io/Logging_1081/kartor/A 9309-2023 karta.png", "A 9309-2023")</f>
        <v/>
      </c>
      <c r="V138">
        <f>HYPERLINK("https://klasma.github.io/Logging_1081/klagomål/A 9309-2023 FSC-klagomål.docx", "A 9309-2023")</f>
        <v/>
      </c>
      <c r="W138">
        <f>HYPERLINK("https://klasma.github.io/Logging_1081/klagomålsmail/A 9309-2023 FSC-klagomål mail.docx", "A 9309-2023")</f>
        <v/>
      </c>
      <c r="X138">
        <f>HYPERLINK("https://klasma.github.io/Logging_1081/tillsyn/A 9309-2023 tillsynsbegäran.docx", "A 9309-2023")</f>
        <v/>
      </c>
      <c r="Y138">
        <f>HYPERLINK("https://klasma.github.io/Logging_1081/tillsynsmail/A 9309-2023 tillsynsbegäran mail.docx", "A 9309-2023")</f>
        <v/>
      </c>
    </row>
    <row r="139" ht="15" customHeight="1">
      <c r="A139" t="inlineStr">
        <is>
          <t>A 48467-2022</t>
        </is>
      </c>
      <c r="B139" s="1" t="n">
        <v>44858</v>
      </c>
      <c r="C139" s="1" t="n">
        <v>46196</v>
      </c>
      <c r="D139" t="inlineStr">
        <is>
          <t>BLEKINGE LÄN</t>
        </is>
      </c>
      <c r="E139" t="inlineStr">
        <is>
          <t>OLOFSTRÖM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Småvänderot</t>
        </is>
      </c>
      <c r="S139">
        <f>HYPERLINK("https://klasma.github.io/Logging_1060/artfynd/A 48467-2022 artfynd.xlsx", "A 48467-2022")</f>
        <v/>
      </c>
      <c r="T139">
        <f>HYPERLINK("https://klasma.github.io/Logging_1060/kartor/A 48467-2022 karta.png", "A 48467-2022")</f>
        <v/>
      </c>
      <c r="V139">
        <f>HYPERLINK("https://klasma.github.io/Logging_1060/klagomål/A 48467-2022 FSC-klagomål.docx", "A 48467-2022")</f>
        <v/>
      </c>
      <c r="W139">
        <f>HYPERLINK("https://klasma.github.io/Logging_1060/klagomålsmail/A 48467-2022 FSC-klagomål mail.docx", "A 48467-2022")</f>
        <v/>
      </c>
      <c r="X139">
        <f>HYPERLINK("https://klasma.github.io/Logging_1060/tillsyn/A 48467-2022 tillsynsbegäran.docx", "A 48467-2022")</f>
        <v/>
      </c>
      <c r="Y139">
        <f>HYPERLINK("https://klasma.github.io/Logging_1060/tillsynsmail/A 48467-2022 tillsynsbegäran mail.docx", "A 48467-2022")</f>
        <v/>
      </c>
    </row>
    <row r="140" ht="15" customHeight="1">
      <c r="A140" t="inlineStr">
        <is>
          <t>A 5339-2024</t>
        </is>
      </c>
      <c r="B140" s="1" t="n">
        <v>45331</v>
      </c>
      <c r="C140" s="1" t="n">
        <v>46196</v>
      </c>
      <c r="D140" t="inlineStr">
        <is>
          <t>BLEKINGE LÄN</t>
        </is>
      </c>
      <c r="E140" t="inlineStr">
        <is>
          <t>SÖLVESBORG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Kösa</t>
        </is>
      </c>
      <c r="S140">
        <f>HYPERLINK("https://klasma.github.io/Logging_1083/artfynd/A 5339-2024 artfynd.xlsx", "A 5339-2024")</f>
        <v/>
      </c>
      <c r="T140">
        <f>HYPERLINK("https://klasma.github.io/Logging_1083/kartor/A 5339-2024 karta.png", "A 5339-2024")</f>
        <v/>
      </c>
      <c r="V140">
        <f>HYPERLINK("https://klasma.github.io/Logging_1083/klagomål/A 5339-2024 FSC-klagomål.docx", "A 5339-2024")</f>
        <v/>
      </c>
      <c r="W140">
        <f>HYPERLINK("https://klasma.github.io/Logging_1083/klagomålsmail/A 5339-2024 FSC-klagomål mail.docx", "A 5339-2024")</f>
        <v/>
      </c>
      <c r="X140">
        <f>HYPERLINK("https://klasma.github.io/Logging_1083/tillsyn/A 5339-2024 tillsynsbegäran.docx", "A 5339-2024")</f>
        <v/>
      </c>
      <c r="Y140">
        <f>HYPERLINK("https://klasma.github.io/Logging_1083/tillsynsmail/A 5339-2024 tillsynsbegäran mail.docx", "A 5339-2024")</f>
        <v/>
      </c>
    </row>
    <row r="141" ht="15" customHeight="1">
      <c r="A141" t="inlineStr">
        <is>
          <t>A 9316-2024</t>
        </is>
      </c>
      <c r="B141" s="1" t="n">
        <v>45358</v>
      </c>
      <c r="C141" s="1" t="n">
        <v>46196</v>
      </c>
      <c r="D141" t="inlineStr">
        <is>
          <t>BLEKINGE LÄN</t>
        </is>
      </c>
      <c r="E141" t="inlineStr">
        <is>
          <t>SÖLVESBORG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Gröngöling</t>
        </is>
      </c>
      <c r="S141">
        <f>HYPERLINK("https://klasma.github.io/Logging_1083/artfynd/A 9316-2024 artfynd.xlsx", "A 9316-2024")</f>
        <v/>
      </c>
      <c r="T141">
        <f>HYPERLINK("https://klasma.github.io/Logging_1083/kartor/A 9316-2024 karta.png", "A 9316-2024")</f>
        <v/>
      </c>
      <c r="V141">
        <f>HYPERLINK("https://klasma.github.io/Logging_1083/klagomål/A 9316-2024 FSC-klagomål.docx", "A 9316-2024")</f>
        <v/>
      </c>
      <c r="W141">
        <f>HYPERLINK("https://klasma.github.io/Logging_1083/klagomålsmail/A 9316-2024 FSC-klagomål mail.docx", "A 9316-2024")</f>
        <v/>
      </c>
      <c r="X141">
        <f>HYPERLINK("https://klasma.github.io/Logging_1083/tillsyn/A 9316-2024 tillsynsbegäran.docx", "A 9316-2024")</f>
        <v/>
      </c>
      <c r="Y141">
        <f>HYPERLINK("https://klasma.github.io/Logging_1083/tillsynsmail/A 9316-2024 tillsynsbegäran mail.docx", "A 9316-2024")</f>
        <v/>
      </c>
    </row>
    <row r="142" ht="15" customHeight="1">
      <c r="A142" t="inlineStr">
        <is>
          <t>A 12792-2025</t>
        </is>
      </c>
      <c r="B142" s="1" t="n">
        <v>45733</v>
      </c>
      <c r="C142" s="1" t="n">
        <v>46196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HYPERLINK("https://klasma.github.io/Logging_1060/artfynd/A 12792-2025 artfynd.xlsx", "A 12792-2025")</f>
        <v/>
      </c>
      <c r="T142">
        <f>HYPERLINK("https://klasma.github.io/Logging_1060/kartor/A 12792-2025 karta.png", "A 12792-2025")</f>
        <v/>
      </c>
      <c r="V142">
        <f>HYPERLINK("https://klasma.github.io/Logging_1060/klagomål/A 12792-2025 FSC-klagomål.docx", "A 12792-2025")</f>
        <v/>
      </c>
      <c r="W142">
        <f>HYPERLINK("https://klasma.github.io/Logging_1060/klagomålsmail/A 12792-2025 FSC-klagomål mail.docx", "A 12792-2025")</f>
        <v/>
      </c>
      <c r="X142">
        <f>HYPERLINK("https://klasma.github.io/Logging_1060/tillsyn/A 12792-2025 tillsynsbegäran.docx", "A 12792-2025")</f>
        <v/>
      </c>
      <c r="Y142">
        <f>HYPERLINK("https://klasma.github.io/Logging_1060/tillsynsmail/A 12792-2025 tillsynsbegäran mail.docx", "A 12792-2025")</f>
        <v/>
      </c>
    </row>
    <row r="143" ht="15" customHeight="1">
      <c r="A143" t="inlineStr">
        <is>
          <t>A 19600-2023</t>
        </is>
      </c>
      <c r="B143" s="1" t="n">
        <v>45050</v>
      </c>
      <c r="C143" s="1" t="n">
        <v>46196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Backsippa</t>
        </is>
      </c>
      <c r="S143">
        <f>HYPERLINK("https://klasma.github.io/Logging_1080/artfynd/A 19600-2023 artfynd.xlsx", "A 19600-2023")</f>
        <v/>
      </c>
      <c r="T143">
        <f>HYPERLINK("https://klasma.github.io/Logging_1080/kartor/A 19600-2023 karta.png", "A 19600-2023")</f>
        <v/>
      </c>
      <c r="V143">
        <f>HYPERLINK("https://klasma.github.io/Logging_1080/klagomål/A 19600-2023 FSC-klagomål.docx", "A 19600-2023")</f>
        <v/>
      </c>
      <c r="W143">
        <f>HYPERLINK("https://klasma.github.io/Logging_1080/klagomålsmail/A 19600-2023 FSC-klagomål mail.docx", "A 19600-2023")</f>
        <v/>
      </c>
      <c r="X143">
        <f>HYPERLINK("https://klasma.github.io/Logging_1080/tillsyn/A 19600-2023 tillsynsbegäran.docx", "A 19600-2023")</f>
        <v/>
      </c>
      <c r="Y143">
        <f>HYPERLINK("https://klasma.github.io/Logging_1080/tillsynsmail/A 19600-2023 tillsynsbegäran mail.docx", "A 19600-2023")</f>
        <v/>
      </c>
    </row>
    <row r="144" ht="15" customHeight="1">
      <c r="A144" t="inlineStr">
        <is>
          <t>A 45186-2021</t>
        </is>
      </c>
      <c r="B144" s="1" t="n">
        <v>44439</v>
      </c>
      <c r="C144" s="1" t="n">
        <v>46196</v>
      </c>
      <c r="D144" t="inlineStr">
        <is>
          <t>BLEKINGE LÄN</t>
        </is>
      </c>
      <c r="E144" t="inlineStr">
        <is>
          <t>RONNEBY</t>
        </is>
      </c>
      <c r="G144" t="n">
        <v>3.7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Röd glada</t>
        </is>
      </c>
      <c r="S144">
        <f>HYPERLINK("https://klasma.github.io/Logging_1081/artfynd/A 45186-2021 artfynd.xlsx", "A 45186-2021")</f>
        <v/>
      </c>
      <c r="T144">
        <f>HYPERLINK("https://klasma.github.io/Logging_1081/kartor/A 45186-2021 karta.png", "A 45186-2021")</f>
        <v/>
      </c>
      <c r="V144">
        <f>HYPERLINK("https://klasma.github.io/Logging_1081/klagomål/A 45186-2021 FSC-klagomål.docx", "A 45186-2021")</f>
        <v/>
      </c>
      <c r="W144">
        <f>HYPERLINK("https://klasma.github.io/Logging_1081/klagomålsmail/A 45186-2021 FSC-klagomål mail.docx", "A 45186-2021")</f>
        <v/>
      </c>
      <c r="X144">
        <f>HYPERLINK("https://klasma.github.io/Logging_1081/tillsyn/A 45186-2021 tillsynsbegäran.docx", "A 45186-2021")</f>
        <v/>
      </c>
      <c r="Y144">
        <f>HYPERLINK("https://klasma.github.io/Logging_1081/tillsynsmail/A 45186-2021 tillsynsbegäran mail.docx", "A 45186-2021")</f>
        <v/>
      </c>
      <c r="Z144">
        <f>HYPERLINK("https://klasma.github.io/Logging_1081/fåglar/A 45186-2021 prioriterade fågelarter.docx", "A 45186-2021")</f>
        <v/>
      </c>
    </row>
    <row r="145" ht="15" customHeight="1">
      <c r="A145" t="inlineStr">
        <is>
          <t>A 41053-2024</t>
        </is>
      </c>
      <c r="B145" s="1" t="n">
        <v>45559</v>
      </c>
      <c r="C145" s="1" t="n">
        <v>46196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HYPERLINK("https://klasma.github.io/Logging_1081/artfynd/A 41053-2024 artfynd.xlsx", "A 41053-2024")</f>
        <v/>
      </c>
      <c r="T145">
        <f>HYPERLINK("https://klasma.github.io/Logging_1081/kartor/A 41053-2024 karta.png", "A 41053-2024")</f>
        <v/>
      </c>
      <c r="V145">
        <f>HYPERLINK("https://klasma.github.io/Logging_1081/klagomål/A 41053-2024 FSC-klagomål.docx", "A 41053-2024")</f>
        <v/>
      </c>
      <c r="W145">
        <f>HYPERLINK("https://klasma.github.io/Logging_1081/klagomålsmail/A 41053-2024 FSC-klagomål mail.docx", "A 41053-2024")</f>
        <v/>
      </c>
      <c r="X145">
        <f>HYPERLINK("https://klasma.github.io/Logging_1081/tillsyn/A 41053-2024 tillsynsbegäran.docx", "A 41053-2024")</f>
        <v/>
      </c>
      <c r="Y145">
        <f>HYPERLINK("https://klasma.github.io/Logging_1081/tillsynsmail/A 41053-2024 tillsynsbegäran mail.docx", "A 41053-2024")</f>
        <v/>
      </c>
    </row>
    <row r="146" ht="15" customHeight="1">
      <c r="A146" t="inlineStr">
        <is>
          <t>A 13533-2024</t>
        </is>
      </c>
      <c r="B146" s="1" t="n">
        <v>45387</v>
      </c>
      <c r="C146" s="1" t="n">
        <v>46196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Polabiskt björnbär</t>
        </is>
      </c>
      <c r="S146">
        <f>HYPERLINK("https://klasma.github.io/Logging_1080/artfynd/A 13533-2024 artfynd.xlsx", "A 13533-2024")</f>
        <v/>
      </c>
      <c r="T146">
        <f>HYPERLINK("https://klasma.github.io/Logging_1080/kartor/A 13533-2024 karta.png", "A 13533-2024")</f>
        <v/>
      </c>
      <c r="V146">
        <f>HYPERLINK("https://klasma.github.io/Logging_1080/klagomål/A 13533-2024 FSC-klagomål.docx", "A 13533-2024")</f>
        <v/>
      </c>
      <c r="W146">
        <f>HYPERLINK("https://klasma.github.io/Logging_1080/klagomålsmail/A 13533-2024 FSC-klagomål mail.docx", "A 13533-2024")</f>
        <v/>
      </c>
      <c r="X146">
        <f>HYPERLINK("https://klasma.github.io/Logging_1080/tillsyn/A 13533-2024 tillsynsbegäran.docx", "A 13533-2024")</f>
        <v/>
      </c>
      <c r="Y146">
        <f>HYPERLINK("https://klasma.github.io/Logging_1080/tillsynsmail/A 13533-2024 tillsynsbegäran mail.docx", "A 13533-2024")</f>
        <v/>
      </c>
    </row>
    <row r="147" ht="15" customHeight="1">
      <c r="A147" t="inlineStr">
        <is>
          <t>A 58004-2024</t>
        </is>
      </c>
      <c r="B147" s="1" t="n">
        <v>45631</v>
      </c>
      <c r="C147" s="1" t="n">
        <v>46196</v>
      </c>
      <c r="D147" t="inlineStr">
        <is>
          <t>BLEKINGE LÄN</t>
        </is>
      </c>
      <c r="E147" t="inlineStr">
        <is>
          <t>KARLSKRONA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Korskovall</t>
        </is>
      </c>
      <c r="S147">
        <f>HYPERLINK("https://klasma.github.io/Logging_1080/artfynd/A 58004-2024 artfynd.xlsx", "A 58004-2024")</f>
        <v/>
      </c>
      <c r="T147">
        <f>HYPERLINK("https://klasma.github.io/Logging_1080/kartor/A 58004-2024 karta.png", "A 58004-2024")</f>
        <v/>
      </c>
      <c r="V147">
        <f>HYPERLINK("https://klasma.github.io/Logging_1080/klagomål/A 58004-2024 FSC-klagomål.docx", "A 58004-2024")</f>
        <v/>
      </c>
      <c r="W147">
        <f>HYPERLINK("https://klasma.github.io/Logging_1080/klagomålsmail/A 58004-2024 FSC-klagomål mail.docx", "A 58004-2024")</f>
        <v/>
      </c>
      <c r="X147">
        <f>HYPERLINK("https://klasma.github.io/Logging_1080/tillsyn/A 58004-2024 tillsynsbegäran.docx", "A 58004-2024")</f>
        <v/>
      </c>
      <c r="Y147">
        <f>HYPERLINK("https://klasma.github.io/Logging_1080/tillsynsmail/A 58004-2024 tillsynsbegäran mail.docx", "A 58004-2024")</f>
        <v/>
      </c>
    </row>
    <row r="148" ht="15" customHeight="1">
      <c r="A148" t="inlineStr">
        <is>
          <t>A 28478-2023</t>
        </is>
      </c>
      <c r="B148" s="1" t="n">
        <v>45103</v>
      </c>
      <c r="C148" s="1" t="n">
        <v>46196</v>
      </c>
      <c r="D148" t="inlineStr">
        <is>
          <t>BLEKINGE LÄN</t>
        </is>
      </c>
      <c r="E148" t="inlineStr">
        <is>
          <t>SÖLVESBORG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Dvärgpipistrell</t>
        </is>
      </c>
      <c r="S148">
        <f>HYPERLINK("https://klasma.github.io/Logging_1083/artfynd/A 28478-2023 artfynd.xlsx", "A 28478-2023")</f>
        <v/>
      </c>
      <c r="T148">
        <f>HYPERLINK("https://klasma.github.io/Logging_1083/kartor/A 28478-2023 karta.png", "A 28478-2023")</f>
        <v/>
      </c>
      <c r="V148">
        <f>HYPERLINK("https://klasma.github.io/Logging_1083/klagomål/A 28478-2023 FSC-klagomål.docx", "A 28478-2023")</f>
        <v/>
      </c>
      <c r="W148">
        <f>HYPERLINK("https://klasma.github.io/Logging_1083/klagomålsmail/A 28478-2023 FSC-klagomål mail.docx", "A 28478-2023")</f>
        <v/>
      </c>
      <c r="X148">
        <f>HYPERLINK("https://klasma.github.io/Logging_1083/tillsyn/A 28478-2023 tillsynsbegäran.docx", "A 28478-2023")</f>
        <v/>
      </c>
      <c r="Y148">
        <f>HYPERLINK("https://klasma.github.io/Logging_1083/tillsynsmail/A 28478-2023 tillsynsbegäran mail.docx", "A 28478-2023")</f>
        <v/>
      </c>
    </row>
    <row r="149" ht="15" customHeight="1">
      <c r="A149" t="inlineStr">
        <is>
          <t>A 13497-2025</t>
        </is>
      </c>
      <c r="B149" s="1" t="n">
        <v>45736</v>
      </c>
      <c r="C149" s="1" t="n">
        <v>46196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Backsippa</t>
        </is>
      </c>
      <c r="S149">
        <f>HYPERLINK("https://klasma.github.io/Logging_1080/artfynd/A 13497-2025 artfynd.xlsx", "A 13497-2025")</f>
        <v/>
      </c>
      <c r="T149">
        <f>HYPERLINK("https://klasma.github.io/Logging_1080/kartor/A 13497-2025 karta.png", "A 13497-2025")</f>
        <v/>
      </c>
      <c r="V149">
        <f>HYPERLINK("https://klasma.github.io/Logging_1080/klagomål/A 13497-2025 FSC-klagomål.docx", "A 13497-2025")</f>
        <v/>
      </c>
      <c r="W149">
        <f>HYPERLINK("https://klasma.github.io/Logging_1080/klagomålsmail/A 13497-2025 FSC-klagomål mail.docx", "A 13497-2025")</f>
        <v/>
      </c>
      <c r="X149">
        <f>HYPERLINK("https://klasma.github.io/Logging_1080/tillsyn/A 13497-2025 tillsynsbegäran.docx", "A 13497-2025")</f>
        <v/>
      </c>
      <c r="Y149">
        <f>HYPERLINK("https://klasma.github.io/Logging_1080/tillsynsmail/A 13497-2025 tillsynsbegäran mail.docx", "A 13497-2025")</f>
        <v/>
      </c>
    </row>
    <row r="150" ht="15" customHeight="1">
      <c r="A150" t="inlineStr">
        <is>
          <t>A 45591-2024</t>
        </is>
      </c>
      <c r="B150" s="1" t="n">
        <v>45579</v>
      </c>
      <c r="C150" s="1" t="n">
        <v>46196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taggsvamp</t>
        </is>
      </c>
      <c r="S150">
        <f>HYPERLINK("https://klasma.github.io/Logging_1080/artfynd/A 45591-2024 artfynd.xlsx", "A 45591-2024")</f>
        <v/>
      </c>
      <c r="T150">
        <f>HYPERLINK("https://klasma.github.io/Logging_1080/kartor/A 45591-2024 karta.png", "A 45591-2024")</f>
        <v/>
      </c>
      <c r="V150">
        <f>HYPERLINK("https://klasma.github.io/Logging_1080/klagomål/A 45591-2024 FSC-klagomål.docx", "A 45591-2024")</f>
        <v/>
      </c>
      <c r="W150">
        <f>HYPERLINK("https://klasma.github.io/Logging_1080/klagomålsmail/A 45591-2024 FSC-klagomål mail.docx", "A 45591-2024")</f>
        <v/>
      </c>
      <c r="X150">
        <f>HYPERLINK("https://klasma.github.io/Logging_1080/tillsyn/A 45591-2024 tillsynsbegäran.docx", "A 45591-2024")</f>
        <v/>
      </c>
      <c r="Y150">
        <f>HYPERLINK("https://klasma.github.io/Logging_1080/tillsynsmail/A 45591-2024 tillsynsbegäran mail.docx", "A 45591-2024")</f>
        <v/>
      </c>
    </row>
    <row r="151" ht="15" customHeight="1">
      <c r="A151" t="inlineStr">
        <is>
          <t>A 7842-2023</t>
        </is>
      </c>
      <c r="B151" s="1" t="n">
        <v>44973</v>
      </c>
      <c r="C151" s="1" t="n">
        <v>46196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Bokvårtlav</t>
        </is>
      </c>
      <c r="S151">
        <f>HYPERLINK("https://klasma.github.io/Logging_1081/artfynd/A 7842-2023 artfynd.xlsx", "A 7842-2023")</f>
        <v/>
      </c>
      <c r="T151">
        <f>HYPERLINK("https://klasma.github.io/Logging_1081/kartor/A 7842-2023 karta.png", "A 7842-2023")</f>
        <v/>
      </c>
      <c r="V151">
        <f>HYPERLINK("https://klasma.github.io/Logging_1081/klagomål/A 7842-2023 FSC-klagomål.docx", "A 7842-2023")</f>
        <v/>
      </c>
      <c r="W151">
        <f>HYPERLINK("https://klasma.github.io/Logging_1081/klagomålsmail/A 7842-2023 FSC-klagomål mail.docx", "A 7842-2023")</f>
        <v/>
      </c>
      <c r="X151">
        <f>HYPERLINK("https://klasma.github.io/Logging_1081/tillsyn/A 7842-2023 tillsynsbegäran.docx", "A 7842-2023")</f>
        <v/>
      </c>
      <c r="Y151">
        <f>HYPERLINK("https://klasma.github.io/Logging_1081/tillsynsmail/A 7842-2023 tillsynsbegäran mail.docx", "A 7842-2023")</f>
        <v/>
      </c>
    </row>
    <row r="152" ht="15" customHeight="1">
      <c r="A152" t="inlineStr">
        <is>
          <t>A 14598-2022</t>
        </is>
      </c>
      <c r="B152" s="1" t="n">
        <v>44655</v>
      </c>
      <c r="C152" s="1" t="n">
        <v>46196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HYPERLINK("https://klasma.github.io/Logging_1082/artfynd/A 14598-2022 artfynd.xlsx", "A 14598-2022")</f>
        <v/>
      </c>
      <c r="T152">
        <f>HYPERLINK("https://klasma.github.io/Logging_1082/kartor/A 14598-2022 karta.png", "A 14598-2022")</f>
        <v/>
      </c>
      <c r="V152">
        <f>HYPERLINK("https://klasma.github.io/Logging_1082/klagomål/A 14598-2022 FSC-klagomål.docx", "A 14598-2022")</f>
        <v/>
      </c>
      <c r="W152">
        <f>HYPERLINK("https://klasma.github.io/Logging_1082/klagomålsmail/A 14598-2022 FSC-klagomål mail.docx", "A 14598-2022")</f>
        <v/>
      </c>
      <c r="X152">
        <f>HYPERLINK("https://klasma.github.io/Logging_1082/tillsyn/A 14598-2022 tillsynsbegäran.docx", "A 14598-2022")</f>
        <v/>
      </c>
      <c r="Y152">
        <f>HYPERLINK("https://klasma.github.io/Logging_1082/tillsynsmail/A 14598-2022 tillsynsbegäran mail.docx", "A 14598-2022")</f>
        <v/>
      </c>
    </row>
    <row r="153" ht="15" customHeight="1">
      <c r="A153" t="inlineStr">
        <is>
          <t>A 14940-2023</t>
        </is>
      </c>
      <c r="B153" s="1" t="n">
        <v>45012</v>
      </c>
      <c r="C153" s="1" t="n">
        <v>46196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statliga verk och myndigheter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Grönhjon</t>
        </is>
      </c>
      <c r="S153">
        <f>HYPERLINK("https://klasma.github.io/Logging_1081/artfynd/A 14940-2023 artfynd.xlsx", "A 14940-2023")</f>
        <v/>
      </c>
      <c r="T153">
        <f>HYPERLINK("https://klasma.github.io/Logging_1081/kartor/A 14940-2023 karta.png", "A 14940-2023")</f>
        <v/>
      </c>
      <c r="V153">
        <f>HYPERLINK("https://klasma.github.io/Logging_1081/klagomål/A 14940-2023 FSC-klagomål.docx", "A 14940-2023")</f>
        <v/>
      </c>
      <c r="W153">
        <f>HYPERLINK("https://klasma.github.io/Logging_1081/klagomålsmail/A 14940-2023 FSC-klagomål mail.docx", "A 14940-2023")</f>
        <v/>
      </c>
      <c r="X153">
        <f>HYPERLINK("https://klasma.github.io/Logging_1081/tillsyn/A 14940-2023 tillsynsbegäran.docx", "A 14940-2023")</f>
        <v/>
      </c>
      <c r="Y153">
        <f>HYPERLINK("https://klasma.github.io/Logging_1081/tillsynsmail/A 14940-2023 tillsynsbegäran mail.docx", "A 14940-2023")</f>
        <v/>
      </c>
    </row>
    <row r="154" ht="15" customHeight="1">
      <c r="A154" t="inlineStr">
        <is>
          <t>A 24942-2023</t>
        </is>
      </c>
      <c r="B154" s="1" t="n">
        <v>45085</v>
      </c>
      <c r="C154" s="1" t="n">
        <v>46196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Stortimjan</t>
        </is>
      </c>
      <c r="S154">
        <f>HYPERLINK("https://klasma.github.io/Logging_1080/artfynd/A 24942-2023 artfynd.xlsx", "A 24942-2023")</f>
        <v/>
      </c>
      <c r="T154">
        <f>HYPERLINK("https://klasma.github.io/Logging_1080/kartor/A 24942-2023 karta.png", "A 24942-2023")</f>
        <v/>
      </c>
      <c r="V154">
        <f>HYPERLINK("https://klasma.github.io/Logging_1080/klagomål/A 24942-2023 FSC-klagomål.docx", "A 24942-2023")</f>
        <v/>
      </c>
      <c r="W154">
        <f>HYPERLINK("https://klasma.github.io/Logging_1080/klagomålsmail/A 24942-2023 FSC-klagomål mail.docx", "A 24942-2023")</f>
        <v/>
      </c>
      <c r="X154">
        <f>HYPERLINK("https://klasma.github.io/Logging_1080/tillsyn/A 24942-2023 tillsynsbegäran.docx", "A 24942-2023")</f>
        <v/>
      </c>
      <c r="Y154">
        <f>HYPERLINK("https://klasma.github.io/Logging_1080/tillsynsmail/A 24942-2023 tillsynsbegäran mail.docx", "A 24942-2023")</f>
        <v/>
      </c>
    </row>
    <row r="155" ht="15" customHeight="1">
      <c r="A155" t="inlineStr">
        <is>
          <t>A 49574-2022</t>
        </is>
      </c>
      <c r="B155" s="1" t="n">
        <v>44862</v>
      </c>
      <c r="C155" s="1" t="n">
        <v>46196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3.4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HYPERLINK("https://klasma.github.io/Logging_1082/artfynd/A 49574-2022 artfynd.xlsx", "A 49574-2022")</f>
        <v/>
      </c>
      <c r="T155">
        <f>HYPERLINK("https://klasma.github.io/Logging_1082/kartor/A 49574-2022 karta.png", "A 49574-2022")</f>
        <v/>
      </c>
      <c r="V155">
        <f>HYPERLINK("https://klasma.github.io/Logging_1082/klagomål/A 49574-2022 FSC-klagomål.docx", "A 49574-2022")</f>
        <v/>
      </c>
      <c r="W155">
        <f>HYPERLINK("https://klasma.github.io/Logging_1082/klagomålsmail/A 49574-2022 FSC-klagomål mail.docx", "A 49574-2022")</f>
        <v/>
      </c>
      <c r="X155">
        <f>HYPERLINK("https://klasma.github.io/Logging_1082/tillsyn/A 49574-2022 tillsynsbegäran.docx", "A 49574-2022")</f>
        <v/>
      </c>
      <c r="Y155">
        <f>HYPERLINK("https://klasma.github.io/Logging_1082/tillsynsmail/A 49574-2022 tillsynsbegäran mail.docx", "A 49574-2022")</f>
        <v/>
      </c>
    </row>
    <row r="156" ht="15" customHeight="1">
      <c r="A156" t="inlineStr">
        <is>
          <t>A 21446-2023</t>
        </is>
      </c>
      <c r="B156" s="1" t="n">
        <v>45063</v>
      </c>
      <c r="C156" s="1" t="n">
        <v>46196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HYPERLINK("https://klasma.github.io/Logging_1081/artfynd/A 21446-2023 artfynd.xlsx", "A 21446-2023")</f>
        <v/>
      </c>
      <c r="T156">
        <f>HYPERLINK("https://klasma.github.io/Logging_1081/kartor/A 21446-2023 karta.png", "A 21446-2023")</f>
        <v/>
      </c>
      <c r="V156">
        <f>HYPERLINK("https://klasma.github.io/Logging_1081/klagomål/A 21446-2023 FSC-klagomål.docx", "A 21446-2023")</f>
        <v/>
      </c>
      <c r="W156">
        <f>HYPERLINK("https://klasma.github.io/Logging_1081/klagomålsmail/A 21446-2023 FSC-klagomål mail.docx", "A 21446-2023")</f>
        <v/>
      </c>
      <c r="X156">
        <f>HYPERLINK("https://klasma.github.io/Logging_1081/tillsyn/A 21446-2023 tillsynsbegäran.docx", "A 21446-2023")</f>
        <v/>
      </c>
      <c r="Y156">
        <f>HYPERLINK("https://klasma.github.io/Logging_1081/tillsynsmail/A 21446-2023 tillsynsbegäran mail.docx", "A 21446-2023")</f>
        <v/>
      </c>
    </row>
    <row r="157" ht="15" customHeight="1">
      <c r="A157" t="inlineStr">
        <is>
          <t>A 48309-2024</t>
        </is>
      </c>
      <c r="B157" s="1" t="n">
        <v>45590</v>
      </c>
      <c r="C157" s="1" t="n">
        <v>46196</v>
      </c>
      <c r="D157" t="inlineStr">
        <is>
          <t>BLEKINGE LÄN</t>
        </is>
      </c>
      <c r="E157" t="inlineStr">
        <is>
          <t>SÖLVESBORG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HYPERLINK("https://klasma.github.io/Logging_1083/artfynd/A 48309-2024 artfynd.xlsx", "A 48309-2024")</f>
        <v/>
      </c>
      <c r="T157">
        <f>HYPERLINK("https://klasma.github.io/Logging_1083/kartor/A 48309-2024 karta.png", "A 48309-2024")</f>
        <v/>
      </c>
      <c r="V157">
        <f>HYPERLINK("https://klasma.github.io/Logging_1083/klagomål/A 48309-2024 FSC-klagomål.docx", "A 48309-2024")</f>
        <v/>
      </c>
      <c r="W157">
        <f>HYPERLINK("https://klasma.github.io/Logging_1083/klagomålsmail/A 48309-2024 FSC-klagomål mail.docx", "A 48309-2024")</f>
        <v/>
      </c>
      <c r="X157">
        <f>HYPERLINK("https://klasma.github.io/Logging_1083/tillsyn/A 48309-2024 tillsynsbegäran.docx", "A 48309-2024")</f>
        <v/>
      </c>
      <c r="Y157">
        <f>HYPERLINK("https://klasma.github.io/Logging_1083/tillsynsmail/A 48309-2024 tillsynsbegäran mail.docx", "A 48309-2024")</f>
        <v/>
      </c>
    </row>
    <row r="158" ht="15" customHeight="1">
      <c r="A158" t="inlineStr">
        <is>
          <t>A 48444-2024</t>
        </is>
      </c>
      <c r="B158" s="1" t="n">
        <v>45590</v>
      </c>
      <c r="C158" s="1" t="n">
        <v>46196</v>
      </c>
      <c r="D158" t="inlineStr">
        <is>
          <t>BLEKINGE LÄN</t>
        </is>
      </c>
      <c r="E158" t="inlineStr">
        <is>
          <t>RONNEBY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snok</t>
        </is>
      </c>
      <c r="S158">
        <f>HYPERLINK("https://klasma.github.io/Logging_1081/artfynd/A 48444-2024 artfynd.xlsx", "A 48444-2024")</f>
        <v/>
      </c>
      <c r="T158">
        <f>HYPERLINK("https://klasma.github.io/Logging_1081/kartor/A 48444-2024 karta.png", "A 48444-2024")</f>
        <v/>
      </c>
      <c r="V158">
        <f>HYPERLINK("https://klasma.github.io/Logging_1081/klagomål/A 48444-2024 FSC-klagomål.docx", "A 48444-2024")</f>
        <v/>
      </c>
      <c r="W158">
        <f>HYPERLINK("https://klasma.github.io/Logging_1081/klagomålsmail/A 48444-2024 FSC-klagomål mail.docx", "A 48444-2024")</f>
        <v/>
      </c>
      <c r="X158">
        <f>HYPERLINK("https://klasma.github.io/Logging_1081/tillsyn/A 48444-2024 tillsynsbegäran.docx", "A 48444-2024")</f>
        <v/>
      </c>
      <c r="Y158">
        <f>HYPERLINK("https://klasma.github.io/Logging_1081/tillsynsmail/A 48444-2024 tillsynsbegäran mail.docx", "A 48444-2024")</f>
        <v/>
      </c>
    </row>
    <row r="159" ht="15" customHeight="1">
      <c r="A159" t="inlineStr">
        <is>
          <t>A 56476-2024</t>
        </is>
      </c>
      <c r="B159" s="1" t="n">
        <v>45625</v>
      </c>
      <c r="C159" s="1" t="n">
        <v>46196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HYPERLINK("https://klasma.github.io/Logging_1080/artfynd/A 56476-2024 artfynd.xlsx", "A 56476-2024")</f>
        <v/>
      </c>
      <c r="T159">
        <f>HYPERLINK("https://klasma.github.io/Logging_1080/kartor/A 56476-2024 karta.png", "A 56476-2024")</f>
        <v/>
      </c>
      <c r="V159">
        <f>HYPERLINK("https://klasma.github.io/Logging_1080/klagomål/A 56476-2024 FSC-klagomål.docx", "A 56476-2024")</f>
        <v/>
      </c>
      <c r="W159">
        <f>HYPERLINK("https://klasma.github.io/Logging_1080/klagomålsmail/A 56476-2024 FSC-klagomål mail.docx", "A 56476-2024")</f>
        <v/>
      </c>
      <c r="X159">
        <f>HYPERLINK("https://klasma.github.io/Logging_1080/tillsyn/A 56476-2024 tillsynsbegäran.docx", "A 56476-2024")</f>
        <v/>
      </c>
      <c r="Y159">
        <f>HYPERLINK("https://klasma.github.io/Logging_1080/tillsynsmail/A 56476-2024 tillsynsbegäran mail.docx", "A 56476-2024")</f>
        <v/>
      </c>
    </row>
    <row r="160" ht="15" customHeight="1">
      <c r="A160" t="inlineStr">
        <is>
          <t>A 51085-2024</t>
        </is>
      </c>
      <c r="B160" s="1" t="n">
        <v>45603</v>
      </c>
      <c r="C160" s="1" t="n">
        <v>46196</v>
      </c>
      <c r="D160" t="inlineStr">
        <is>
          <t>BLEKINGE LÄN</t>
        </is>
      </c>
      <c r="E160" t="inlineStr">
        <is>
          <t>KARLSKRONA</t>
        </is>
      </c>
      <c r="G160" t="n">
        <v>5.4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Långbensgroda</t>
        </is>
      </c>
      <c r="S160">
        <f>HYPERLINK("https://klasma.github.io/Logging_1080/artfynd/A 51085-2024 artfynd.xlsx", "A 51085-2024")</f>
        <v/>
      </c>
      <c r="T160">
        <f>HYPERLINK("https://klasma.github.io/Logging_1080/kartor/A 51085-2024 karta.png", "A 51085-2024")</f>
        <v/>
      </c>
      <c r="V160">
        <f>HYPERLINK("https://klasma.github.io/Logging_1080/klagomål/A 51085-2024 FSC-klagomål.docx", "A 51085-2024")</f>
        <v/>
      </c>
      <c r="W160">
        <f>HYPERLINK("https://klasma.github.io/Logging_1080/klagomålsmail/A 51085-2024 FSC-klagomål mail.docx", "A 51085-2024")</f>
        <v/>
      </c>
      <c r="X160">
        <f>HYPERLINK("https://klasma.github.io/Logging_1080/tillsyn/A 51085-2024 tillsynsbegäran.docx", "A 51085-2024")</f>
        <v/>
      </c>
      <c r="Y160">
        <f>HYPERLINK("https://klasma.github.io/Logging_1080/tillsynsmail/A 51085-2024 tillsynsbegäran mail.docx", "A 51085-2024")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46196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64148-2021</t>
        </is>
      </c>
      <c r="B162" s="1" t="n">
        <v>44509</v>
      </c>
      <c r="C162" s="1" t="n">
        <v>46196</v>
      </c>
      <c r="D162" t="inlineStr">
        <is>
          <t>BLEKINGE LÄN</t>
        </is>
      </c>
      <c r="E162" t="inlineStr">
        <is>
          <t>SÖLVESBORG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1754-2022</t>
        </is>
      </c>
      <c r="B163" s="1" t="n">
        <v>44574</v>
      </c>
      <c r="C163" s="1" t="n">
        <v>46196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72789-2021</t>
        </is>
      </c>
      <c r="B164" s="1" t="n">
        <v>44546</v>
      </c>
      <c r="C164" s="1" t="n">
        <v>46196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31966-2021</t>
        </is>
      </c>
      <c r="B165" s="1" t="n">
        <v>44370</v>
      </c>
      <c r="C165" s="1" t="n">
        <v>46196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39808-2021</t>
        </is>
      </c>
      <c r="B166" s="1" t="n">
        <v>44417</v>
      </c>
      <c r="C166" s="1" t="n">
        <v>46196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36160-2021</t>
        </is>
      </c>
      <c r="B167" s="1" t="n">
        <v>44386</v>
      </c>
      <c r="C167" s="1" t="n">
        <v>46196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23902-2022</t>
        </is>
      </c>
      <c r="B168" s="1" t="n">
        <v>44722</v>
      </c>
      <c r="C168" s="1" t="n">
        <v>46196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1136-2022</t>
        </is>
      </c>
      <c r="B169" s="1" t="n">
        <v>44572</v>
      </c>
      <c r="C169" s="1" t="n">
        <v>46196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73369-2021</t>
        </is>
      </c>
      <c r="B170" s="1" t="n">
        <v>44551</v>
      </c>
      <c r="C170" s="1" t="n">
        <v>46196</v>
      </c>
      <c r="D170" t="inlineStr">
        <is>
          <t>BLEKINGE LÄN</t>
        </is>
      </c>
      <c r="E170" t="inlineStr">
        <is>
          <t>KARLSKRONA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24430-2022</t>
        </is>
      </c>
      <c r="B171" s="1" t="n">
        <v>44726</v>
      </c>
      <c r="C171" s="1" t="n">
        <v>46196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8320-2022</t>
        </is>
      </c>
      <c r="B172" s="1" t="n">
        <v>44610</v>
      </c>
      <c r="C172" s="1" t="n">
        <v>46196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51351-2022</t>
        </is>
      </c>
      <c r="B173" s="1" t="n">
        <v>44869</v>
      </c>
      <c r="C173" s="1" t="n">
        <v>46196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41154-2022</t>
        </is>
      </c>
      <c r="B174" s="1" t="n">
        <v>44825</v>
      </c>
      <c r="C174" s="1" t="n">
        <v>46196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43353-2021</t>
        </is>
      </c>
      <c r="B175" s="1" t="n">
        <v>44432</v>
      </c>
      <c r="C175" s="1" t="n">
        <v>46196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24428-2022</t>
        </is>
      </c>
      <c r="B176" s="1" t="n">
        <v>44726</v>
      </c>
      <c r="C176" s="1" t="n">
        <v>46196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35827-2021</t>
        </is>
      </c>
      <c r="B177" s="1" t="n">
        <v>44386</v>
      </c>
      <c r="C177" s="1" t="n">
        <v>46196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3333-2022</t>
        </is>
      </c>
      <c r="B178" s="1" t="n">
        <v>44585</v>
      </c>
      <c r="C178" s="1" t="n">
        <v>46196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13796-2022</t>
        </is>
      </c>
      <c r="B179" s="1" t="n">
        <v>44649</v>
      </c>
      <c r="C179" s="1" t="n">
        <v>46196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17651-2022</t>
        </is>
      </c>
      <c r="B180" s="1" t="n">
        <v>44680</v>
      </c>
      <c r="C180" s="1" t="n">
        <v>46196</v>
      </c>
      <c r="D180" t="inlineStr">
        <is>
          <t>BLEKINGE LÄN</t>
        </is>
      </c>
      <c r="E180" t="inlineStr">
        <is>
          <t>KARLSHAMN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35743-2021</t>
        </is>
      </c>
      <c r="B181" s="1" t="n">
        <v>44386</v>
      </c>
      <c r="C181" s="1" t="n">
        <v>46196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54016-2021</t>
        </is>
      </c>
      <c r="B182" s="1" t="n">
        <v>44468</v>
      </c>
      <c r="C182" s="1" t="n">
        <v>46196</v>
      </c>
      <c r="D182" t="inlineStr">
        <is>
          <t>BLEKINGE LÄN</t>
        </is>
      </c>
      <c r="E182" t="inlineStr">
        <is>
          <t>KARLSKRONA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46196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3391-2022</t>
        </is>
      </c>
      <c r="B184" s="1" t="n">
        <v>44585</v>
      </c>
      <c r="C184" s="1" t="n">
        <v>46196</v>
      </c>
      <c r="D184" t="inlineStr">
        <is>
          <t>BLEKINGE LÄN</t>
        </is>
      </c>
      <c r="E184" t="inlineStr">
        <is>
          <t>KARLSKRONA</t>
        </is>
      </c>
      <c r="G184" t="n">
        <v>23.9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8316-2022</t>
        </is>
      </c>
      <c r="B185" s="1" t="n">
        <v>44610</v>
      </c>
      <c r="C185" s="1" t="n">
        <v>46196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8325-2022</t>
        </is>
      </c>
      <c r="B186" s="1" t="n">
        <v>44610</v>
      </c>
      <c r="C186" s="1" t="n">
        <v>46196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18687-2022</t>
        </is>
      </c>
      <c r="B187" s="1" t="n">
        <v>44687</v>
      </c>
      <c r="C187" s="1" t="n">
        <v>46196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11462-2022</t>
        </is>
      </c>
      <c r="B188" s="1" t="n">
        <v>44630</v>
      </c>
      <c r="C188" s="1" t="n">
        <v>46196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55697-2021</t>
        </is>
      </c>
      <c r="B189" s="1" t="n">
        <v>44476</v>
      </c>
      <c r="C189" s="1" t="n">
        <v>46196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42011-2022</t>
        </is>
      </c>
      <c r="B190" s="1" t="n">
        <v>44830</v>
      </c>
      <c r="C190" s="1" t="n">
        <v>46196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16360-2022</t>
        </is>
      </c>
      <c r="B191" s="1" t="n">
        <v>44670</v>
      </c>
      <c r="C191" s="1" t="n">
        <v>46196</v>
      </c>
      <c r="D191" t="inlineStr">
        <is>
          <t>BLEKINGE LÄN</t>
        </is>
      </c>
      <c r="E191" t="inlineStr">
        <is>
          <t>KARLSKRONA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49149-2022</t>
        </is>
      </c>
      <c r="B192" s="1" t="n">
        <v>44860</v>
      </c>
      <c r="C192" s="1" t="n">
        <v>46196</v>
      </c>
      <c r="D192" t="inlineStr">
        <is>
          <t>BLEKINGE LÄN</t>
        </is>
      </c>
      <c r="E192" t="inlineStr">
        <is>
          <t>RONNEBY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45589-2021</t>
        </is>
      </c>
      <c r="B193" s="1" t="n">
        <v>44440</v>
      </c>
      <c r="C193" s="1" t="n">
        <v>46196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53837-2022</t>
        </is>
      </c>
      <c r="B194" s="1" t="n">
        <v>44880</v>
      </c>
      <c r="C194" s="1" t="n">
        <v>46196</v>
      </c>
      <c r="D194" t="inlineStr">
        <is>
          <t>BLEKINGE LÄN</t>
        </is>
      </c>
      <c r="E194" t="inlineStr">
        <is>
          <t>RONNEBY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38224-2022</t>
        </is>
      </c>
      <c r="B195" s="1" t="n">
        <v>44812</v>
      </c>
      <c r="C195" s="1" t="n">
        <v>46196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43246-2021</t>
        </is>
      </c>
      <c r="B196" s="1" t="n">
        <v>44432</v>
      </c>
      <c r="C196" s="1" t="n">
        <v>46196</v>
      </c>
      <c r="D196" t="inlineStr">
        <is>
          <t>BLEKINGE LÄN</t>
        </is>
      </c>
      <c r="E196" t="inlineStr">
        <is>
          <t>RONNEBY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52814-2022</t>
        </is>
      </c>
      <c r="B197" s="1" t="n">
        <v>44875</v>
      </c>
      <c r="C197" s="1" t="n">
        <v>46196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52825-2022</t>
        </is>
      </c>
      <c r="B198" s="1" t="n">
        <v>44875</v>
      </c>
      <c r="C198" s="1" t="n">
        <v>46196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46196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62420-2021</t>
        </is>
      </c>
      <c r="B200" s="1" t="n">
        <v>44503</v>
      </c>
      <c r="C200" s="1" t="n">
        <v>46196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57504-2021</t>
        </is>
      </c>
      <c r="B201" s="1" t="n">
        <v>44483</v>
      </c>
      <c r="C201" s="1" t="n">
        <v>46196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48626-2021</t>
        </is>
      </c>
      <c r="B202" s="1" t="n">
        <v>44452</v>
      </c>
      <c r="C202" s="1" t="n">
        <v>46196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16907-2022</t>
        </is>
      </c>
      <c r="B203" s="1" t="n">
        <v>44676</v>
      </c>
      <c r="C203" s="1" t="n">
        <v>46196</v>
      </c>
      <c r="D203" t="inlineStr">
        <is>
          <t>BLEKINGE LÄN</t>
        </is>
      </c>
      <c r="E203" t="inlineStr">
        <is>
          <t>RONNEBY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29732-2022</t>
        </is>
      </c>
      <c r="B204" s="1" t="n">
        <v>44755</v>
      </c>
      <c r="C204" s="1" t="n">
        <v>46196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46196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64169-2021</t>
        </is>
      </c>
      <c r="B206" s="1" t="n">
        <v>44510</v>
      </c>
      <c r="C206" s="1" t="n">
        <v>46196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46196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61722-2021</t>
        </is>
      </c>
      <c r="B208" s="1" t="n">
        <v>44501</v>
      </c>
      <c r="C208" s="1" t="n">
        <v>46196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58607-2021</t>
        </is>
      </c>
      <c r="B209" s="1" t="n">
        <v>44488</v>
      </c>
      <c r="C209" s="1" t="n">
        <v>46196</v>
      </c>
      <c r="D209" t="inlineStr">
        <is>
          <t>BLEKINGE LÄN</t>
        </is>
      </c>
      <c r="E209" t="inlineStr">
        <is>
          <t>SÖLVESBORG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67972-2021</t>
        </is>
      </c>
      <c r="B210" s="1" t="n">
        <v>44525</v>
      </c>
      <c r="C210" s="1" t="n">
        <v>46196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46544-2022</t>
        </is>
      </c>
      <c r="B211" s="1" t="n">
        <v>44848</v>
      </c>
      <c r="C211" s="1" t="n">
        <v>46196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74345-2021</t>
        </is>
      </c>
      <c r="B212" s="1" t="n">
        <v>44559</v>
      </c>
      <c r="C212" s="1" t="n">
        <v>46196</v>
      </c>
      <c r="D212" t="inlineStr">
        <is>
          <t>BLEKINGE LÄN</t>
        </is>
      </c>
      <c r="E212" t="inlineStr">
        <is>
          <t>KARLSKRONA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41035-2021</t>
        </is>
      </c>
      <c r="B213" s="1" t="n">
        <v>44421</v>
      </c>
      <c r="C213" s="1" t="n">
        <v>46196</v>
      </c>
      <c r="D213" t="inlineStr">
        <is>
          <t>BLEKINGE LÄN</t>
        </is>
      </c>
      <c r="E213" t="inlineStr">
        <is>
          <t>KARLSKRONA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2492-2022</t>
        </is>
      </c>
      <c r="B214" s="1" t="n">
        <v>44579</v>
      </c>
      <c r="C214" s="1" t="n">
        <v>46196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48516-2021</t>
        </is>
      </c>
      <c r="B215" s="1" t="n">
        <v>44451</v>
      </c>
      <c r="C215" s="1" t="n">
        <v>46196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38389-2021</t>
        </is>
      </c>
      <c r="B216" s="1" t="n">
        <v>44406</v>
      </c>
      <c r="C216" s="1" t="n">
        <v>46196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9-2022</t>
        </is>
      </c>
      <c r="B217" s="1" t="n">
        <v>44563</v>
      </c>
      <c r="C217" s="1" t="n">
        <v>46196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47971-2021</t>
        </is>
      </c>
      <c r="B218" s="1" t="n">
        <v>44449</v>
      </c>
      <c r="C218" s="1" t="n">
        <v>46196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46196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19146-2022</t>
        </is>
      </c>
      <c r="B220" s="1" t="n">
        <v>44691</v>
      </c>
      <c r="C220" s="1" t="n">
        <v>46196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68264-2021</t>
        </is>
      </c>
      <c r="B221" s="1" t="n">
        <v>44526</v>
      </c>
      <c r="C221" s="1" t="n">
        <v>46196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64109-2021</t>
        </is>
      </c>
      <c r="B222" s="1" t="n">
        <v>44509</v>
      </c>
      <c r="C222" s="1" t="n">
        <v>46196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38817-2021</t>
        </is>
      </c>
      <c r="B223" s="1" t="n">
        <v>44411</v>
      </c>
      <c r="C223" s="1" t="n">
        <v>46196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3022-2022</t>
        </is>
      </c>
      <c r="B224" s="1" t="n">
        <v>44581</v>
      </c>
      <c r="C224" s="1" t="n">
        <v>46196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54151-2021</t>
        </is>
      </c>
      <c r="B225" s="1" t="n">
        <v>44470</v>
      </c>
      <c r="C225" s="1" t="n">
        <v>46196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4632-2022</t>
        </is>
      </c>
      <c r="B226" s="1" t="n">
        <v>44592</v>
      </c>
      <c r="C226" s="1" t="n">
        <v>46196</v>
      </c>
      <c r="D226" t="inlineStr">
        <is>
          <t>BLEKINGE LÄN</t>
        </is>
      </c>
      <c r="E226" t="inlineStr">
        <is>
          <t>RONNEBY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15319-2022</t>
        </is>
      </c>
      <c r="B227" s="1" t="n">
        <v>44659</v>
      </c>
      <c r="C227" s="1" t="n">
        <v>46196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45935-2021</t>
        </is>
      </c>
      <c r="B228" s="1" t="n">
        <v>44441</v>
      </c>
      <c r="C228" s="1" t="n">
        <v>46196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51528-2021</t>
        </is>
      </c>
      <c r="B229" s="1" t="n">
        <v>44462</v>
      </c>
      <c r="C229" s="1" t="n">
        <v>46196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56370-2021</t>
        </is>
      </c>
      <c r="B230" s="1" t="n">
        <v>44480</v>
      </c>
      <c r="C230" s="1" t="n">
        <v>46196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</v>
      </c>
      <c r="C231" s="1" t="n">
        <v>46196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46196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</v>
      </c>
      <c r="C233" s="1" t="n">
        <v>46196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11303-2022</t>
        </is>
      </c>
      <c r="B234" s="1" t="n">
        <v>44629</v>
      </c>
      <c r="C234" s="1" t="n">
        <v>46196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62169-2021</t>
        </is>
      </c>
      <c r="B235" s="1" t="n">
        <v>44502</v>
      </c>
      <c r="C235" s="1" t="n">
        <v>46196</v>
      </c>
      <c r="D235" t="inlineStr">
        <is>
          <t>BLEKINGE LÄN</t>
        </is>
      </c>
      <c r="E235" t="inlineStr">
        <is>
          <t>KARLSKRONA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29431-2022</t>
        </is>
      </c>
      <c r="B236" s="1" t="n">
        <v>44753</v>
      </c>
      <c r="C236" s="1" t="n">
        <v>46196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46196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45578-2022</t>
        </is>
      </c>
      <c r="B238" s="1" t="n">
        <v>44845</v>
      </c>
      <c r="C238" s="1" t="n">
        <v>46196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32632-2021</t>
        </is>
      </c>
      <c r="B239" s="1" t="n">
        <v>44375</v>
      </c>
      <c r="C239" s="1" t="n">
        <v>46196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51898-2021</t>
        </is>
      </c>
      <c r="B240" s="1" t="n">
        <v>44462</v>
      </c>
      <c r="C240" s="1" t="n">
        <v>46196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44489-2021</t>
        </is>
      </c>
      <c r="B241" s="1" t="n">
        <v>44435</v>
      </c>
      <c r="C241" s="1" t="n">
        <v>46196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27409-2022</t>
        </is>
      </c>
      <c r="B242" s="1" t="n">
        <v>44742</v>
      </c>
      <c r="C242" s="1" t="n">
        <v>46196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47249-2021</t>
        </is>
      </c>
      <c r="B243" s="1" t="n">
        <v>44447</v>
      </c>
      <c r="C243" s="1" t="n">
        <v>46196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37499-2021</t>
        </is>
      </c>
      <c r="B244" s="1" t="n">
        <v>44399</v>
      </c>
      <c r="C244" s="1" t="n">
        <v>46196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23142-2022</t>
        </is>
      </c>
      <c r="B245" s="1" t="n">
        <v>44719</v>
      </c>
      <c r="C245" s="1" t="n">
        <v>46196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62510-2021</t>
        </is>
      </c>
      <c r="B246" s="1" t="n">
        <v>44503</v>
      </c>
      <c r="C246" s="1" t="n">
        <v>46196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51862-2021</t>
        </is>
      </c>
      <c r="B247" s="1" t="n">
        <v>44462</v>
      </c>
      <c r="C247" s="1" t="n">
        <v>46196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46196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2490-2022</t>
        </is>
      </c>
      <c r="B249" s="1" t="n">
        <v>44579</v>
      </c>
      <c r="C249" s="1" t="n">
        <v>46196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1266-2022</t>
        </is>
      </c>
      <c r="B250" s="1" t="n">
        <v>44572</v>
      </c>
      <c r="C250" s="1" t="n">
        <v>46196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33834-2022</t>
        </is>
      </c>
      <c r="B251" s="1" t="n">
        <v>44790</v>
      </c>
      <c r="C251" s="1" t="n">
        <v>46196</v>
      </c>
      <c r="D251" t="inlineStr">
        <is>
          <t>BLEKINGE LÄN</t>
        </is>
      </c>
      <c r="E251" t="inlineStr">
        <is>
          <t>RONNEBY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7777-2022</t>
        </is>
      </c>
      <c r="B252" s="1" t="n">
        <v>44608</v>
      </c>
      <c r="C252" s="1" t="n">
        <v>46196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19440-2022</t>
        </is>
      </c>
      <c r="B253" s="1" t="n">
        <v>44693</v>
      </c>
      <c r="C253" s="1" t="n">
        <v>46196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48969-2022</t>
        </is>
      </c>
      <c r="B254" s="1" t="n">
        <v>44860</v>
      </c>
      <c r="C254" s="1" t="n">
        <v>46196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47495-2021</t>
        </is>
      </c>
      <c r="B255" s="1" t="n">
        <v>44447</v>
      </c>
      <c r="C255" s="1" t="n">
        <v>46196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74176-2021</t>
        </is>
      </c>
      <c r="B256" s="1" t="n">
        <v>44558</v>
      </c>
      <c r="C256" s="1" t="n">
        <v>46196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30517-2022</t>
        </is>
      </c>
      <c r="B257" s="1" t="n">
        <v>44762</v>
      </c>
      <c r="C257" s="1" t="n">
        <v>46196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61080-2021</t>
        </is>
      </c>
      <c r="B258" s="1" t="n">
        <v>44497</v>
      </c>
      <c r="C258" s="1" t="n">
        <v>46196</v>
      </c>
      <c r="D258" t="inlineStr">
        <is>
          <t>BLEKINGE LÄN</t>
        </is>
      </c>
      <c r="E258" t="inlineStr">
        <is>
          <t>KARLSKRONA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61081-2021</t>
        </is>
      </c>
      <c r="B259" s="1" t="n">
        <v>44497</v>
      </c>
      <c r="C259" s="1" t="n">
        <v>46196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41148-2022</t>
        </is>
      </c>
      <c r="B260" s="1" t="n">
        <v>44825</v>
      </c>
      <c r="C260" s="1" t="n">
        <v>46196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37206-2022</t>
        </is>
      </c>
      <c r="B261" s="1" t="n">
        <v>44806</v>
      </c>
      <c r="C261" s="1" t="n">
        <v>46196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47430-2022</t>
        </is>
      </c>
      <c r="B262" s="1" t="n">
        <v>44853</v>
      </c>
      <c r="C262" s="1" t="n">
        <v>46196</v>
      </c>
      <c r="D262" t="inlineStr">
        <is>
          <t>BLEKINGE LÄN</t>
        </is>
      </c>
      <c r="E262" t="inlineStr">
        <is>
          <t>OLOFSTRÖM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43182-2022</t>
        </is>
      </c>
      <c r="B263" s="1" t="n">
        <v>44834</v>
      </c>
      <c r="C263" s="1" t="n">
        <v>46196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46196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10628-2022</t>
        </is>
      </c>
      <c r="B265" s="1" t="n">
        <v>44624</v>
      </c>
      <c r="C265" s="1" t="n">
        <v>46196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46311-2021</t>
        </is>
      </c>
      <c r="B266" s="1" t="n">
        <v>44442</v>
      </c>
      <c r="C266" s="1" t="n">
        <v>46196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53560-2022</t>
        </is>
      </c>
      <c r="B267" s="1" t="n">
        <v>44874</v>
      </c>
      <c r="C267" s="1" t="n">
        <v>46196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27489-2022</t>
        </is>
      </c>
      <c r="B268" s="1" t="n">
        <v>44742</v>
      </c>
      <c r="C268" s="1" t="n">
        <v>46196</v>
      </c>
      <c r="D268" t="inlineStr">
        <is>
          <t>BLEKINGE LÄN</t>
        </is>
      </c>
      <c r="E268" t="inlineStr">
        <is>
          <t>KARLSKRONA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11173-2022</t>
        </is>
      </c>
      <c r="B269" s="1" t="n">
        <v>44629</v>
      </c>
      <c r="C269" s="1" t="n">
        <v>46196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45996-2021</t>
        </is>
      </c>
      <c r="B270" s="1" t="n">
        <v>44441</v>
      </c>
      <c r="C270" s="1" t="n">
        <v>46196</v>
      </c>
      <c r="D270" t="inlineStr">
        <is>
          <t>BLEKINGE LÄN</t>
        </is>
      </c>
      <c r="E270" t="inlineStr">
        <is>
          <t>KARLSKRONA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45197-2021</t>
        </is>
      </c>
      <c r="B271" s="1" t="n">
        <v>44439</v>
      </c>
      <c r="C271" s="1" t="n">
        <v>46196</v>
      </c>
      <c r="D271" t="inlineStr">
        <is>
          <t>BLEKINGE LÄN</t>
        </is>
      </c>
      <c r="E271" t="inlineStr">
        <is>
          <t>KARLSHAMN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40668-2021</t>
        </is>
      </c>
      <c r="B272" s="1" t="n">
        <v>44420</v>
      </c>
      <c r="C272" s="1" t="n">
        <v>46196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38944-2021</t>
        </is>
      </c>
      <c r="B273" s="1" t="n">
        <v>44410</v>
      </c>
      <c r="C273" s="1" t="n">
        <v>46196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41149-2022</t>
        </is>
      </c>
      <c r="B274" s="1" t="n">
        <v>44825</v>
      </c>
      <c r="C274" s="1" t="n">
        <v>46196</v>
      </c>
      <c r="D274" t="inlineStr">
        <is>
          <t>BLEKINGE LÄN</t>
        </is>
      </c>
      <c r="E274" t="inlineStr">
        <is>
          <t>RONNEBY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32517-2021</t>
        </is>
      </c>
      <c r="B275" s="1" t="n">
        <v>44374</v>
      </c>
      <c r="C275" s="1" t="n">
        <v>46196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45997-2021</t>
        </is>
      </c>
      <c r="B276" s="1" t="n">
        <v>44441</v>
      </c>
      <c r="C276" s="1" t="n">
        <v>46196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61725-2021</t>
        </is>
      </c>
      <c r="B277" s="1" t="n">
        <v>44501</v>
      </c>
      <c r="C277" s="1" t="n">
        <v>46196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861-2022</t>
        </is>
      </c>
      <c r="B278" s="1" t="n">
        <v>44571</v>
      </c>
      <c r="C278" s="1" t="n">
        <v>46196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44114-2021</t>
        </is>
      </c>
      <c r="B279" s="1" t="n">
        <v>44434</v>
      </c>
      <c r="C279" s="1" t="n">
        <v>46196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32670-2021</t>
        </is>
      </c>
      <c r="B280" s="1" t="n">
        <v>44375</v>
      </c>
      <c r="C280" s="1" t="n">
        <v>46196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39514-2021</t>
        </is>
      </c>
      <c r="B281" s="1" t="n">
        <v>44414</v>
      </c>
      <c r="C281" s="1" t="n">
        <v>46196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</v>
      </c>
      <c r="C282" s="1" t="n">
        <v>46196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</v>
      </c>
      <c r="C283" s="1" t="n">
        <v>46196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40788-2021</t>
        </is>
      </c>
      <c r="B284" s="1" t="n">
        <v>44420</v>
      </c>
      <c r="C284" s="1" t="n">
        <v>46196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47319-2021</t>
        </is>
      </c>
      <c r="B285" s="1" t="n">
        <v>44447</v>
      </c>
      <c r="C285" s="1" t="n">
        <v>46196</v>
      </c>
      <c r="D285" t="inlineStr">
        <is>
          <t>BLEKINGE LÄN</t>
        </is>
      </c>
      <c r="E285" t="inlineStr">
        <is>
          <t>RONNEBY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45588-2021</t>
        </is>
      </c>
      <c r="B286" s="1" t="n">
        <v>44440</v>
      </c>
      <c r="C286" s="1" t="n">
        <v>46196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</v>
      </c>
      <c r="C287" s="1" t="n">
        <v>46196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6037-2022</t>
        </is>
      </c>
      <c r="B288" s="1" t="n">
        <v>44599</v>
      </c>
      <c r="C288" s="1" t="n">
        <v>46196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2974-2022</t>
        </is>
      </c>
      <c r="B289" s="1" t="n">
        <v>44581</v>
      </c>
      <c r="C289" s="1" t="n">
        <v>46196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62714-2021</t>
        </is>
      </c>
      <c r="B290" s="1" t="n">
        <v>44503</v>
      </c>
      <c r="C290" s="1" t="n">
        <v>46196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1139-2022</t>
        </is>
      </c>
      <c r="B291" s="1" t="n">
        <v>44572</v>
      </c>
      <c r="C291" s="1" t="n">
        <v>46196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59366-2021</t>
        </is>
      </c>
      <c r="B292" s="1" t="n">
        <v>44491</v>
      </c>
      <c r="C292" s="1" t="n">
        <v>46196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59292-2021</t>
        </is>
      </c>
      <c r="B293" s="1" t="n">
        <v>44490</v>
      </c>
      <c r="C293" s="1" t="n">
        <v>46196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51503-2021</t>
        </is>
      </c>
      <c r="B294" s="1" t="n">
        <v>44462</v>
      </c>
      <c r="C294" s="1" t="n">
        <v>46196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36180-2021</t>
        </is>
      </c>
      <c r="B295" s="1" t="n">
        <v>44387</v>
      </c>
      <c r="C295" s="1" t="n">
        <v>46196</v>
      </c>
      <c r="D295" t="inlineStr">
        <is>
          <t>BLEKINGE LÄN</t>
        </is>
      </c>
      <c r="E295" t="inlineStr">
        <is>
          <t>OLOFSTRÖM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43813-2021</t>
        </is>
      </c>
      <c r="B296" s="1" t="n">
        <v>44433</v>
      </c>
      <c r="C296" s="1" t="n">
        <v>46196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67266-2021</t>
        </is>
      </c>
      <c r="B297" s="1" t="n">
        <v>44523</v>
      </c>
      <c r="C297" s="1" t="n">
        <v>46196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48782-2021</t>
        </is>
      </c>
      <c r="B298" s="1" t="n">
        <v>44452</v>
      </c>
      <c r="C298" s="1" t="n">
        <v>46196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54973-2021</t>
        </is>
      </c>
      <c r="B299" s="1" t="n">
        <v>44474</v>
      </c>
      <c r="C299" s="1" t="n">
        <v>46196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53270-2021</t>
        </is>
      </c>
      <c r="B300" s="1" t="n">
        <v>44468</v>
      </c>
      <c r="C300" s="1" t="n">
        <v>46196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43065-2021</t>
        </is>
      </c>
      <c r="B301" s="1" t="n">
        <v>44431</v>
      </c>
      <c r="C301" s="1" t="n">
        <v>46196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4064-2022</t>
        </is>
      </c>
      <c r="B302" s="1" t="n">
        <v>44588</v>
      </c>
      <c r="C302" s="1" t="n">
        <v>46196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55903-2021</t>
        </is>
      </c>
      <c r="B303" s="1" t="n">
        <v>44476</v>
      </c>
      <c r="C303" s="1" t="n">
        <v>46196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49692-2021</t>
        </is>
      </c>
      <c r="B304" s="1" t="n">
        <v>44455</v>
      </c>
      <c r="C304" s="1" t="n">
        <v>46196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5701-2022</t>
        </is>
      </c>
      <c r="B305" s="1" t="n">
        <v>44596</v>
      </c>
      <c r="C305" s="1" t="n">
        <v>46196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32528-2021</t>
        </is>
      </c>
      <c r="B306" s="1" t="n">
        <v>44374</v>
      </c>
      <c r="C306" s="1" t="n">
        <v>46196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3148-2022</t>
        </is>
      </c>
      <c r="B307" s="1" t="n">
        <v>44582</v>
      </c>
      <c r="C307" s="1" t="n">
        <v>46196</v>
      </c>
      <c r="D307" t="inlineStr">
        <is>
          <t>BLEKINGE LÄN</t>
        </is>
      </c>
      <c r="E307" t="inlineStr">
        <is>
          <t>KARLSHAMN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65618-2021</t>
        </is>
      </c>
      <c r="B308" s="1" t="n">
        <v>44516</v>
      </c>
      <c r="C308" s="1" t="n">
        <v>46196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54020-2021</t>
        </is>
      </c>
      <c r="B309" s="1" t="n">
        <v>44470</v>
      </c>
      <c r="C309" s="1" t="n">
        <v>46196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33518-2021</t>
        </is>
      </c>
      <c r="B310" s="1" t="n">
        <v>44377</v>
      </c>
      <c r="C310" s="1" t="n">
        <v>46196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8792-2022</t>
        </is>
      </c>
      <c r="B311" s="1" t="n">
        <v>44613</v>
      </c>
      <c r="C311" s="1" t="n">
        <v>46196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10338-2022</t>
        </is>
      </c>
      <c r="B312" s="1" t="n">
        <v>44623</v>
      </c>
      <c r="C312" s="1" t="n">
        <v>46196</v>
      </c>
      <c r="D312" t="inlineStr">
        <is>
          <t>BLEKINGE LÄN</t>
        </is>
      </c>
      <c r="E312" t="inlineStr">
        <is>
          <t>KARLSKRONA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875-2022</t>
        </is>
      </c>
      <c r="B313" s="1" t="n">
        <v>44567</v>
      </c>
      <c r="C313" s="1" t="n">
        <v>46196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2077-2022</t>
        </is>
      </c>
      <c r="B314" s="1" t="n">
        <v>44576</v>
      </c>
      <c r="C314" s="1" t="n">
        <v>46196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73436-2021</t>
        </is>
      </c>
      <c r="B315" s="1" t="n">
        <v>44551</v>
      </c>
      <c r="C315" s="1" t="n">
        <v>46196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23661-2022</t>
        </is>
      </c>
      <c r="B316" s="1" t="n">
        <v>44721</v>
      </c>
      <c r="C316" s="1" t="n">
        <v>46196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50420-2022</t>
        </is>
      </c>
      <c r="B317" s="1" t="n">
        <v>44866</v>
      </c>
      <c r="C317" s="1" t="n">
        <v>46196</v>
      </c>
      <c r="D317" t="inlineStr">
        <is>
          <t>BLEKINGE LÄN</t>
        </is>
      </c>
      <c r="E317" t="inlineStr">
        <is>
          <t>OLOFSTRÖM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46196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46196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50974-2021</t>
        </is>
      </c>
      <c r="B320" s="1" t="n">
        <v>44460</v>
      </c>
      <c r="C320" s="1" t="n">
        <v>46196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57730-2021</t>
        </is>
      </c>
      <c r="B321" s="1" t="n">
        <v>44484</v>
      </c>
      <c r="C321" s="1" t="n">
        <v>46196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31662-2022</t>
        </is>
      </c>
      <c r="B322" s="1" t="n">
        <v>44776</v>
      </c>
      <c r="C322" s="1" t="n">
        <v>46196</v>
      </c>
      <c r="D322" t="inlineStr">
        <is>
          <t>BLEKINGE LÄN</t>
        </is>
      </c>
      <c r="E322" t="inlineStr">
        <is>
          <t>KARLSHAMN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31666-2022</t>
        </is>
      </c>
      <c r="B323" s="1" t="n">
        <v>44776</v>
      </c>
      <c r="C323" s="1" t="n">
        <v>46196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58837-2021</t>
        </is>
      </c>
      <c r="B324" s="1" t="n">
        <v>44489</v>
      </c>
      <c r="C324" s="1" t="n">
        <v>46196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65691-2021</t>
        </is>
      </c>
      <c r="B325" s="1" t="n">
        <v>44516</v>
      </c>
      <c r="C325" s="1" t="n">
        <v>46196</v>
      </c>
      <c r="D325" t="inlineStr">
        <is>
          <t>BLEKINGE LÄN</t>
        </is>
      </c>
      <c r="E325" t="inlineStr">
        <is>
          <t>OLOFSTRÖM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35493-2021</t>
        </is>
      </c>
      <c r="B326" s="1" t="n">
        <v>44385</v>
      </c>
      <c r="C326" s="1" t="n">
        <v>46196</v>
      </c>
      <c r="D326" t="inlineStr">
        <is>
          <t>BLEKINGE LÄN</t>
        </is>
      </c>
      <c r="E326" t="inlineStr">
        <is>
          <t>RONNEBY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23154-2022</t>
        </is>
      </c>
      <c r="B327" s="1" t="n">
        <v>44719</v>
      </c>
      <c r="C327" s="1" t="n">
        <v>46196</v>
      </c>
      <c r="D327" t="inlineStr">
        <is>
          <t>BLEKINGE LÄN</t>
        </is>
      </c>
      <c r="E327" t="inlineStr">
        <is>
          <t>KARLSKRONA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30533-2022</t>
        </is>
      </c>
      <c r="B328" s="1" t="n">
        <v>44762</v>
      </c>
      <c r="C328" s="1" t="n">
        <v>46196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30536-2022</t>
        </is>
      </c>
      <c r="B329" s="1" t="n">
        <v>44762</v>
      </c>
      <c r="C329" s="1" t="n">
        <v>46196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54534-2022</t>
        </is>
      </c>
      <c r="B330" s="1" t="n">
        <v>44882</v>
      </c>
      <c r="C330" s="1" t="n">
        <v>46196</v>
      </c>
      <c r="D330" t="inlineStr">
        <is>
          <t>BLEKINGE LÄN</t>
        </is>
      </c>
      <c r="E330" t="inlineStr">
        <is>
          <t>RONNEBY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40518-2021</t>
        </is>
      </c>
      <c r="B331" s="1" t="n">
        <v>44420</v>
      </c>
      <c r="C331" s="1" t="n">
        <v>46196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40526-2021</t>
        </is>
      </c>
      <c r="B332" s="1" t="n">
        <v>44420</v>
      </c>
      <c r="C332" s="1" t="n">
        <v>46196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40528-2021</t>
        </is>
      </c>
      <c r="B333" s="1" t="n">
        <v>44420</v>
      </c>
      <c r="C333" s="1" t="n">
        <v>46196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69574-2021</t>
        </is>
      </c>
      <c r="B334" s="1" t="n">
        <v>44532</v>
      </c>
      <c r="C334" s="1" t="n">
        <v>46196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11761-2022</t>
        </is>
      </c>
      <c r="B335" s="1" t="n">
        <v>44634</v>
      </c>
      <c r="C335" s="1" t="n">
        <v>46196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10922-2022</t>
        </is>
      </c>
      <c r="B336" s="1" t="n">
        <v>44627</v>
      </c>
      <c r="C336" s="1" t="n">
        <v>46196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41200-2022</t>
        </is>
      </c>
      <c r="B337" s="1" t="n">
        <v>44825</v>
      </c>
      <c r="C337" s="1" t="n">
        <v>46196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42554-2021</t>
        </is>
      </c>
      <c r="B338" s="1" t="n">
        <v>44427</v>
      </c>
      <c r="C338" s="1" t="n">
        <v>46196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46435-2022</t>
        </is>
      </c>
      <c r="B339" s="1" t="n">
        <v>44847</v>
      </c>
      <c r="C339" s="1" t="n">
        <v>46196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2659-2022</t>
        </is>
      </c>
      <c r="B340" s="1" t="n">
        <v>44580</v>
      </c>
      <c r="C340" s="1" t="n">
        <v>46196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8761-2022</t>
        </is>
      </c>
      <c r="B341" s="1" t="n">
        <v>44613</v>
      </c>
      <c r="C341" s="1" t="n">
        <v>46196</v>
      </c>
      <c r="D341" t="inlineStr">
        <is>
          <t>BLEKINGE LÄN</t>
        </is>
      </c>
      <c r="E341" t="inlineStr">
        <is>
          <t>OLOFSTRÖM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8772-2022</t>
        </is>
      </c>
      <c r="B342" s="1" t="n">
        <v>44613</v>
      </c>
      <c r="C342" s="1" t="n">
        <v>46196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8799-2022</t>
        </is>
      </c>
      <c r="B343" s="1" t="n">
        <v>44613</v>
      </c>
      <c r="C343" s="1" t="n">
        <v>46196</v>
      </c>
      <c r="D343" t="inlineStr">
        <is>
          <t>BLEKINGE LÄN</t>
        </is>
      </c>
      <c r="E343" t="inlineStr">
        <is>
          <t>OLOFSTRÖM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38707-2021</t>
        </is>
      </c>
      <c r="B344" s="1" t="n">
        <v>44410</v>
      </c>
      <c r="C344" s="1" t="n">
        <v>46196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43923-2021</t>
        </is>
      </c>
      <c r="B345" s="1" t="n">
        <v>44434</v>
      </c>
      <c r="C345" s="1" t="n">
        <v>46196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20469-2022</t>
        </is>
      </c>
      <c r="B346" s="1" t="n">
        <v>44699</v>
      </c>
      <c r="C346" s="1" t="n">
        <v>46196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59947-2021</t>
        </is>
      </c>
      <c r="B347" s="1" t="n">
        <v>44494</v>
      </c>
      <c r="C347" s="1" t="n">
        <v>46196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73441-2021</t>
        </is>
      </c>
      <c r="B348" s="1" t="n">
        <v>44551</v>
      </c>
      <c r="C348" s="1" t="n">
        <v>46196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46196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55190-2021</t>
        </is>
      </c>
      <c r="B350" s="1" t="n">
        <v>44475</v>
      </c>
      <c r="C350" s="1" t="n">
        <v>46196</v>
      </c>
      <c r="D350" t="inlineStr">
        <is>
          <t>BLEKINGE LÄN</t>
        </is>
      </c>
      <c r="E350" t="inlineStr">
        <is>
          <t>KARLSKRONA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67540-2021</t>
        </is>
      </c>
      <c r="B351" s="1" t="n">
        <v>44524</v>
      </c>
      <c r="C351" s="1" t="n">
        <v>46196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71518-2021</t>
        </is>
      </c>
      <c r="B352" s="1" t="n">
        <v>44540</v>
      </c>
      <c r="C352" s="1" t="n">
        <v>46196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</v>
      </c>
      <c r="C353" s="1" t="n">
        <v>46196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46196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39386-2021</t>
        </is>
      </c>
      <c r="B355" s="1" t="n">
        <v>44414</v>
      </c>
      <c r="C355" s="1" t="n">
        <v>46196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66288-2021</t>
        </is>
      </c>
      <c r="B356" s="1" t="n">
        <v>44518</v>
      </c>
      <c r="C356" s="1" t="n">
        <v>46196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37184-2022</t>
        </is>
      </c>
      <c r="B357" s="1" t="n">
        <v>44806</v>
      </c>
      <c r="C357" s="1" t="n">
        <v>46196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61657-2021</t>
        </is>
      </c>
      <c r="B358" s="1" t="n">
        <v>44501</v>
      </c>
      <c r="C358" s="1" t="n">
        <v>46196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20152-2022</t>
        </is>
      </c>
      <c r="B359" s="1" t="n">
        <v>44698</v>
      </c>
      <c r="C359" s="1" t="n">
        <v>46196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45522-2022</t>
        </is>
      </c>
      <c r="B360" s="1" t="n">
        <v>44845</v>
      </c>
      <c r="C360" s="1" t="n">
        <v>46196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71792-2021</t>
        </is>
      </c>
      <c r="B361" s="1" t="n">
        <v>44543</v>
      </c>
      <c r="C361" s="1" t="n">
        <v>46196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51660-2022</t>
        </is>
      </c>
      <c r="B362" s="1" t="n">
        <v>44872</v>
      </c>
      <c r="C362" s="1" t="n">
        <v>46196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9966-2022</t>
        </is>
      </c>
      <c r="B363" s="1" t="n">
        <v>44621</v>
      </c>
      <c r="C363" s="1" t="n">
        <v>46196</v>
      </c>
      <c r="D363" t="inlineStr">
        <is>
          <t>BLEKINGE LÄN</t>
        </is>
      </c>
      <c r="E363" t="inlineStr">
        <is>
          <t>KARLSKRONA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48703-2022</t>
        </is>
      </c>
      <c r="B364" s="1" t="n">
        <v>44859</v>
      </c>
      <c r="C364" s="1" t="n">
        <v>46196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55126-2022</t>
        </is>
      </c>
      <c r="B365" s="1" t="n">
        <v>44886</v>
      </c>
      <c r="C365" s="1" t="n">
        <v>46196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11461-2022</t>
        </is>
      </c>
      <c r="B366" s="1" t="n">
        <v>44630</v>
      </c>
      <c r="C366" s="1" t="n">
        <v>46196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50414-2022</t>
        </is>
      </c>
      <c r="B367" s="1" t="n">
        <v>44866</v>
      </c>
      <c r="C367" s="1" t="n">
        <v>46196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27474-2022</t>
        </is>
      </c>
      <c r="B368" s="1" t="n">
        <v>44742</v>
      </c>
      <c r="C368" s="1" t="n">
        <v>46196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19615-2022</t>
        </is>
      </c>
      <c r="B369" s="1" t="n">
        <v>44694</v>
      </c>
      <c r="C369" s="1" t="n">
        <v>46196</v>
      </c>
      <c r="D369" t="inlineStr">
        <is>
          <t>BLEKINGE LÄN</t>
        </is>
      </c>
      <c r="E369" t="inlineStr">
        <is>
          <t>RONNEBY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27842-2022</t>
        </is>
      </c>
      <c r="B370" s="1" t="n">
        <v>44743</v>
      </c>
      <c r="C370" s="1" t="n">
        <v>46196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35052-2022</t>
        </is>
      </c>
      <c r="B371" s="1" t="n">
        <v>44796</v>
      </c>
      <c r="C371" s="1" t="n">
        <v>46196</v>
      </c>
      <c r="D371" t="inlineStr">
        <is>
          <t>BLEKINGE LÄN</t>
        </is>
      </c>
      <c r="E371" t="inlineStr">
        <is>
          <t>KARLSHAMN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73438-2021</t>
        </is>
      </c>
      <c r="B372" s="1" t="n">
        <v>44551</v>
      </c>
      <c r="C372" s="1" t="n">
        <v>46196</v>
      </c>
      <c r="D372" t="inlineStr">
        <is>
          <t>BLEKINGE LÄN</t>
        </is>
      </c>
      <c r="E372" t="inlineStr">
        <is>
          <t>OLOFSTRÖM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73443-2021</t>
        </is>
      </c>
      <c r="B373" s="1" t="n">
        <v>44551</v>
      </c>
      <c r="C373" s="1" t="n">
        <v>46196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73443-2021</t>
        </is>
      </c>
      <c r="B374" s="1" t="n">
        <v>44551</v>
      </c>
      <c r="C374" s="1" t="n">
        <v>46196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66838-2021</t>
        </is>
      </c>
      <c r="B375" s="1" t="n">
        <v>44522</v>
      </c>
      <c r="C375" s="1" t="n">
        <v>46196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62711-2021</t>
        </is>
      </c>
      <c r="B376" s="1" t="n">
        <v>44504</v>
      </c>
      <c r="C376" s="1" t="n">
        <v>46196</v>
      </c>
      <c r="D376" t="inlineStr">
        <is>
          <t>BLEKINGE LÄN</t>
        </is>
      </c>
      <c r="E376" t="inlineStr">
        <is>
          <t>RONNEBY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56442-2021</t>
        </is>
      </c>
      <c r="B377" s="1" t="n">
        <v>44480</v>
      </c>
      <c r="C377" s="1" t="n">
        <v>46196</v>
      </c>
      <c r="D377" t="inlineStr">
        <is>
          <t>BLEKINGE LÄN</t>
        </is>
      </c>
      <c r="E377" t="inlineStr">
        <is>
          <t>KARLSKRONA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47481-2022</t>
        </is>
      </c>
      <c r="B378" s="1" t="n">
        <v>44853</v>
      </c>
      <c r="C378" s="1" t="n">
        <v>46196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39133-2022</t>
        </is>
      </c>
      <c r="B379" s="1" t="n">
        <v>44817</v>
      </c>
      <c r="C379" s="1" t="n">
        <v>46196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41618-2021</t>
        </is>
      </c>
      <c r="B380" s="1" t="n">
        <v>44425</v>
      </c>
      <c r="C380" s="1" t="n">
        <v>46196</v>
      </c>
      <c r="D380" t="inlineStr">
        <is>
          <t>BLEKINGE LÄN</t>
        </is>
      </c>
      <c r="E380" t="inlineStr">
        <is>
          <t>KARLSKRONA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12433-2022</t>
        </is>
      </c>
      <c r="B381" s="1" t="n">
        <v>44638</v>
      </c>
      <c r="C381" s="1" t="n">
        <v>46196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45605-2021</t>
        </is>
      </c>
      <c r="B382" s="1" t="n">
        <v>44440</v>
      </c>
      <c r="C382" s="1" t="n">
        <v>46196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52695-2021</t>
        </is>
      </c>
      <c r="B383" s="1" t="n">
        <v>44466</v>
      </c>
      <c r="C383" s="1" t="n">
        <v>46196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43570-2022</t>
        </is>
      </c>
      <c r="B384" s="1" t="n">
        <v>44837</v>
      </c>
      <c r="C384" s="1" t="n">
        <v>46196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58816-2021</t>
        </is>
      </c>
      <c r="B385" s="1" t="n">
        <v>44489</v>
      </c>
      <c r="C385" s="1" t="n">
        <v>46196</v>
      </c>
      <c r="D385" t="inlineStr">
        <is>
          <t>BLEKINGE LÄN</t>
        </is>
      </c>
      <c r="E385" t="inlineStr">
        <is>
          <t>KARLSHAMN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21484-2022</t>
        </is>
      </c>
      <c r="B386" s="1" t="n">
        <v>44706</v>
      </c>
      <c r="C386" s="1" t="n">
        <v>46196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7874-2022</t>
        </is>
      </c>
      <c r="B387" s="1" t="n">
        <v>44608</v>
      </c>
      <c r="C387" s="1" t="n">
        <v>46196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2391-2022</t>
        </is>
      </c>
      <c r="B388" s="1" t="n">
        <v>44579</v>
      </c>
      <c r="C388" s="1" t="n">
        <v>46196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38401-2022</t>
        </is>
      </c>
      <c r="B389" s="1" t="n">
        <v>44812</v>
      </c>
      <c r="C389" s="1" t="n">
        <v>46196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28338-2022</t>
        </is>
      </c>
      <c r="B390" s="1" t="n">
        <v>44747</v>
      </c>
      <c r="C390" s="1" t="n">
        <v>46196</v>
      </c>
      <c r="D390" t="inlineStr">
        <is>
          <t>BLEKINGE LÄN</t>
        </is>
      </c>
      <c r="E390" t="inlineStr">
        <is>
          <t>OLOFSTRÖM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32452-2021</t>
        </is>
      </c>
      <c r="B391" s="1" t="n">
        <v>44371</v>
      </c>
      <c r="C391" s="1" t="n">
        <v>46196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46196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18656-2022</t>
        </is>
      </c>
      <c r="B393" s="1" t="n">
        <v>44687</v>
      </c>
      <c r="C393" s="1" t="n">
        <v>46196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59839-2021</t>
        </is>
      </c>
      <c r="B394" s="1" t="n">
        <v>44494</v>
      </c>
      <c r="C394" s="1" t="n">
        <v>46196</v>
      </c>
      <c r="D394" t="inlineStr">
        <is>
          <t>BLEKINGE LÄN</t>
        </is>
      </c>
      <c r="E394" t="inlineStr">
        <is>
          <t>KARLSKRONA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9520-2022</t>
        </is>
      </c>
      <c r="B395" s="1" t="n">
        <v>44616</v>
      </c>
      <c r="C395" s="1" t="n">
        <v>46196</v>
      </c>
      <c r="D395" t="inlineStr">
        <is>
          <t>BLEKINGE LÄN</t>
        </is>
      </c>
      <c r="E395" t="inlineStr">
        <is>
          <t>SÖLVESBORG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</v>
      </c>
      <c r="C396" s="1" t="n">
        <v>46196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58830-2021</t>
        </is>
      </c>
      <c r="B397" s="1" t="n">
        <v>44489</v>
      </c>
      <c r="C397" s="1" t="n">
        <v>46196</v>
      </c>
      <c r="D397" t="inlineStr">
        <is>
          <t>BLEKINGE LÄN</t>
        </is>
      </c>
      <c r="E397" t="inlineStr">
        <is>
          <t>KARLSHAMN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67973-2021</t>
        </is>
      </c>
      <c r="B398" s="1" t="n">
        <v>44525</v>
      </c>
      <c r="C398" s="1" t="n">
        <v>46196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12281-2022</t>
        </is>
      </c>
      <c r="B399" s="1" t="n">
        <v>44637</v>
      </c>
      <c r="C399" s="1" t="n">
        <v>46196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68165-2021</t>
        </is>
      </c>
      <c r="B400" s="1" t="n">
        <v>44526</v>
      </c>
      <c r="C400" s="1" t="n">
        <v>46196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5714-2022</t>
        </is>
      </c>
      <c r="B401" s="1" t="n">
        <v>44596</v>
      </c>
      <c r="C401" s="1" t="n">
        <v>46196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45212-2021</t>
        </is>
      </c>
      <c r="B402" s="1" t="n">
        <v>44439</v>
      </c>
      <c r="C402" s="1" t="n">
        <v>46196</v>
      </c>
      <c r="D402" t="inlineStr">
        <is>
          <t>BLEKINGE LÄN</t>
        </is>
      </c>
      <c r="E402" t="inlineStr">
        <is>
          <t>KARLSKRONA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46461-2021</t>
        </is>
      </c>
      <c r="B403" s="1" t="n">
        <v>44445</v>
      </c>
      <c r="C403" s="1" t="n">
        <v>46196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41178-2021</t>
        </is>
      </c>
      <c r="B404" s="1" t="n">
        <v>44421</v>
      </c>
      <c r="C404" s="1" t="n">
        <v>46196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57796-2021</t>
        </is>
      </c>
      <c r="B405" s="1" t="n">
        <v>44484</v>
      </c>
      <c r="C405" s="1" t="n">
        <v>46196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37577-2021</t>
        </is>
      </c>
      <c r="B406" s="1" t="n">
        <v>44399</v>
      </c>
      <c r="C406" s="1" t="n">
        <v>46196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45587-2021</t>
        </is>
      </c>
      <c r="B407" s="1" t="n">
        <v>44440</v>
      </c>
      <c r="C407" s="1" t="n">
        <v>46196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45594-2021</t>
        </is>
      </c>
      <c r="B408" s="1" t="n">
        <v>44440</v>
      </c>
      <c r="C408" s="1" t="n">
        <v>46196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12683-2022</t>
        </is>
      </c>
      <c r="B409" s="1" t="n">
        <v>44641</v>
      </c>
      <c r="C409" s="1" t="n">
        <v>46196</v>
      </c>
      <c r="D409" t="inlineStr">
        <is>
          <t>BLEKINGE LÄN</t>
        </is>
      </c>
      <c r="E409" t="inlineStr">
        <is>
          <t>SÖLVESBORG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71769-2021</t>
        </is>
      </c>
      <c r="B410" s="1" t="n">
        <v>44539</v>
      </c>
      <c r="C410" s="1" t="n">
        <v>46196</v>
      </c>
      <c r="D410" t="inlineStr">
        <is>
          <t>BLEKINGE LÄN</t>
        </is>
      </c>
      <c r="E410" t="inlineStr">
        <is>
          <t>RONNEBY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60644-2021</t>
        </is>
      </c>
      <c r="B411" s="1" t="n">
        <v>44496</v>
      </c>
      <c r="C411" s="1" t="n">
        <v>46196</v>
      </c>
      <c r="D411" t="inlineStr">
        <is>
          <t>BLEKINGE LÄN</t>
        </is>
      </c>
      <c r="E411" t="inlineStr">
        <is>
          <t>OLOFSTRÖM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3650-2022</t>
        </is>
      </c>
      <c r="B412" s="1" t="n">
        <v>44586</v>
      </c>
      <c r="C412" s="1" t="n">
        <v>46196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49740-2021</t>
        </is>
      </c>
      <c r="B413" s="1" t="n">
        <v>44455</v>
      </c>
      <c r="C413" s="1" t="n">
        <v>46196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53045-2021</t>
        </is>
      </c>
      <c r="B414" s="1" t="n">
        <v>44467</v>
      </c>
      <c r="C414" s="1" t="n">
        <v>46196</v>
      </c>
      <c r="D414" t="inlineStr">
        <is>
          <t>BLEKINGE LÄN</t>
        </is>
      </c>
      <c r="E414" t="inlineStr">
        <is>
          <t>KARLSKRONA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22540-2022</t>
        </is>
      </c>
      <c r="B415" s="1" t="n">
        <v>44713</v>
      </c>
      <c r="C415" s="1" t="n">
        <v>46196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4806-2022</t>
        </is>
      </c>
      <c r="B416" s="1" t="n">
        <v>44592</v>
      </c>
      <c r="C416" s="1" t="n">
        <v>46196</v>
      </c>
      <c r="D416" t="inlineStr">
        <is>
          <t>BLEKINGE LÄN</t>
        </is>
      </c>
      <c r="E416" t="inlineStr">
        <is>
          <t>KARLSKRONA</t>
        </is>
      </c>
      <c r="F416" t="inlineStr">
        <is>
          <t>Kommuner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49653-2021</t>
        </is>
      </c>
      <c r="B417" s="1" t="n">
        <v>44455</v>
      </c>
      <c r="C417" s="1" t="n">
        <v>46196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7875-2022</t>
        </is>
      </c>
      <c r="B418" s="1" t="n">
        <v>44608</v>
      </c>
      <c r="C418" s="1" t="n">
        <v>46196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8321-2022</t>
        </is>
      </c>
      <c r="B419" s="1" t="n">
        <v>44610</v>
      </c>
      <c r="C419" s="1" t="n">
        <v>46196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62512-2021</t>
        </is>
      </c>
      <c r="B420" s="1" t="n">
        <v>44503</v>
      </c>
      <c r="C420" s="1" t="n">
        <v>46196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30525-2022</t>
        </is>
      </c>
      <c r="B421" s="1" t="n">
        <v>44762</v>
      </c>
      <c r="C421" s="1" t="n">
        <v>46196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22012-2022</t>
        </is>
      </c>
      <c r="B422" s="1" t="n">
        <v>44711</v>
      </c>
      <c r="C422" s="1" t="n">
        <v>46196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18492-2022</t>
        </is>
      </c>
      <c r="B423" s="1" t="n">
        <v>44686</v>
      </c>
      <c r="C423" s="1" t="n">
        <v>46196</v>
      </c>
      <c r="D423" t="inlineStr">
        <is>
          <t>BLEKINGE LÄN</t>
        </is>
      </c>
      <c r="E423" t="inlineStr">
        <is>
          <t>OLOFSTRÖM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49706-2021</t>
        </is>
      </c>
      <c r="B424" s="1" t="n">
        <v>44455</v>
      </c>
      <c r="C424" s="1" t="n">
        <v>46196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57995-2021</t>
        </is>
      </c>
      <c r="B425" s="1" t="n">
        <v>44487</v>
      </c>
      <c r="C425" s="1" t="n">
        <v>46196</v>
      </c>
      <c r="D425" t="inlineStr">
        <is>
          <t>BLEKINGE LÄN</t>
        </is>
      </c>
      <c r="E425" t="inlineStr">
        <is>
          <t>KARLSHAMN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36667-2022</t>
        </is>
      </c>
      <c r="B426" s="1" t="n">
        <v>44804</v>
      </c>
      <c r="C426" s="1" t="n">
        <v>46196</v>
      </c>
      <c r="D426" t="inlineStr">
        <is>
          <t>BLEKINGE LÄN</t>
        </is>
      </c>
      <c r="E426" t="inlineStr">
        <is>
          <t>KARLSKRONA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34310-2021</t>
        </is>
      </c>
      <c r="B427" s="1" t="n">
        <v>44379</v>
      </c>
      <c r="C427" s="1" t="n">
        <v>46196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4735-2022</t>
        </is>
      </c>
      <c r="B428" s="1" t="n">
        <v>44592</v>
      </c>
      <c r="C428" s="1" t="n">
        <v>46196</v>
      </c>
      <c r="D428" t="inlineStr">
        <is>
          <t>BLEKINGE LÄN</t>
        </is>
      </c>
      <c r="E428" t="inlineStr">
        <is>
          <t>OLOFSTRÖM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8834-2022</t>
        </is>
      </c>
      <c r="B429" s="1" t="n">
        <v>44614</v>
      </c>
      <c r="C429" s="1" t="n">
        <v>46196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46196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38212-2022</t>
        </is>
      </c>
      <c r="B431" s="1" t="n">
        <v>44812</v>
      </c>
      <c r="C431" s="1" t="n">
        <v>46196</v>
      </c>
      <c r="D431" t="inlineStr">
        <is>
          <t>BLEKINGE LÄN</t>
        </is>
      </c>
      <c r="E431" t="inlineStr">
        <is>
          <t>KARLSHAMN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49388-2022</t>
        </is>
      </c>
      <c r="B432" s="1" t="n">
        <v>44858</v>
      </c>
      <c r="C432" s="1" t="n">
        <v>46196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11729-2022</t>
        </is>
      </c>
      <c r="B433" s="1" t="n">
        <v>44634</v>
      </c>
      <c r="C433" s="1" t="n">
        <v>46196</v>
      </c>
      <c r="D433" t="inlineStr">
        <is>
          <t>BLEKINGE LÄN</t>
        </is>
      </c>
      <c r="E433" t="inlineStr">
        <is>
          <t>OLOFSTRÖM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52832-2022</t>
        </is>
      </c>
      <c r="B434" s="1" t="n">
        <v>44875</v>
      </c>
      <c r="C434" s="1" t="n">
        <v>46196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10737-2022</t>
        </is>
      </c>
      <c r="B435" s="1" t="n">
        <v>44627</v>
      </c>
      <c r="C435" s="1" t="n">
        <v>46196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11331-2022</t>
        </is>
      </c>
      <c r="B436" s="1" t="n">
        <v>44630</v>
      </c>
      <c r="C436" s="1" t="n">
        <v>46196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27698-2022</t>
        </is>
      </c>
      <c r="B437" s="1" t="n">
        <v>44743</v>
      </c>
      <c r="C437" s="1" t="n">
        <v>46196</v>
      </c>
      <c r="D437" t="inlineStr">
        <is>
          <t>BLEKINGE LÄN</t>
        </is>
      </c>
      <c r="E437" t="inlineStr">
        <is>
          <t>KARLSHAMN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15360-2024</t>
        </is>
      </c>
      <c r="B438" s="1" t="n">
        <v>45400</v>
      </c>
      <c r="C438" s="1" t="n">
        <v>46196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7725-2025</t>
        </is>
      </c>
      <c r="B439" s="1" t="n">
        <v>45706</v>
      </c>
      <c r="C439" s="1" t="n">
        <v>46196</v>
      </c>
      <c r="D439" t="inlineStr">
        <is>
          <t>BLEKINGE LÄN</t>
        </is>
      </c>
      <c r="E439" t="inlineStr">
        <is>
          <t>RONNEBY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59946-2021</t>
        </is>
      </c>
      <c r="B440" s="1" t="n">
        <v>44494</v>
      </c>
      <c r="C440" s="1" t="n">
        <v>46196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2413-2025</t>
        </is>
      </c>
      <c r="B441" s="1" t="n">
        <v>45674</v>
      </c>
      <c r="C441" s="1" t="n">
        <v>46196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3013-2024</t>
        </is>
      </c>
      <c r="B442" s="1" t="n">
        <v>45315</v>
      </c>
      <c r="C442" s="1" t="n">
        <v>46196</v>
      </c>
      <c r="D442" t="inlineStr">
        <is>
          <t>BLEKINGE LÄN</t>
        </is>
      </c>
      <c r="E442" t="inlineStr">
        <is>
          <t>KARLSKRONA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17627-2023</t>
        </is>
      </c>
      <c r="B443" s="1" t="n">
        <v>45035</v>
      </c>
      <c r="C443" s="1" t="n">
        <v>46196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33633-2023</t>
        </is>
      </c>
      <c r="B444" s="1" t="n">
        <v>45119</v>
      </c>
      <c r="C444" s="1" t="n">
        <v>46196</v>
      </c>
      <c r="D444" t="inlineStr">
        <is>
          <t>BLEKINGE LÄN</t>
        </is>
      </c>
      <c r="E444" t="inlineStr">
        <is>
          <t>KARLSHAMN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8148-2024</t>
        </is>
      </c>
      <c r="B445" s="1" t="n">
        <v>45351</v>
      </c>
      <c r="C445" s="1" t="n">
        <v>46196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19827-2024</t>
        </is>
      </c>
      <c r="B446" s="1" t="n">
        <v>45433</v>
      </c>
      <c r="C446" s="1" t="n">
        <v>46196</v>
      </c>
      <c r="D446" t="inlineStr">
        <is>
          <t>BLEKINGE LÄN</t>
        </is>
      </c>
      <c r="E446" t="inlineStr">
        <is>
          <t>SÖLVESBORG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19606-2024</t>
        </is>
      </c>
      <c r="B447" s="1" t="n">
        <v>45432</v>
      </c>
      <c r="C447" s="1" t="n">
        <v>46196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24155-2024</t>
        </is>
      </c>
      <c r="B448" s="1" t="n">
        <v>45456</v>
      </c>
      <c r="C448" s="1" t="n">
        <v>46196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50880-2024</t>
        </is>
      </c>
      <c r="B449" s="1" t="n">
        <v>45602</v>
      </c>
      <c r="C449" s="1" t="n">
        <v>46196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59981-2023</t>
        </is>
      </c>
      <c r="B450" s="1" t="n">
        <v>45257</v>
      </c>
      <c r="C450" s="1" t="n">
        <v>46196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39871-2023</t>
        </is>
      </c>
      <c r="B451" s="1" t="n">
        <v>45166</v>
      </c>
      <c r="C451" s="1" t="n">
        <v>46196</v>
      </c>
      <c r="D451" t="inlineStr">
        <is>
          <t>BLEKINGE LÄN</t>
        </is>
      </c>
      <c r="E451" t="inlineStr">
        <is>
          <t>OLOFSTRÖM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59007-2022</t>
        </is>
      </c>
      <c r="B452" s="1" t="n">
        <v>44903</v>
      </c>
      <c r="C452" s="1" t="n">
        <v>46196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24286-2023</t>
        </is>
      </c>
      <c r="B453" s="1" t="n">
        <v>45079</v>
      </c>
      <c r="C453" s="1" t="n">
        <v>46196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49894-2024</t>
        </is>
      </c>
      <c r="B454" s="1" t="n">
        <v>45597</v>
      </c>
      <c r="C454" s="1" t="n">
        <v>46196</v>
      </c>
      <c r="D454" t="inlineStr">
        <is>
          <t>BLEKINGE LÄN</t>
        </is>
      </c>
      <c r="E454" t="inlineStr">
        <is>
          <t>OLOFSTRÖM</t>
        </is>
      </c>
      <c r="G454" t="n">
        <v>17.5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619-2025</t>
        </is>
      </c>
      <c r="B455" s="1" t="n">
        <v>45664</v>
      </c>
      <c r="C455" s="1" t="n">
        <v>46196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17649-2022</t>
        </is>
      </c>
      <c r="B456" s="1" t="n">
        <v>44680</v>
      </c>
      <c r="C456" s="1" t="n">
        <v>46196</v>
      </c>
      <c r="D456" t="inlineStr">
        <is>
          <t>BLEKINGE LÄN</t>
        </is>
      </c>
      <c r="E456" t="inlineStr">
        <is>
          <t>KARLSHAMN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41640-2024</t>
        </is>
      </c>
      <c r="B457" s="1" t="n">
        <v>45560</v>
      </c>
      <c r="C457" s="1" t="n">
        <v>46196</v>
      </c>
      <c r="D457" t="inlineStr">
        <is>
          <t>BLEKINGE LÄN</t>
        </is>
      </c>
      <c r="E457" t="inlineStr">
        <is>
          <t>OLOFSTRÖM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55057-2022</t>
        </is>
      </c>
      <c r="B458" s="1" t="n">
        <v>44886</v>
      </c>
      <c r="C458" s="1" t="n">
        <v>46196</v>
      </c>
      <c r="D458" t="inlineStr">
        <is>
          <t>BLEKINGE LÄN</t>
        </is>
      </c>
      <c r="E458" t="inlineStr">
        <is>
          <t>KARLSKRONA</t>
        </is>
      </c>
      <c r="G458" t="n">
        <v>16.8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4670-2024</t>
        </is>
      </c>
      <c r="B459" s="1" t="n">
        <v>45328</v>
      </c>
      <c r="C459" s="1" t="n">
        <v>46196</v>
      </c>
      <c r="D459" t="inlineStr">
        <is>
          <t>BLEKINGE LÄN</t>
        </is>
      </c>
      <c r="E459" t="inlineStr">
        <is>
          <t>RONNEBY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46027-2023</t>
        </is>
      </c>
      <c r="B460" s="1" t="n">
        <v>45196</v>
      </c>
      <c r="C460" s="1" t="n">
        <v>46196</v>
      </c>
      <c r="D460" t="inlineStr">
        <is>
          <t>BLEKINGE LÄN</t>
        </is>
      </c>
      <c r="E460" t="inlineStr">
        <is>
          <t>KARLSKRONA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59349-2021</t>
        </is>
      </c>
      <c r="B461" s="1" t="n">
        <v>44491</v>
      </c>
      <c r="C461" s="1" t="n">
        <v>46196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6953-2023</t>
        </is>
      </c>
      <c r="B462" s="1" t="n">
        <v>44967</v>
      </c>
      <c r="C462" s="1" t="n">
        <v>46196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53733-2024</t>
        </is>
      </c>
      <c r="B463" s="1" t="n">
        <v>45615</v>
      </c>
      <c r="C463" s="1" t="n">
        <v>46196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14192-2024</t>
        </is>
      </c>
      <c r="B464" s="1" t="n">
        <v>45393</v>
      </c>
      <c r="C464" s="1" t="n">
        <v>46196</v>
      </c>
      <c r="D464" t="inlineStr">
        <is>
          <t>BLEKINGE LÄN</t>
        </is>
      </c>
      <c r="E464" t="inlineStr">
        <is>
          <t>KARLSKRONA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29969-2023</t>
        </is>
      </c>
      <c r="B465" s="1" t="n">
        <v>45108</v>
      </c>
      <c r="C465" s="1" t="n">
        <v>46196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38439-2023</t>
        </is>
      </c>
      <c r="B466" s="1" t="n">
        <v>45162</v>
      </c>
      <c r="C466" s="1" t="n">
        <v>46196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59006-2022</t>
        </is>
      </c>
      <c r="B467" s="1" t="n">
        <v>44903</v>
      </c>
      <c r="C467" s="1" t="n">
        <v>46196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42335-2023</t>
        </is>
      </c>
      <c r="B468" s="1" t="n">
        <v>45180</v>
      </c>
      <c r="C468" s="1" t="n">
        <v>46196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11644-2024</t>
        </is>
      </c>
      <c r="B469" s="1" t="n">
        <v>45373</v>
      </c>
      <c r="C469" s="1" t="n">
        <v>46196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13879-2023</t>
        </is>
      </c>
      <c r="B470" s="1" t="n">
        <v>45007</v>
      </c>
      <c r="C470" s="1" t="n">
        <v>46196</v>
      </c>
      <c r="D470" t="inlineStr">
        <is>
          <t>BLEKINGE LÄN</t>
        </is>
      </c>
      <c r="E470" t="inlineStr">
        <is>
          <t>KARLSHAMN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52821-2022</t>
        </is>
      </c>
      <c r="B471" s="1" t="n">
        <v>44875</v>
      </c>
      <c r="C471" s="1" t="n">
        <v>46196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53118-2024</t>
        </is>
      </c>
      <c r="B472" s="1" t="n">
        <v>45611</v>
      </c>
      <c r="C472" s="1" t="n">
        <v>46196</v>
      </c>
      <c r="D472" t="inlineStr">
        <is>
          <t>BLEKINGE LÄN</t>
        </is>
      </c>
      <c r="E472" t="inlineStr">
        <is>
          <t>KARLSHAMN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58786-2022</t>
        </is>
      </c>
      <c r="B473" s="1" t="n">
        <v>44903</v>
      </c>
      <c r="C473" s="1" t="n">
        <v>46196</v>
      </c>
      <c r="D473" t="inlineStr">
        <is>
          <t>BLEKINGE LÄN</t>
        </is>
      </c>
      <c r="E473" t="inlineStr">
        <is>
          <t>KARLSHAMN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35491-2024</t>
        </is>
      </c>
      <c r="B474" s="1" t="n">
        <v>45531</v>
      </c>
      <c r="C474" s="1" t="n">
        <v>46196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60501-2024</t>
        </is>
      </c>
      <c r="B475" s="1" t="n">
        <v>45643</v>
      </c>
      <c r="C475" s="1" t="n">
        <v>46196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58722-2023</t>
        </is>
      </c>
      <c r="B476" s="1" t="n">
        <v>45251</v>
      </c>
      <c r="C476" s="1" t="n">
        <v>46196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30853-2022</t>
        </is>
      </c>
      <c r="B477" s="1" t="n">
        <v>44747</v>
      </c>
      <c r="C477" s="1" t="n">
        <v>46196</v>
      </c>
      <c r="D477" t="inlineStr">
        <is>
          <t>BLEKINGE LÄN</t>
        </is>
      </c>
      <c r="E477" t="inlineStr">
        <is>
          <t>KARLSKRONA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13380-2024</t>
        </is>
      </c>
      <c r="B478" s="1" t="n">
        <v>45387</v>
      </c>
      <c r="C478" s="1" t="n">
        <v>46196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29785-2023</t>
        </is>
      </c>
      <c r="B479" s="1" t="n">
        <v>45107</v>
      </c>
      <c r="C479" s="1" t="n">
        <v>46196</v>
      </c>
      <c r="D479" t="inlineStr">
        <is>
          <t>BLEKINGE LÄN</t>
        </is>
      </c>
      <c r="E479" t="inlineStr">
        <is>
          <t>KARLSKRONA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49034-2022</t>
        </is>
      </c>
      <c r="B480" s="1" t="n">
        <v>44860</v>
      </c>
      <c r="C480" s="1" t="n">
        <v>46196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32698-2023</t>
        </is>
      </c>
      <c r="B481" s="1" t="n">
        <v>45121</v>
      </c>
      <c r="C481" s="1" t="n">
        <v>46196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12248-2023</t>
        </is>
      </c>
      <c r="B482" s="1" t="n">
        <v>44998</v>
      </c>
      <c r="C482" s="1" t="n">
        <v>46196</v>
      </c>
      <c r="D482" t="inlineStr">
        <is>
          <t>BLEKINGE LÄN</t>
        </is>
      </c>
      <c r="E482" t="inlineStr">
        <is>
          <t>KARLSKRONA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56201-2022</t>
        </is>
      </c>
      <c r="B483" s="1" t="n">
        <v>44890</v>
      </c>
      <c r="C483" s="1" t="n">
        <v>46196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27267-2022</t>
        </is>
      </c>
      <c r="B484" s="1" t="n">
        <v>44741</v>
      </c>
      <c r="C484" s="1" t="n">
        <v>46196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14359-2023</t>
        </is>
      </c>
      <c r="B485" s="1" t="n">
        <v>45012</v>
      </c>
      <c r="C485" s="1" t="n">
        <v>46196</v>
      </c>
      <c r="D485" t="inlineStr">
        <is>
          <t>BLEKINGE LÄN</t>
        </is>
      </c>
      <c r="E485" t="inlineStr">
        <is>
          <t>RONNEBY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3115-2023</t>
        </is>
      </c>
      <c r="B486" s="1" t="n">
        <v>44946</v>
      </c>
      <c r="C486" s="1" t="n">
        <v>46196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49941-2023</t>
        </is>
      </c>
      <c r="B487" s="1" t="n">
        <v>45215</v>
      </c>
      <c r="C487" s="1" t="n">
        <v>46196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2095-2023</t>
        </is>
      </c>
      <c r="B488" s="1" t="n">
        <v>44939</v>
      </c>
      <c r="C488" s="1" t="n">
        <v>46196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16639-2022</t>
        </is>
      </c>
      <c r="B489" s="1" t="n">
        <v>44672</v>
      </c>
      <c r="C489" s="1" t="n">
        <v>46196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48182-2023</t>
        </is>
      </c>
      <c r="B490" s="1" t="n">
        <v>45205</v>
      </c>
      <c r="C490" s="1" t="n">
        <v>46196</v>
      </c>
      <c r="D490" t="inlineStr">
        <is>
          <t>BLEKINGE LÄN</t>
        </is>
      </c>
      <c r="E490" t="inlineStr">
        <is>
          <t>KARLSHAMN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24474-2024</t>
        </is>
      </c>
      <c r="B491" s="1" t="n">
        <v>45458</v>
      </c>
      <c r="C491" s="1" t="n">
        <v>46196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1601-2023</t>
        </is>
      </c>
      <c r="B492" s="1" t="n">
        <v>44937</v>
      </c>
      <c r="C492" s="1" t="n">
        <v>46196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19645-2023</t>
        </is>
      </c>
      <c r="B493" s="1" t="n">
        <v>45051</v>
      </c>
      <c r="C493" s="1" t="n">
        <v>46196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40284-2023</t>
        </is>
      </c>
      <c r="B494" s="1" t="n">
        <v>45169</v>
      </c>
      <c r="C494" s="1" t="n">
        <v>46196</v>
      </c>
      <c r="D494" t="inlineStr">
        <is>
          <t>BLEKINGE LÄN</t>
        </is>
      </c>
      <c r="E494" t="inlineStr">
        <is>
          <t>OLOFSTRÖM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13535-2024</t>
        </is>
      </c>
      <c r="B495" s="1" t="n">
        <v>45387</v>
      </c>
      <c r="C495" s="1" t="n">
        <v>46196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19745-2023</t>
        </is>
      </c>
      <c r="B496" s="1" t="n">
        <v>45051</v>
      </c>
      <c r="C496" s="1" t="n">
        <v>46196</v>
      </c>
      <c r="D496" t="inlineStr">
        <is>
          <t>BLEKINGE LÄN</t>
        </is>
      </c>
      <c r="E496" t="inlineStr">
        <is>
          <t>KARLSHAMN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19747-2023</t>
        </is>
      </c>
      <c r="B497" s="1" t="n">
        <v>45051</v>
      </c>
      <c r="C497" s="1" t="n">
        <v>46196</v>
      </c>
      <c r="D497" t="inlineStr">
        <is>
          <t>BLEKINGE LÄN</t>
        </is>
      </c>
      <c r="E497" t="inlineStr">
        <is>
          <t>KARLSHAMN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22193-2025</t>
        </is>
      </c>
      <c r="B498" s="1" t="n">
        <v>45785</v>
      </c>
      <c r="C498" s="1" t="n">
        <v>46196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14475-2025</t>
        </is>
      </c>
      <c r="B499" s="1" t="n">
        <v>45741</v>
      </c>
      <c r="C499" s="1" t="n">
        <v>46196</v>
      </c>
      <c r="D499" t="inlineStr">
        <is>
          <t>BLEKINGE LÄN</t>
        </is>
      </c>
      <c r="E499" t="inlineStr">
        <is>
          <t>SÖLVESBORG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43056-2024</t>
        </is>
      </c>
      <c r="B500" s="1" t="n">
        <v>45567</v>
      </c>
      <c r="C500" s="1" t="n">
        <v>46196</v>
      </c>
      <c r="D500" t="inlineStr">
        <is>
          <t>BLEKINGE LÄN</t>
        </is>
      </c>
      <c r="E500" t="inlineStr">
        <is>
          <t>RONNEBY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22748-2024</t>
        </is>
      </c>
      <c r="B501" s="1" t="n">
        <v>45448</v>
      </c>
      <c r="C501" s="1" t="n">
        <v>46196</v>
      </c>
      <c r="D501" t="inlineStr">
        <is>
          <t>BLEKINGE LÄN</t>
        </is>
      </c>
      <c r="E501" t="inlineStr">
        <is>
          <t>KARLSHAMN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17070-2024</t>
        </is>
      </c>
      <c r="B502" s="1" t="n">
        <v>45412</v>
      </c>
      <c r="C502" s="1" t="n">
        <v>46196</v>
      </c>
      <c r="D502" t="inlineStr">
        <is>
          <t>BLEKINGE LÄN</t>
        </is>
      </c>
      <c r="E502" t="inlineStr">
        <is>
          <t>KARLSHAMN</t>
        </is>
      </c>
      <c r="F502" t="inlineStr">
        <is>
          <t>Kyrkan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15241-2023</t>
        </is>
      </c>
      <c r="B503" s="1" t="n">
        <v>45019</v>
      </c>
      <c r="C503" s="1" t="n">
        <v>46196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39228-2023</t>
        </is>
      </c>
      <c r="B504" s="1" t="n">
        <v>45166</v>
      </c>
      <c r="C504" s="1" t="n">
        <v>46196</v>
      </c>
      <c r="D504" t="inlineStr">
        <is>
          <t>BLEKINGE LÄN</t>
        </is>
      </c>
      <c r="E504" t="inlineStr">
        <is>
          <t>KARLSKRONA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3203-2022</t>
        </is>
      </c>
      <c r="B505" s="1" t="n">
        <v>44582</v>
      </c>
      <c r="C505" s="1" t="n">
        <v>46196</v>
      </c>
      <c r="D505" t="inlineStr">
        <is>
          <t>BLEKINGE LÄN</t>
        </is>
      </c>
      <c r="E505" t="inlineStr">
        <is>
          <t>OLOFSTRÖM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38729-2025</t>
        </is>
      </c>
      <c r="B506" s="1" t="n">
        <v>45887</v>
      </c>
      <c r="C506" s="1" t="n">
        <v>46196</v>
      </c>
      <c r="D506" t="inlineStr">
        <is>
          <t>BLEKINGE LÄN</t>
        </is>
      </c>
      <c r="E506" t="inlineStr">
        <is>
          <t>OLOFSTRÖM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17509-2025</t>
        </is>
      </c>
      <c r="B507" s="1" t="n">
        <v>45757</v>
      </c>
      <c r="C507" s="1" t="n">
        <v>46196</v>
      </c>
      <c r="D507" t="inlineStr">
        <is>
          <t>BLEKINGE LÄN</t>
        </is>
      </c>
      <c r="E507" t="inlineStr">
        <is>
          <t>RONNEBY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56340-2024</t>
        </is>
      </c>
      <c r="B508" s="1" t="n">
        <v>45624</v>
      </c>
      <c r="C508" s="1" t="n">
        <v>46196</v>
      </c>
      <c r="D508" t="inlineStr">
        <is>
          <t>BLEKINGE LÄN</t>
        </is>
      </c>
      <c r="E508" t="inlineStr">
        <is>
          <t>KARLSKRONA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51134-2025</t>
        </is>
      </c>
      <c r="B509" s="1" t="n">
        <v>45947</v>
      </c>
      <c r="C509" s="1" t="n">
        <v>46196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7982-2022</t>
        </is>
      </c>
      <c r="B510" s="1" t="n">
        <v>44609</v>
      </c>
      <c r="C510" s="1" t="n">
        <v>46196</v>
      </c>
      <c r="D510" t="inlineStr">
        <is>
          <t>BLEKINGE LÄN</t>
        </is>
      </c>
      <c r="E510" t="inlineStr">
        <is>
          <t>KARLSHAMN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51224-2025</t>
        </is>
      </c>
      <c r="B511" s="1" t="n">
        <v>45947</v>
      </c>
      <c r="C511" s="1" t="n">
        <v>46196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40346-2021</t>
        </is>
      </c>
      <c r="B512" s="1" t="n">
        <v>44419</v>
      </c>
      <c r="C512" s="1" t="n">
        <v>46196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2416-2025</t>
        </is>
      </c>
      <c r="B513" s="1" t="n">
        <v>45674</v>
      </c>
      <c r="C513" s="1" t="n">
        <v>46196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34884-2024</t>
        </is>
      </c>
      <c r="B514" s="1" t="n">
        <v>45527</v>
      </c>
      <c r="C514" s="1" t="n">
        <v>46196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9349-2025</t>
        </is>
      </c>
      <c r="B515" s="1" t="n">
        <v>45714</v>
      </c>
      <c r="C515" s="1" t="n">
        <v>46196</v>
      </c>
      <c r="D515" t="inlineStr">
        <is>
          <t>BLEKINGE LÄN</t>
        </is>
      </c>
      <c r="E515" t="inlineStr">
        <is>
          <t>KARLSKRONA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51279-2025</t>
        </is>
      </c>
      <c r="B516" s="1" t="n">
        <v>45950</v>
      </c>
      <c r="C516" s="1" t="n">
        <v>46196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56669-2023</t>
        </is>
      </c>
      <c r="B517" s="1" t="n">
        <v>45243</v>
      </c>
      <c r="C517" s="1" t="n">
        <v>46196</v>
      </c>
      <c r="D517" t="inlineStr">
        <is>
          <t>BLEKINGE LÄN</t>
        </is>
      </c>
      <c r="E517" t="inlineStr">
        <is>
          <t>KARLSHAMN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445-2024</t>
        </is>
      </c>
      <c r="B518" s="1" t="n">
        <v>45296</v>
      </c>
      <c r="C518" s="1" t="n">
        <v>46196</v>
      </c>
      <c r="D518" t="inlineStr">
        <is>
          <t>BLEKINGE LÄN</t>
        </is>
      </c>
      <c r="E518" t="inlineStr">
        <is>
          <t>SÖLVESBORG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51531-2025</t>
        </is>
      </c>
      <c r="B519" s="1" t="n">
        <v>45950</v>
      </c>
      <c r="C519" s="1" t="n">
        <v>46196</v>
      </c>
      <c r="D519" t="inlineStr">
        <is>
          <t>BLEKINGE LÄN</t>
        </is>
      </c>
      <c r="E519" t="inlineStr">
        <is>
          <t>KARLSHAMN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51323-2025</t>
        </is>
      </c>
      <c r="B520" s="1" t="n">
        <v>45950</v>
      </c>
      <c r="C520" s="1" t="n">
        <v>46196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57830-2024</t>
        </is>
      </c>
      <c r="B521" s="1" t="n">
        <v>45631</v>
      </c>
      <c r="C521" s="1" t="n">
        <v>46196</v>
      </c>
      <c r="D521" t="inlineStr">
        <is>
          <t>BLEKINGE LÄN</t>
        </is>
      </c>
      <c r="E521" t="inlineStr">
        <is>
          <t>KARLSKRONA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38463-2024</t>
        </is>
      </c>
      <c r="B522" s="1" t="n">
        <v>45546</v>
      </c>
      <c r="C522" s="1" t="n">
        <v>46196</v>
      </c>
      <c r="D522" t="inlineStr">
        <is>
          <t>BLEKINGE LÄN</t>
        </is>
      </c>
      <c r="E522" t="inlineStr">
        <is>
          <t>RONNEBY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22262-2025</t>
        </is>
      </c>
      <c r="B523" s="1" t="n">
        <v>45785</v>
      </c>
      <c r="C523" s="1" t="n">
        <v>46196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51569-2025</t>
        </is>
      </c>
      <c r="B524" s="1" t="n">
        <v>45951</v>
      </c>
      <c r="C524" s="1" t="n">
        <v>46196</v>
      </c>
      <c r="D524" t="inlineStr">
        <is>
          <t>BLEKINGE LÄN</t>
        </is>
      </c>
      <c r="E524" t="inlineStr">
        <is>
          <t>RONNEBY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11168-2025</t>
        </is>
      </c>
      <c r="B525" s="1" t="n">
        <v>45724</v>
      </c>
      <c r="C525" s="1" t="n">
        <v>46196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45642-2024</t>
        </is>
      </c>
      <c r="B526" s="1" t="n">
        <v>45579</v>
      </c>
      <c r="C526" s="1" t="n">
        <v>46196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9745-2024</t>
        </is>
      </c>
      <c r="B527" s="1" t="n">
        <v>45362</v>
      </c>
      <c r="C527" s="1" t="n">
        <v>46196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60538-2021</t>
        </is>
      </c>
      <c r="B528" s="1" t="n">
        <v>44496</v>
      </c>
      <c r="C528" s="1" t="n">
        <v>46196</v>
      </c>
      <c r="D528" t="inlineStr">
        <is>
          <t>BLEKINGE LÄN</t>
        </is>
      </c>
      <c r="E528" t="inlineStr">
        <is>
          <t>KARLSKRONA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52258-2025</t>
        </is>
      </c>
      <c r="B529" s="1" t="n">
        <v>45953</v>
      </c>
      <c r="C529" s="1" t="n">
        <v>46196</v>
      </c>
      <c r="D529" t="inlineStr">
        <is>
          <t>BLEKINGE LÄN</t>
        </is>
      </c>
      <c r="E529" t="inlineStr">
        <is>
          <t>KARLSHAMN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43875-2021</t>
        </is>
      </c>
      <c r="B530" s="1" t="n">
        <v>44434</v>
      </c>
      <c r="C530" s="1" t="n">
        <v>46196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11305-2025</t>
        </is>
      </c>
      <c r="B531" s="1" t="n">
        <v>45726</v>
      </c>
      <c r="C531" s="1" t="n">
        <v>46196</v>
      </c>
      <c r="D531" t="inlineStr">
        <is>
          <t>BLEKINGE LÄN</t>
        </is>
      </c>
      <c r="E531" t="inlineStr">
        <is>
          <t>OLOFSTRÖM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13922-2025</t>
        </is>
      </c>
      <c r="B532" s="1" t="n">
        <v>45737</v>
      </c>
      <c r="C532" s="1" t="n">
        <v>46196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52189-2025</t>
        </is>
      </c>
      <c r="B533" s="1" t="n">
        <v>45953</v>
      </c>
      <c r="C533" s="1" t="n">
        <v>46196</v>
      </c>
      <c r="D533" t="inlineStr">
        <is>
          <t>BLEKINGE LÄN</t>
        </is>
      </c>
      <c r="E533" t="inlineStr">
        <is>
          <t>KARLSHAMN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35245-2024</t>
        </is>
      </c>
      <c r="B534" s="1" t="n">
        <v>45530</v>
      </c>
      <c r="C534" s="1" t="n">
        <v>46196</v>
      </c>
      <c r="D534" t="inlineStr">
        <is>
          <t>BLEKINGE LÄN</t>
        </is>
      </c>
      <c r="E534" t="inlineStr">
        <is>
          <t>RONNEBY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61309-2024</t>
        </is>
      </c>
      <c r="B535" s="1" t="n">
        <v>45646</v>
      </c>
      <c r="C535" s="1" t="n">
        <v>46196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</v>
      </c>
      <c r="C536" s="1" t="n">
        <v>46196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62025-2024</t>
        </is>
      </c>
      <c r="B537" s="1" t="n">
        <v>45656</v>
      </c>
      <c r="C537" s="1" t="n">
        <v>46196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23464-2024</t>
        </is>
      </c>
      <c r="B538" s="1" t="n">
        <v>45453</v>
      </c>
      <c r="C538" s="1" t="n">
        <v>46196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16638-2025</t>
        </is>
      </c>
      <c r="B539" s="1" t="n">
        <v>45754</v>
      </c>
      <c r="C539" s="1" t="n">
        <v>46196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46920-2024</t>
        </is>
      </c>
      <c r="B540" s="1" t="n">
        <v>45583</v>
      </c>
      <c r="C540" s="1" t="n">
        <v>46196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52695-2025</t>
        </is>
      </c>
      <c r="B541" s="1" t="n">
        <v>45956</v>
      </c>
      <c r="C541" s="1" t="n">
        <v>46196</v>
      </c>
      <c r="D541" t="inlineStr">
        <is>
          <t>BLEKINGE LÄN</t>
        </is>
      </c>
      <c r="E541" t="inlineStr">
        <is>
          <t>OLOFSTRÖM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52881-2025</t>
        </is>
      </c>
      <c r="B542" s="1" t="n">
        <v>45954</v>
      </c>
      <c r="C542" s="1" t="n">
        <v>46196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52751-2025</t>
        </is>
      </c>
      <c r="B543" s="1" t="n">
        <v>45957</v>
      </c>
      <c r="C543" s="1" t="n">
        <v>46196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39564-2024</t>
        </is>
      </c>
      <c r="B544" s="1" t="n">
        <v>45551</v>
      </c>
      <c r="C544" s="1" t="n">
        <v>46196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6442-2024</t>
        </is>
      </c>
      <c r="B545" s="1" t="n">
        <v>45338</v>
      </c>
      <c r="C545" s="1" t="n">
        <v>46196</v>
      </c>
      <c r="D545" t="inlineStr">
        <is>
          <t>BLEKINGE LÄN</t>
        </is>
      </c>
      <c r="E545" t="inlineStr">
        <is>
          <t>OLOFSTRÖM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5218-2025</t>
        </is>
      </c>
      <c r="B546" s="1" t="n">
        <v>45691</v>
      </c>
      <c r="C546" s="1" t="n">
        <v>46196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35694-2024</t>
        </is>
      </c>
      <c r="B547" s="1" t="n">
        <v>45532</v>
      </c>
      <c r="C547" s="1" t="n">
        <v>46196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64469-2023</t>
        </is>
      </c>
      <c r="B548" s="1" t="n">
        <v>45280</v>
      </c>
      <c r="C548" s="1" t="n">
        <v>46196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52906-2025</t>
        </is>
      </c>
      <c r="B549" s="1" t="n">
        <v>45957</v>
      </c>
      <c r="C549" s="1" t="n">
        <v>46196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5317-2024</t>
        </is>
      </c>
      <c r="B550" s="1" t="n">
        <v>45331</v>
      </c>
      <c r="C550" s="1" t="n">
        <v>46196</v>
      </c>
      <c r="D550" t="inlineStr">
        <is>
          <t>BLEKINGE LÄN</t>
        </is>
      </c>
      <c r="E550" t="inlineStr">
        <is>
          <t>KARLSHAMN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6270-2025</t>
        </is>
      </c>
      <c r="B551" s="1" t="n">
        <v>45698</v>
      </c>
      <c r="C551" s="1" t="n">
        <v>46196</v>
      </c>
      <c r="D551" t="inlineStr">
        <is>
          <t>BLEKINGE LÄN</t>
        </is>
      </c>
      <c r="E551" t="inlineStr">
        <is>
          <t>OLOFSTRÖM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12827-2024</t>
        </is>
      </c>
      <c r="B552" s="1" t="n">
        <v>45384</v>
      </c>
      <c r="C552" s="1" t="n">
        <v>46196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12788-2025</t>
        </is>
      </c>
      <c r="B553" s="1" t="n">
        <v>45733</v>
      </c>
      <c r="C553" s="1" t="n">
        <v>46196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37415-2024</t>
        </is>
      </c>
      <c r="B554" s="1" t="n">
        <v>45540</v>
      </c>
      <c r="C554" s="1" t="n">
        <v>46196</v>
      </c>
      <c r="D554" t="inlineStr">
        <is>
          <t>BLEKINGE LÄN</t>
        </is>
      </c>
      <c r="E554" t="inlineStr">
        <is>
          <t>KARLSKRONA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9763-2022</t>
        </is>
      </c>
      <c r="B555" s="1" t="n">
        <v>44619</v>
      </c>
      <c r="C555" s="1" t="n">
        <v>46196</v>
      </c>
      <c r="D555" t="inlineStr">
        <is>
          <t>BLEKINGE LÄN</t>
        </is>
      </c>
      <c r="E555" t="inlineStr">
        <is>
          <t>KARLSKRONA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52694-2025</t>
        </is>
      </c>
      <c r="B556" s="1" t="n">
        <v>45956</v>
      </c>
      <c r="C556" s="1" t="n">
        <v>46196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52612-2025</t>
        </is>
      </c>
      <c r="B557" s="1" t="n">
        <v>45954</v>
      </c>
      <c r="C557" s="1" t="n">
        <v>46196</v>
      </c>
      <c r="D557" t="inlineStr">
        <is>
          <t>BLEKINGE LÄN</t>
        </is>
      </c>
      <c r="E557" t="inlineStr">
        <is>
          <t>KARLSKRONA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38783-2025</t>
        </is>
      </c>
      <c r="B558" s="1" t="n">
        <v>45887</v>
      </c>
      <c r="C558" s="1" t="n">
        <v>46196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38793-2025</t>
        </is>
      </c>
      <c r="B559" s="1" t="n">
        <v>45887</v>
      </c>
      <c r="C559" s="1" t="n">
        <v>46196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15563-2025</t>
        </is>
      </c>
      <c r="B560" s="1" t="n">
        <v>45747</v>
      </c>
      <c r="C560" s="1" t="n">
        <v>46196</v>
      </c>
      <c r="D560" t="inlineStr">
        <is>
          <t>BLEKINGE LÄN</t>
        </is>
      </c>
      <c r="E560" t="inlineStr">
        <is>
          <t>RONNEBY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17092-2023</t>
        </is>
      </c>
      <c r="B561" s="1" t="n">
        <v>45034</v>
      </c>
      <c r="C561" s="1" t="n">
        <v>46196</v>
      </c>
      <c r="D561" t="inlineStr">
        <is>
          <t>BLEKINGE LÄN</t>
        </is>
      </c>
      <c r="E561" t="inlineStr">
        <is>
          <t>KARLSKRONA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52903-2025</t>
        </is>
      </c>
      <c r="B562" s="1" t="n">
        <v>45957</v>
      </c>
      <c r="C562" s="1" t="n">
        <v>46196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35211-2024</t>
        </is>
      </c>
      <c r="B563" s="1" t="n">
        <v>45530</v>
      </c>
      <c r="C563" s="1" t="n">
        <v>46196</v>
      </c>
      <c r="D563" t="inlineStr">
        <is>
          <t>BLEKINGE LÄN</t>
        </is>
      </c>
      <c r="E563" t="inlineStr">
        <is>
          <t>KARLSHAMN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52893-2025</t>
        </is>
      </c>
      <c r="B564" s="1" t="n">
        <v>45957</v>
      </c>
      <c r="C564" s="1" t="n">
        <v>46196</v>
      </c>
      <c r="D564" t="inlineStr">
        <is>
          <t>BLEKINGE LÄN</t>
        </is>
      </c>
      <c r="E564" t="inlineStr">
        <is>
          <t>SÖLVESBORG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52892-2025</t>
        </is>
      </c>
      <c r="B565" s="1" t="n">
        <v>45954</v>
      </c>
      <c r="C565" s="1" t="n">
        <v>46196</v>
      </c>
      <c r="D565" t="inlineStr">
        <is>
          <t>BLEKINGE LÄN</t>
        </is>
      </c>
      <c r="E565" t="inlineStr">
        <is>
          <t>KARLSHAMN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53081-2025</t>
        </is>
      </c>
      <c r="B566" s="1" t="n">
        <v>45958</v>
      </c>
      <c r="C566" s="1" t="n">
        <v>46196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53130-2025</t>
        </is>
      </c>
      <c r="B567" s="1" t="n">
        <v>45958</v>
      </c>
      <c r="C567" s="1" t="n">
        <v>46196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53149-2025</t>
        </is>
      </c>
      <c r="B568" s="1" t="n">
        <v>45958</v>
      </c>
      <c r="C568" s="1" t="n">
        <v>46196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53072-2025</t>
        </is>
      </c>
      <c r="B569" s="1" t="n">
        <v>45958</v>
      </c>
      <c r="C569" s="1" t="n">
        <v>46196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53077-2025</t>
        </is>
      </c>
      <c r="B570" s="1" t="n">
        <v>45958</v>
      </c>
      <c r="C570" s="1" t="n">
        <v>46196</v>
      </c>
      <c r="D570" t="inlineStr">
        <is>
          <t>BLEKINGE LÄN</t>
        </is>
      </c>
      <c r="E570" t="inlineStr">
        <is>
          <t>RONNEBY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53146-2025</t>
        </is>
      </c>
      <c r="B571" s="1" t="n">
        <v>45958</v>
      </c>
      <c r="C571" s="1" t="n">
        <v>46196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53135-2025</t>
        </is>
      </c>
      <c r="B572" s="1" t="n">
        <v>45958</v>
      </c>
      <c r="C572" s="1" t="n">
        <v>46196</v>
      </c>
      <c r="D572" t="inlineStr">
        <is>
          <t>BLEKINGE LÄN</t>
        </is>
      </c>
      <c r="E572" t="inlineStr">
        <is>
          <t>KARLSKRONA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53141-2025</t>
        </is>
      </c>
      <c r="B573" s="1" t="n">
        <v>45958</v>
      </c>
      <c r="C573" s="1" t="n">
        <v>46196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53143-2025</t>
        </is>
      </c>
      <c r="B574" s="1" t="n">
        <v>45958</v>
      </c>
      <c r="C574" s="1" t="n">
        <v>46196</v>
      </c>
      <c r="D574" t="inlineStr">
        <is>
          <t>BLEKINGE LÄN</t>
        </is>
      </c>
      <c r="E574" t="inlineStr">
        <is>
          <t>KARLSKRONA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53293-2025</t>
        </is>
      </c>
      <c r="B575" s="1" t="n">
        <v>45958</v>
      </c>
      <c r="C575" s="1" t="n">
        <v>46196</v>
      </c>
      <c r="D575" t="inlineStr">
        <is>
          <t>BLEKINGE LÄN</t>
        </is>
      </c>
      <c r="E575" t="inlineStr">
        <is>
          <t>SÖLVESBORG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53096-2025</t>
        </is>
      </c>
      <c r="B576" s="1" t="n">
        <v>45958</v>
      </c>
      <c r="C576" s="1" t="n">
        <v>46196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53864-2025</t>
        </is>
      </c>
      <c r="B577" s="1" t="n">
        <v>45961</v>
      </c>
      <c r="C577" s="1" t="n">
        <v>46196</v>
      </c>
      <c r="D577" t="inlineStr">
        <is>
          <t>BLEKINGE LÄN</t>
        </is>
      </c>
      <c r="E577" t="inlineStr">
        <is>
          <t>KARLSKRONA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22490-2023</t>
        </is>
      </c>
      <c r="B578" s="1" t="n">
        <v>45071</v>
      </c>
      <c r="C578" s="1" t="n">
        <v>46196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53585-2025</t>
        </is>
      </c>
      <c r="B579" s="1" t="n">
        <v>45960</v>
      </c>
      <c r="C579" s="1" t="n">
        <v>46196</v>
      </c>
      <c r="D579" t="inlineStr">
        <is>
          <t>BLEKINGE LÄN</t>
        </is>
      </c>
      <c r="E579" t="inlineStr">
        <is>
          <t>KARLSHAMN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53850-2025</t>
        </is>
      </c>
      <c r="B580" s="1" t="n">
        <v>45961</v>
      </c>
      <c r="C580" s="1" t="n">
        <v>46196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53858-2025</t>
        </is>
      </c>
      <c r="B581" s="1" t="n">
        <v>45961</v>
      </c>
      <c r="C581" s="1" t="n">
        <v>46196</v>
      </c>
      <c r="D581" t="inlineStr">
        <is>
          <t>BLEKINGE LÄN</t>
        </is>
      </c>
      <c r="E581" t="inlineStr">
        <is>
          <t>KARLSKRONA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23383-2025</t>
        </is>
      </c>
      <c r="B582" s="1" t="n">
        <v>45791</v>
      </c>
      <c r="C582" s="1" t="n">
        <v>46196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46196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54492-2025</t>
        </is>
      </c>
      <c r="B584" s="1" t="n">
        <v>45965</v>
      </c>
      <c r="C584" s="1" t="n">
        <v>46196</v>
      </c>
      <c r="D584" t="inlineStr">
        <is>
          <t>BLEKINGE LÄN</t>
        </is>
      </c>
      <c r="E584" t="inlineStr">
        <is>
          <t>OLOFSTRÖM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74342-2021</t>
        </is>
      </c>
      <c r="B585" s="1" t="n">
        <v>44559</v>
      </c>
      <c r="C585" s="1" t="n">
        <v>46196</v>
      </c>
      <c r="D585" t="inlineStr">
        <is>
          <t>BLEKINGE LÄN</t>
        </is>
      </c>
      <c r="E585" t="inlineStr">
        <is>
          <t>KARLSKRONA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39218-2025</t>
        </is>
      </c>
      <c r="B586" s="1" t="n">
        <v>45888</v>
      </c>
      <c r="C586" s="1" t="n">
        <v>46196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39110-2025</t>
        </is>
      </c>
      <c r="B587" s="1" t="n">
        <v>45888</v>
      </c>
      <c r="C587" s="1" t="n">
        <v>46196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54043-2025</t>
        </is>
      </c>
      <c r="B588" s="1" t="n">
        <v>45963</v>
      </c>
      <c r="C588" s="1" t="n">
        <v>46196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24313-2025</t>
        </is>
      </c>
      <c r="B589" s="1" t="n">
        <v>45797</v>
      </c>
      <c r="C589" s="1" t="n">
        <v>46196</v>
      </c>
      <c r="D589" t="inlineStr">
        <is>
          <t>BLEKINGE LÄN</t>
        </is>
      </c>
      <c r="E589" t="inlineStr">
        <is>
          <t>SÖLVESBORG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39308-2025</t>
        </is>
      </c>
      <c r="B590" s="1" t="n">
        <v>45889</v>
      </c>
      <c r="C590" s="1" t="n">
        <v>46196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39062-2025</t>
        </is>
      </c>
      <c r="B591" s="1" t="n">
        <v>45888</v>
      </c>
      <c r="C591" s="1" t="n">
        <v>46196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49317-2025</t>
        </is>
      </c>
      <c r="B592" s="1" t="n">
        <v>45938</v>
      </c>
      <c r="C592" s="1" t="n">
        <v>46196</v>
      </c>
      <c r="D592" t="inlineStr">
        <is>
          <t>BLEKINGE LÄN</t>
        </is>
      </c>
      <c r="E592" t="inlineStr">
        <is>
          <t>KARLSKRONA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24267-2025</t>
        </is>
      </c>
      <c r="B593" s="1" t="n">
        <v>45797</v>
      </c>
      <c r="C593" s="1" t="n">
        <v>46196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24269-2025</t>
        </is>
      </c>
      <c r="B594" s="1" t="n">
        <v>45797</v>
      </c>
      <c r="C594" s="1" t="n">
        <v>46196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39455-2025</t>
        </is>
      </c>
      <c r="B595" s="1" t="n">
        <v>45889</v>
      </c>
      <c r="C595" s="1" t="n">
        <v>46196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24253-2025</t>
        </is>
      </c>
      <c r="B596" s="1" t="n">
        <v>45796</v>
      </c>
      <c r="C596" s="1" t="n">
        <v>46196</v>
      </c>
      <c r="D596" t="inlineStr">
        <is>
          <t>BLEKINGE LÄN</t>
        </is>
      </c>
      <c r="E596" t="inlineStr">
        <is>
          <t>OLOFSTRÖM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24051-2025</t>
        </is>
      </c>
      <c r="B597" s="1" t="n">
        <v>45796</v>
      </c>
      <c r="C597" s="1" t="n">
        <v>46196</v>
      </c>
      <c r="D597" t="inlineStr">
        <is>
          <t>BLEKINGE LÄN</t>
        </is>
      </c>
      <c r="E597" t="inlineStr">
        <is>
          <t>KARLSHAMN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24030-2025</t>
        </is>
      </c>
      <c r="B598" s="1" t="n">
        <v>45796</v>
      </c>
      <c r="C598" s="1" t="n">
        <v>46196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40206-2025</t>
        </is>
      </c>
      <c r="B599" s="1" t="n">
        <v>45894</v>
      </c>
      <c r="C599" s="1" t="n">
        <v>46196</v>
      </c>
      <c r="D599" t="inlineStr">
        <is>
          <t>BLEKINGE LÄN</t>
        </is>
      </c>
      <c r="E599" t="inlineStr">
        <is>
          <t>KARLSHAMN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39970-2025</t>
        </is>
      </c>
      <c r="B600" s="1" t="n">
        <v>45892</v>
      </c>
      <c r="C600" s="1" t="n">
        <v>46196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37608-2023</t>
        </is>
      </c>
      <c r="B601" s="1" t="n">
        <v>45159</v>
      </c>
      <c r="C601" s="1" t="n">
        <v>46196</v>
      </c>
      <c r="D601" t="inlineStr">
        <is>
          <t>BLEKINGE LÄN</t>
        </is>
      </c>
      <c r="E601" t="inlineStr">
        <is>
          <t>KARLSKRONA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39944-2025</t>
        </is>
      </c>
      <c r="B602" s="1" t="n">
        <v>45891</v>
      </c>
      <c r="C602" s="1" t="n">
        <v>46196</v>
      </c>
      <c r="D602" t="inlineStr">
        <is>
          <t>BLEKINGE LÄN</t>
        </is>
      </c>
      <c r="E602" t="inlineStr">
        <is>
          <t>OLOFSTRÖM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10997-2024</t>
        </is>
      </c>
      <c r="B603" s="1" t="n">
        <v>45370</v>
      </c>
      <c r="C603" s="1" t="n">
        <v>46196</v>
      </c>
      <c r="D603" t="inlineStr">
        <is>
          <t>BLEKINGE LÄN</t>
        </is>
      </c>
      <c r="E603" t="inlineStr">
        <is>
          <t>SÖLVESBORG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61110-2023</t>
        </is>
      </c>
      <c r="B604" s="1" t="n">
        <v>45261</v>
      </c>
      <c r="C604" s="1" t="n">
        <v>46196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10508-2023</t>
        </is>
      </c>
      <c r="B605" s="1" t="n">
        <v>44987</v>
      </c>
      <c r="C605" s="1" t="n">
        <v>46196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6676-2025</t>
        </is>
      </c>
      <c r="B606" s="1" t="n">
        <v>45700</v>
      </c>
      <c r="C606" s="1" t="n">
        <v>46196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10112-2023</t>
        </is>
      </c>
      <c r="B607" s="1" t="n">
        <v>44986</v>
      </c>
      <c r="C607" s="1" t="n">
        <v>46196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55074-2025</t>
        </is>
      </c>
      <c r="B608" s="1" t="n">
        <v>45967</v>
      </c>
      <c r="C608" s="1" t="n">
        <v>46196</v>
      </c>
      <c r="D608" t="inlineStr">
        <is>
          <t>BLEKINGE LÄN</t>
        </is>
      </c>
      <c r="E608" t="inlineStr">
        <is>
          <t>OLOFSTRÖM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55076-2025</t>
        </is>
      </c>
      <c r="B609" s="1" t="n">
        <v>45967</v>
      </c>
      <c r="C609" s="1" t="n">
        <v>46196</v>
      </c>
      <c r="D609" t="inlineStr">
        <is>
          <t>BLEKINGE LÄN</t>
        </is>
      </c>
      <c r="E609" t="inlineStr">
        <is>
          <t>KARLSHAMN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55075-2025</t>
        </is>
      </c>
      <c r="B610" s="1" t="n">
        <v>45967</v>
      </c>
      <c r="C610" s="1" t="n">
        <v>46196</v>
      </c>
      <c r="D610" t="inlineStr">
        <is>
          <t>BLEKINGE LÄN</t>
        </is>
      </c>
      <c r="E610" t="inlineStr">
        <is>
          <t>KARLSHAMN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2156-2025</t>
        </is>
      </c>
      <c r="B611" s="1" t="n">
        <v>45672</v>
      </c>
      <c r="C611" s="1" t="n">
        <v>46196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5543-2025</t>
        </is>
      </c>
      <c r="B612" s="1" t="n">
        <v>45693</v>
      </c>
      <c r="C612" s="1" t="n">
        <v>46196</v>
      </c>
      <c r="D612" t="inlineStr">
        <is>
          <t>BLEKINGE LÄN</t>
        </is>
      </c>
      <c r="E612" t="inlineStr">
        <is>
          <t>KARLSKRONA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46096-2024</t>
        </is>
      </c>
      <c r="B613" s="1" t="n">
        <v>45581</v>
      </c>
      <c r="C613" s="1" t="n">
        <v>46196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7835-2023</t>
        </is>
      </c>
      <c r="B614" s="1" t="n">
        <v>44973</v>
      </c>
      <c r="C614" s="1" t="n">
        <v>46196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31389-2023</t>
        </is>
      </c>
      <c r="B615" s="1" t="n">
        <v>45104</v>
      </c>
      <c r="C615" s="1" t="n">
        <v>46196</v>
      </c>
      <c r="D615" t="inlineStr">
        <is>
          <t>BLEKINGE LÄN</t>
        </is>
      </c>
      <c r="E615" t="inlineStr">
        <is>
          <t>KARLSHAMN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24013-2023</t>
        </is>
      </c>
      <c r="B616" s="1" t="n">
        <v>45078</v>
      </c>
      <c r="C616" s="1" t="n">
        <v>46196</v>
      </c>
      <c r="D616" t="inlineStr">
        <is>
          <t>BLEKINGE LÄN</t>
        </is>
      </c>
      <c r="E616" t="inlineStr">
        <is>
          <t>RONNEBY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19678-2025</t>
        </is>
      </c>
      <c r="B617" s="1" t="n">
        <v>45770</v>
      </c>
      <c r="C617" s="1" t="n">
        <v>46196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50254-2024</t>
        </is>
      </c>
      <c r="B618" s="1" t="n">
        <v>45600</v>
      </c>
      <c r="C618" s="1" t="n">
        <v>46196</v>
      </c>
      <c r="D618" t="inlineStr">
        <is>
          <t>BLEKINGE LÄN</t>
        </is>
      </c>
      <c r="E618" t="inlineStr">
        <is>
          <t>KARLSHAMN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12796-2025</t>
        </is>
      </c>
      <c r="B619" s="1" t="n">
        <v>45733</v>
      </c>
      <c r="C619" s="1" t="n">
        <v>46196</v>
      </c>
      <c r="D619" t="inlineStr">
        <is>
          <t>BLEKINGE LÄN</t>
        </is>
      </c>
      <c r="E619" t="inlineStr">
        <is>
          <t>OLOFSTRÖM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49939-2024</t>
        </is>
      </c>
      <c r="B620" s="1" t="n">
        <v>45597</v>
      </c>
      <c r="C620" s="1" t="n">
        <v>46196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45433-2023</t>
        </is>
      </c>
      <c r="B621" s="1" t="n">
        <v>45194</v>
      </c>
      <c r="C621" s="1" t="n">
        <v>46196</v>
      </c>
      <c r="D621" t="inlineStr">
        <is>
          <t>BLEKINGE LÄN</t>
        </is>
      </c>
      <c r="E621" t="inlineStr">
        <is>
          <t>RONNEBY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46196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57880-2023</t>
        </is>
      </c>
      <c r="B623" s="1" t="n">
        <v>45247</v>
      </c>
      <c r="C623" s="1" t="n">
        <v>46196</v>
      </c>
      <c r="D623" t="inlineStr">
        <is>
          <t>BLEKINGE LÄN</t>
        </is>
      </c>
      <c r="E623" t="inlineStr">
        <is>
          <t>RONNEBY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62919-2023</t>
        </is>
      </c>
      <c r="B624" s="1" t="n">
        <v>45271</v>
      </c>
      <c r="C624" s="1" t="n">
        <v>46196</v>
      </c>
      <c r="D624" t="inlineStr">
        <is>
          <t>BLEKINGE LÄN</t>
        </is>
      </c>
      <c r="E624" t="inlineStr">
        <is>
          <t>OLOFSTRÖM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40518-2025</t>
        </is>
      </c>
      <c r="B625" s="1" t="n">
        <v>45896</v>
      </c>
      <c r="C625" s="1" t="n">
        <v>46196</v>
      </c>
      <c r="D625" t="inlineStr">
        <is>
          <t>BLEKINGE LÄN</t>
        </is>
      </c>
      <c r="E625" t="inlineStr">
        <is>
          <t>OLOFSTRÖM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25741-2025</t>
        </is>
      </c>
      <c r="B626" s="1" t="n">
        <v>45803</v>
      </c>
      <c r="C626" s="1" t="n">
        <v>46196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40523-2025</t>
        </is>
      </c>
      <c r="B627" s="1" t="n">
        <v>45896</v>
      </c>
      <c r="C627" s="1" t="n">
        <v>46196</v>
      </c>
      <c r="D627" t="inlineStr">
        <is>
          <t>BLEKINGE LÄN</t>
        </is>
      </c>
      <c r="E627" t="inlineStr">
        <is>
          <t>OLOFSTRÖM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74237-2021</t>
        </is>
      </c>
      <c r="B628" s="1" t="n">
        <v>44553</v>
      </c>
      <c r="C628" s="1" t="n">
        <v>46196</v>
      </c>
      <c r="D628" t="inlineStr">
        <is>
          <t>BLEKINGE LÄN</t>
        </is>
      </c>
      <c r="E628" t="inlineStr">
        <is>
          <t>KARLSKRONA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55834-2025</t>
        </is>
      </c>
      <c r="B629" s="1" t="n">
        <v>45972</v>
      </c>
      <c r="C629" s="1" t="n">
        <v>46196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9685-2022</t>
        </is>
      </c>
      <c r="B630" s="1" t="n">
        <v>44617</v>
      </c>
      <c r="C630" s="1" t="n">
        <v>46196</v>
      </c>
      <c r="D630" t="inlineStr">
        <is>
          <t>BLEKINGE LÄN</t>
        </is>
      </c>
      <c r="E630" t="inlineStr">
        <is>
          <t>RONNEBY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55616-2025</t>
        </is>
      </c>
      <c r="B631" s="1" t="n">
        <v>45971</v>
      </c>
      <c r="C631" s="1" t="n">
        <v>46196</v>
      </c>
      <c r="D631" t="inlineStr">
        <is>
          <t>BLEKINGE LÄN</t>
        </is>
      </c>
      <c r="E631" t="inlineStr">
        <is>
          <t>KARLSKRONA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45644-2024</t>
        </is>
      </c>
      <c r="B632" s="1" t="n">
        <v>45579</v>
      </c>
      <c r="C632" s="1" t="n">
        <v>46196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58296-2024</t>
        </is>
      </c>
      <c r="B633" s="1" t="n">
        <v>45632</v>
      </c>
      <c r="C633" s="1" t="n">
        <v>46196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55617-2025</t>
        </is>
      </c>
      <c r="B634" s="1" t="n">
        <v>45971</v>
      </c>
      <c r="C634" s="1" t="n">
        <v>46196</v>
      </c>
      <c r="D634" t="inlineStr">
        <is>
          <t>BLEKINGE LÄN</t>
        </is>
      </c>
      <c r="E634" t="inlineStr">
        <is>
          <t>KARLSKRONA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40680-2025</t>
        </is>
      </c>
      <c r="B635" s="1" t="n">
        <v>45896</v>
      </c>
      <c r="C635" s="1" t="n">
        <v>46196</v>
      </c>
      <c r="D635" t="inlineStr">
        <is>
          <t>BLEKINGE LÄN</t>
        </is>
      </c>
      <c r="E635" t="inlineStr">
        <is>
          <t>OLOFSTRÖM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40671-2025</t>
        </is>
      </c>
      <c r="B636" s="1" t="n">
        <v>45896</v>
      </c>
      <c r="C636" s="1" t="n">
        <v>46196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39108-2024</t>
        </is>
      </c>
      <c r="B637" s="1" t="n">
        <v>45548</v>
      </c>
      <c r="C637" s="1" t="n">
        <v>46196</v>
      </c>
      <c r="D637" t="inlineStr">
        <is>
          <t>BLEKINGE LÄN</t>
        </is>
      </c>
      <c r="E637" t="inlineStr">
        <is>
          <t>OLOFSTRÖM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19268-2022</t>
        </is>
      </c>
      <c r="B638" s="1" t="n">
        <v>44692</v>
      </c>
      <c r="C638" s="1" t="n">
        <v>46196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45503-2024</t>
        </is>
      </c>
      <c r="B639" s="1" t="n">
        <v>45578</v>
      </c>
      <c r="C639" s="1" t="n">
        <v>46196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34949-2023</t>
        </is>
      </c>
      <c r="B640" s="1" t="n">
        <v>45142</v>
      </c>
      <c r="C640" s="1" t="n">
        <v>46196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41135-2025</t>
        </is>
      </c>
      <c r="B641" s="1" t="n">
        <v>45898</v>
      </c>
      <c r="C641" s="1" t="n">
        <v>46196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41052-2025</t>
        </is>
      </c>
      <c r="B642" s="1" t="n">
        <v>45898</v>
      </c>
      <c r="C642" s="1" t="n">
        <v>46196</v>
      </c>
      <c r="D642" t="inlineStr">
        <is>
          <t>BLEKINGE LÄN</t>
        </is>
      </c>
      <c r="E642" t="inlineStr">
        <is>
          <t>KARLSHAMN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32899-2024</t>
        </is>
      </c>
      <c r="B643" s="1" t="n">
        <v>45516</v>
      </c>
      <c r="C643" s="1" t="n">
        <v>46196</v>
      </c>
      <c r="D643" t="inlineStr">
        <is>
          <t>BLEKINGE LÄN</t>
        </is>
      </c>
      <c r="E643" t="inlineStr">
        <is>
          <t>OLOFSTRÖM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41565-2025</t>
        </is>
      </c>
      <c r="B644" s="1" t="n">
        <v>45901</v>
      </c>
      <c r="C644" s="1" t="n">
        <v>46196</v>
      </c>
      <c r="D644" t="inlineStr">
        <is>
          <t>BLEKINGE LÄN</t>
        </is>
      </c>
      <c r="E644" t="inlineStr">
        <is>
          <t>SÖLVESBORG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41061-2025</t>
        </is>
      </c>
      <c r="B645" s="1" t="n">
        <v>45898</v>
      </c>
      <c r="C645" s="1" t="n">
        <v>46196</v>
      </c>
      <c r="D645" t="inlineStr">
        <is>
          <t>BLEKINGE LÄN</t>
        </is>
      </c>
      <c r="E645" t="inlineStr">
        <is>
          <t>KARLSHAMN</t>
        </is>
      </c>
      <c r="F645" t="inlineStr">
        <is>
          <t>Sveaskog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41258-2025</t>
        </is>
      </c>
      <c r="B646" s="1" t="n">
        <v>45898</v>
      </c>
      <c r="C646" s="1" t="n">
        <v>46196</v>
      </c>
      <c r="D646" t="inlineStr">
        <is>
          <t>BLEKINGE LÄN</t>
        </is>
      </c>
      <c r="E646" t="inlineStr">
        <is>
          <t>OLOFSTRÖM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41313-2025</t>
        </is>
      </c>
      <c r="B647" s="1" t="n">
        <v>45898</v>
      </c>
      <c r="C647" s="1" t="n">
        <v>46196</v>
      </c>
      <c r="D647" t="inlineStr">
        <is>
          <t>BLEKINGE LÄN</t>
        </is>
      </c>
      <c r="E647" t="inlineStr">
        <is>
          <t>KARLSHAMN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46712-2023</t>
        </is>
      </c>
      <c r="B648" s="1" t="n">
        <v>45198</v>
      </c>
      <c r="C648" s="1" t="n">
        <v>46196</v>
      </c>
      <c r="D648" t="inlineStr">
        <is>
          <t>BLEKINGE LÄN</t>
        </is>
      </c>
      <c r="E648" t="inlineStr">
        <is>
          <t>KARLSKRONA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46167-2023</t>
        </is>
      </c>
      <c r="B649" s="1" t="n">
        <v>45196</v>
      </c>
      <c r="C649" s="1" t="n">
        <v>46196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25682-2025</t>
        </is>
      </c>
      <c r="B650" s="1" t="n">
        <v>45803</v>
      </c>
      <c r="C650" s="1" t="n">
        <v>46196</v>
      </c>
      <c r="D650" t="inlineStr">
        <is>
          <t>BLEKINGE LÄN</t>
        </is>
      </c>
      <c r="E650" t="inlineStr">
        <is>
          <t>OLOFSTRÖM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43606-2022</t>
        </is>
      </c>
      <c r="B651" s="1" t="n">
        <v>44837</v>
      </c>
      <c r="C651" s="1" t="n">
        <v>46196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19710-2024</t>
        </is>
      </c>
      <c r="B652" s="1" t="n">
        <v>45432</v>
      </c>
      <c r="C652" s="1" t="n">
        <v>46196</v>
      </c>
      <c r="D652" t="inlineStr">
        <is>
          <t>BLEKINGE LÄN</t>
        </is>
      </c>
      <c r="E652" t="inlineStr">
        <is>
          <t>OLOFSTRÖM</t>
        </is>
      </c>
      <c r="F652" t="inlineStr">
        <is>
          <t>Kommuner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30197-2024</t>
        </is>
      </c>
      <c r="B653" s="1" t="n">
        <v>45490</v>
      </c>
      <c r="C653" s="1" t="n">
        <v>46196</v>
      </c>
      <c r="D653" t="inlineStr">
        <is>
          <t>BLEKINGE LÄN</t>
        </is>
      </c>
      <c r="E653" t="inlineStr">
        <is>
          <t>RONNEBY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56139-2025</t>
        </is>
      </c>
      <c r="B654" s="1" t="n">
        <v>45974</v>
      </c>
      <c r="C654" s="1" t="n">
        <v>46196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14361-2023</t>
        </is>
      </c>
      <c r="B655" s="1" t="n">
        <v>45012</v>
      </c>
      <c r="C655" s="1" t="n">
        <v>46196</v>
      </c>
      <c r="D655" t="inlineStr">
        <is>
          <t>BLEKINGE LÄN</t>
        </is>
      </c>
      <c r="E655" t="inlineStr">
        <is>
          <t>RONNEBY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41016-2025</t>
        </is>
      </c>
      <c r="B656" s="1" t="n">
        <v>45898</v>
      </c>
      <c r="C656" s="1" t="n">
        <v>46196</v>
      </c>
      <c r="D656" t="inlineStr">
        <is>
          <t>BLEKINGE LÄN</t>
        </is>
      </c>
      <c r="E656" t="inlineStr">
        <is>
          <t>RONNEBY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56678-2025</t>
        </is>
      </c>
      <c r="B657" s="1" t="n">
        <v>45975</v>
      </c>
      <c r="C657" s="1" t="n">
        <v>46196</v>
      </c>
      <c r="D657" t="inlineStr">
        <is>
          <t>BLEKINGE LÄN</t>
        </is>
      </c>
      <c r="E657" t="inlineStr">
        <is>
          <t>OLOFSTRÖM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46774-2022</t>
        </is>
      </c>
      <c r="B658" s="1" t="n">
        <v>44847</v>
      </c>
      <c r="C658" s="1" t="n">
        <v>46196</v>
      </c>
      <c r="D658" t="inlineStr">
        <is>
          <t>BLEKINGE LÄN</t>
        </is>
      </c>
      <c r="E658" t="inlineStr">
        <is>
          <t>KARLSKRONA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41748-2025</t>
        </is>
      </c>
      <c r="B659" s="1" t="n">
        <v>45902</v>
      </c>
      <c r="C659" s="1" t="n">
        <v>46196</v>
      </c>
      <c r="D659" t="inlineStr">
        <is>
          <t>BLEKINGE LÄN</t>
        </is>
      </c>
      <c r="E659" t="inlineStr">
        <is>
          <t>OLOFSTRÖM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13194-2023</t>
        </is>
      </c>
      <c r="B660" s="1" t="n">
        <v>45002</v>
      </c>
      <c r="C660" s="1" t="n">
        <v>46196</v>
      </c>
      <c r="D660" t="inlineStr">
        <is>
          <t>BLEKINGE LÄN</t>
        </is>
      </c>
      <c r="E660" t="inlineStr">
        <is>
          <t>KARLSKRONA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13195-2023</t>
        </is>
      </c>
      <c r="B661" s="1" t="n">
        <v>45002</v>
      </c>
      <c r="C661" s="1" t="n">
        <v>46196</v>
      </c>
      <c r="D661" t="inlineStr">
        <is>
          <t>BLEKINGE LÄN</t>
        </is>
      </c>
      <c r="E661" t="inlineStr">
        <is>
          <t>OLOFSTRÖM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41752-2025</t>
        </is>
      </c>
      <c r="B662" s="1" t="n">
        <v>45902</v>
      </c>
      <c r="C662" s="1" t="n">
        <v>46196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36597-2025</t>
        </is>
      </c>
      <c r="B663" s="1" t="n">
        <v>45870</v>
      </c>
      <c r="C663" s="1" t="n">
        <v>46196</v>
      </c>
      <c r="D663" t="inlineStr">
        <is>
          <t>BLEKINGE LÄN</t>
        </is>
      </c>
      <c r="E663" t="inlineStr">
        <is>
          <t>KARLSHAMN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26406-2025</t>
        </is>
      </c>
      <c r="B664" s="1" t="n">
        <v>45807</v>
      </c>
      <c r="C664" s="1" t="n">
        <v>46196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56681-2025</t>
        </is>
      </c>
      <c r="B665" s="1" t="n">
        <v>45975</v>
      </c>
      <c r="C665" s="1" t="n">
        <v>46196</v>
      </c>
      <c r="D665" t="inlineStr">
        <is>
          <t>BLEKINGE LÄN</t>
        </is>
      </c>
      <c r="E665" t="inlineStr">
        <is>
          <t>RONNEBY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20408-2025</t>
        </is>
      </c>
      <c r="B666" s="1" t="n">
        <v>45775</v>
      </c>
      <c r="C666" s="1" t="n">
        <v>46196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56756-2025</t>
        </is>
      </c>
      <c r="B667" s="1" t="n">
        <v>45978</v>
      </c>
      <c r="C667" s="1" t="n">
        <v>46196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16284-2023</t>
        </is>
      </c>
      <c r="B668" s="1" t="n">
        <v>45028</v>
      </c>
      <c r="C668" s="1" t="n">
        <v>46196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56976-2025</t>
        </is>
      </c>
      <c r="B669" s="1" t="n">
        <v>45978</v>
      </c>
      <c r="C669" s="1" t="n">
        <v>46196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42091-2025</t>
        </is>
      </c>
      <c r="B670" s="1" t="n">
        <v>45903</v>
      </c>
      <c r="C670" s="1" t="n">
        <v>46196</v>
      </c>
      <c r="D670" t="inlineStr">
        <is>
          <t>BLEKINGE LÄN</t>
        </is>
      </c>
      <c r="E670" t="inlineStr">
        <is>
          <t>OLOFSTRÖM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14511-2023</t>
        </is>
      </c>
      <c r="B671" s="1" t="n">
        <v>45012</v>
      </c>
      <c r="C671" s="1" t="n">
        <v>46196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25861-2025</t>
        </is>
      </c>
      <c r="B672" s="1" t="n">
        <v>45803</v>
      </c>
      <c r="C672" s="1" t="n">
        <v>46196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14362-2024</t>
        </is>
      </c>
      <c r="B673" s="1" t="n">
        <v>45393</v>
      </c>
      <c r="C673" s="1" t="n">
        <v>46196</v>
      </c>
      <c r="D673" t="inlineStr">
        <is>
          <t>BLEKINGE LÄN</t>
        </is>
      </c>
      <c r="E673" t="inlineStr">
        <is>
          <t>KARLSKRONA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42619-2025</t>
        </is>
      </c>
      <c r="B674" s="1" t="n">
        <v>45905</v>
      </c>
      <c r="C674" s="1" t="n">
        <v>46196</v>
      </c>
      <c r="D674" t="inlineStr">
        <is>
          <t>BLEKINGE LÄN</t>
        </is>
      </c>
      <c r="E674" t="inlineStr">
        <is>
          <t>KARLSHAMN</t>
        </is>
      </c>
      <c r="G674" t="n">
        <v>20.9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33598-2025</t>
        </is>
      </c>
      <c r="B675" s="1" t="n">
        <v>45841</v>
      </c>
      <c r="C675" s="1" t="n">
        <v>46196</v>
      </c>
      <c r="D675" t="inlineStr">
        <is>
          <t>BLEKINGE LÄN</t>
        </is>
      </c>
      <c r="E675" t="inlineStr">
        <is>
          <t>RONNEBY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56977-2025</t>
        </is>
      </c>
      <c r="B676" s="1" t="n">
        <v>45978</v>
      </c>
      <c r="C676" s="1" t="n">
        <v>46196</v>
      </c>
      <c r="D676" t="inlineStr">
        <is>
          <t>BLEKINGE LÄN</t>
        </is>
      </c>
      <c r="E676" t="inlineStr">
        <is>
          <t>RONNEBY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34318-2025</t>
        </is>
      </c>
      <c r="B677" s="1" t="n">
        <v>45846</v>
      </c>
      <c r="C677" s="1" t="n">
        <v>46196</v>
      </c>
      <c r="D677" t="inlineStr">
        <is>
          <t>BLEKINGE LÄN</t>
        </is>
      </c>
      <c r="E677" t="inlineStr">
        <is>
          <t>KARLSKRONA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16094-2025</t>
        </is>
      </c>
      <c r="B678" s="1" t="n">
        <v>45749</v>
      </c>
      <c r="C678" s="1" t="n">
        <v>46196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14803-2025</t>
        </is>
      </c>
      <c r="B679" s="1" t="n">
        <v>45743</v>
      </c>
      <c r="C679" s="1" t="n">
        <v>46196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42775-2025</t>
        </is>
      </c>
      <c r="B680" s="1" t="n">
        <v>45908</v>
      </c>
      <c r="C680" s="1" t="n">
        <v>46196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42770-2025</t>
        </is>
      </c>
      <c r="B681" s="1" t="n">
        <v>45908</v>
      </c>
      <c r="C681" s="1" t="n">
        <v>46196</v>
      </c>
      <c r="D681" t="inlineStr">
        <is>
          <t>BLEKINGE LÄN</t>
        </is>
      </c>
      <c r="E681" t="inlineStr">
        <is>
          <t>KARLSHAMN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42777-2025</t>
        </is>
      </c>
      <c r="B682" s="1" t="n">
        <v>45908</v>
      </c>
      <c r="C682" s="1" t="n">
        <v>46196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6660-2024</t>
        </is>
      </c>
      <c r="B683" s="1" t="n">
        <v>45341</v>
      </c>
      <c r="C683" s="1" t="n">
        <v>46196</v>
      </c>
      <c r="D683" t="inlineStr">
        <is>
          <t>BLEKINGE LÄN</t>
        </is>
      </c>
      <c r="E683" t="inlineStr">
        <is>
          <t>RONNEBY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50352-2024</t>
        </is>
      </c>
      <c r="B684" s="1" t="n">
        <v>45600</v>
      </c>
      <c r="C684" s="1" t="n">
        <v>46196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33989-2025</t>
        </is>
      </c>
      <c r="B685" s="1" t="n">
        <v>45843</v>
      </c>
      <c r="C685" s="1" t="n">
        <v>46196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26405-2025</t>
        </is>
      </c>
      <c r="B686" s="1" t="n">
        <v>45807</v>
      </c>
      <c r="C686" s="1" t="n">
        <v>46196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26603-2025</t>
        </is>
      </c>
      <c r="B687" s="1" t="n">
        <v>45809</v>
      </c>
      <c r="C687" s="1" t="n">
        <v>46196</v>
      </c>
      <c r="D687" t="inlineStr">
        <is>
          <t>BLEKINGE LÄN</t>
        </is>
      </c>
      <c r="E687" t="inlineStr">
        <is>
          <t>KARLSKRONA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42300-2023</t>
        </is>
      </c>
      <c r="B688" s="1" t="n">
        <v>45180</v>
      </c>
      <c r="C688" s="1" t="n">
        <v>46196</v>
      </c>
      <c r="D688" t="inlineStr">
        <is>
          <t>BLEKINGE LÄN</t>
        </is>
      </c>
      <c r="E688" t="inlineStr">
        <is>
          <t>OLOFSTRÖM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10496-2023</t>
        </is>
      </c>
      <c r="B689" s="1" t="n">
        <v>44987</v>
      </c>
      <c r="C689" s="1" t="n">
        <v>46196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28458-2022</t>
        </is>
      </c>
      <c r="B690" s="1" t="n">
        <v>44747</v>
      </c>
      <c r="C690" s="1" t="n">
        <v>46196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57710-2025</t>
        </is>
      </c>
      <c r="B691" s="1" t="n">
        <v>45981</v>
      </c>
      <c r="C691" s="1" t="n">
        <v>46196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72273-2021</t>
        </is>
      </c>
      <c r="B692" s="1" t="n">
        <v>44545</v>
      </c>
      <c r="C692" s="1" t="n">
        <v>46196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57506-2025</t>
        </is>
      </c>
      <c r="B693" s="1" t="n">
        <v>45980</v>
      </c>
      <c r="C693" s="1" t="n">
        <v>46196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4665-2024</t>
        </is>
      </c>
      <c r="B694" s="1" t="n">
        <v>45328</v>
      </c>
      <c r="C694" s="1" t="n">
        <v>46196</v>
      </c>
      <c r="D694" t="inlineStr">
        <is>
          <t>BLEKINGE LÄN</t>
        </is>
      </c>
      <c r="E694" t="inlineStr">
        <is>
          <t>RONNEBY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5746-2023</t>
        </is>
      </c>
      <c r="B695" s="1" t="n">
        <v>44962</v>
      </c>
      <c r="C695" s="1" t="n">
        <v>46196</v>
      </c>
      <c r="D695" t="inlineStr">
        <is>
          <t>BLEKINGE LÄN</t>
        </is>
      </c>
      <c r="E695" t="inlineStr">
        <is>
          <t>KARLSHAMN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46279-2022</t>
        </is>
      </c>
      <c r="B696" s="1" t="n">
        <v>44847</v>
      </c>
      <c r="C696" s="1" t="n">
        <v>46196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57842-2025</t>
        </is>
      </c>
      <c r="B697" s="1" t="n">
        <v>45981</v>
      </c>
      <c r="C697" s="1" t="n">
        <v>46196</v>
      </c>
      <c r="D697" t="inlineStr">
        <is>
          <t>BLEKINGE LÄN</t>
        </is>
      </c>
      <c r="E697" t="inlineStr">
        <is>
          <t>KARLSHAMN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22243-2025</t>
        </is>
      </c>
      <c r="B698" s="1" t="n">
        <v>45785</v>
      </c>
      <c r="C698" s="1" t="n">
        <v>46196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57738-2025</t>
        </is>
      </c>
      <c r="B699" s="1" t="n">
        <v>45981</v>
      </c>
      <c r="C699" s="1" t="n">
        <v>46196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43212-2025</t>
        </is>
      </c>
      <c r="B700" s="1" t="n">
        <v>45910</v>
      </c>
      <c r="C700" s="1" t="n">
        <v>46196</v>
      </c>
      <c r="D700" t="inlineStr">
        <is>
          <t>BLEKINGE LÄN</t>
        </is>
      </c>
      <c r="E700" t="inlineStr">
        <is>
          <t>OLOFSTRÖM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57826-2025</t>
        </is>
      </c>
      <c r="B701" s="1" t="n">
        <v>45981</v>
      </c>
      <c r="C701" s="1" t="n">
        <v>46196</v>
      </c>
      <c r="D701" t="inlineStr">
        <is>
          <t>BLEKINGE LÄN</t>
        </is>
      </c>
      <c r="E701" t="inlineStr">
        <is>
          <t>KARLSHAMN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47775-2024</t>
        </is>
      </c>
      <c r="B702" s="1" t="n">
        <v>45588</v>
      </c>
      <c r="C702" s="1" t="n">
        <v>46196</v>
      </c>
      <c r="D702" t="inlineStr">
        <is>
          <t>BLEKINGE LÄN</t>
        </is>
      </c>
      <c r="E702" t="inlineStr">
        <is>
          <t>RONNEBY</t>
        </is>
      </c>
      <c r="F702" t="inlineStr">
        <is>
          <t>Kommuner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2807-2023</t>
        </is>
      </c>
      <c r="B703" s="1" t="n">
        <v>44944</v>
      </c>
      <c r="C703" s="1" t="n">
        <v>46196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26095-2025</t>
        </is>
      </c>
      <c r="B704" s="1" t="n">
        <v>45805</v>
      </c>
      <c r="C704" s="1" t="n">
        <v>46196</v>
      </c>
      <c r="D704" t="inlineStr">
        <is>
          <t>BLEKINGE LÄN</t>
        </is>
      </c>
      <c r="E704" t="inlineStr">
        <is>
          <t>KARLSHAMN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43143-2025</t>
        </is>
      </c>
      <c r="B705" s="1" t="n">
        <v>45910</v>
      </c>
      <c r="C705" s="1" t="n">
        <v>46196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42371-2023</t>
        </is>
      </c>
      <c r="B706" s="1" t="n">
        <v>45180</v>
      </c>
      <c r="C706" s="1" t="n">
        <v>46196</v>
      </c>
      <c r="D706" t="inlineStr">
        <is>
          <t>BLEKINGE LÄN</t>
        </is>
      </c>
      <c r="E706" t="inlineStr">
        <is>
          <t>KARLSHAMN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43360-2025</t>
        </is>
      </c>
      <c r="B707" s="1" t="n">
        <v>45911</v>
      </c>
      <c r="C707" s="1" t="n">
        <v>46196</v>
      </c>
      <c r="D707" t="inlineStr">
        <is>
          <t>BLEKINGE LÄN</t>
        </is>
      </c>
      <c r="E707" t="inlineStr">
        <is>
          <t>KARLSHAMN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43291-2025</t>
        </is>
      </c>
      <c r="B708" s="1" t="n">
        <v>45910</v>
      </c>
      <c r="C708" s="1" t="n">
        <v>46196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55113-2024</t>
        </is>
      </c>
      <c r="B709" s="1" t="n">
        <v>45621</v>
      </c>
      <c r="C709" s="1" t="n">
        <v>46196</v>
      </c>
      <c r="D709" t="inlineStr">
        <is>
          <t>BLEKINGE LÄN</t>
        </is>
      </c>
      <c r="E709" t="inlineStr">
        <is>
          <t>RONNEBY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6980-2023</t>
        </is>
      </c>
      <c r="B710" s="1" t="n">
        <v>44967</v>
      </c>
      <c r="C710" s="1" t="n">
        <v>46196</v>
      </c>
      <c r="D710" t="inlineStr">
        <is>
          <t>BLEKINGE LÄN</t>
        </is>
      </c>
      <c r="E710" t="inlineStr">
        <is>
          <t>KARLSKRONA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2885-2022</t>
        </is>
      </c>
      <c r="B711" s="1" t="n">
        <v>44581</v>
      </c>
      <c r="C711" s="1" t="n">
        <v>46196</v>
      </c>
      <c r="D711" t="inlineStr">
        <is>
          <t>BLEKINGE LÄN</t>
        </is>
      </c>
      <c r="E711" t="inlineStr">
        <is>
          <t>OLOFSTRÖM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23098-2023</t>
        </is>
      </c>
      <c r="B712" s="1" t="n">
        <v>45075</v>
      </c>
      <c r="C712" s="1" t="n">
        <v>46196</v>
      </c>
      <c r="D712" t="inlineStr">
        <is>
          <t>BLEKINGE LÄN</t>
        </is>
      </c>
      <c r="E712" t="inlineStr">
        <is>
          <t>KARLSKRONA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61861-2023</t>
        </is>
      </c>
      <c r="B713" s="1" t="n">
        <v>45266</v>
      </c>
      <c r="C713" s="1" t="n">
        <v>46196</v>
      </c>
      <c r="D713" t="inlineStr">
        <is>
          <t>BLEKINGE LÄN</t>
        </is>
      </c>
      <c r="E713" t="inlineStr">
        <is>
          <t>KARLSKRONA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2382-2024</t>
        </is>
      </c>
      <c r="B714" s="1" t="n">
        <v>45310</v>
      </c>
      <c r="C714" s="1" t="n">
        <v>46196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15460-2023</t>
        </is>
      </c>
      <c r="B715" s="1" t="n">
        <v>45020</v>
      </c>
      <c r="C715" s="1" t="n">
        <v>46196</v>
      </c>
      <c r="D715" t="inlineStr">
        <is>
          <t>BLEKINGE LÄN</t>
        </is>
      </c>
      <c r="E715" t="inlineStr">
        <is>
          <t>KARLSKRONA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10403-2022</t>
        </is>
      </c>
      <c r="B716" s="1" t="n">
        <v>44623</v>
      </c>
      <c r="C716" s="1" t="n">
        <v>46196</v>
      </c>
      <c r="D716" t="inlineStr">
        <is>
          <t>BLEKINGE LÄN</t>
        </is>
      </c>
      <c r="E716" t="inlineStr">
        <is>
          <t>SÖLVESBORG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57675-2023</t>
        </is>
      </c>
      <c r="B717" s="1" t="n">
        <v>45246</v>
      </c>
      <c r="C717" s="1" t="n">
        <v>46196</v>
      </c>
      <c r="D717" t="inlineStr">
        <is>
          <t>BLEKINGE LÄN</t>
        </is>
      </c>
      <c r="E717" t="inlineStr">
        <is>
          <t>OLOFSTRÖM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57678-2023</t>
        </is>
      </c>
      <c r="B718" s="1" t="n">
        <v>45246</v>
      </c>
      <c r="C718" s="1" t="n">
        <v>46196</v>
      </c>
      <c r="D718" t="inlineStr">
        <is>
          <t>BLEKINGE LÄN</t>
        </is>
      </c>
      <c r="E718" t="inlineStr">
        <is>
          <t>KARLSHAMN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57687-2023</t>
        </is>
      </c>
      <c r="B719" s="1" t="n">
        <v>45246</v>
      </c>
      <c r="C719" s="1" t="n">
        <v>46196</v>
      </c>
      <c r="D719" t="inlineStr">
        <is>
          <t>BLEKINGE LÄN</t>
        </is>
      </c>
      <c r="E719" t="inlineStr">
        <is>
          <t>KARLSHAMN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4793-2022</t>
        </is>
      </c>
      <c r="B720" s="1" t="n">
        <v>44592</v>
      </c>
      <c r="C720" s="1" t="n">
        <v>46196</v>
      </c>
      <c r="D720" t="inlineStr">
        <is>
          <t>BLEKINGE LÄN</t>
        </is>
      </c>
      <c r="E720" t="inlineStr">
        <is>
          <t>KARLSKRONA</t>
        </is>
      </c>
      <c r="F720" t="inlineStr">
        <is>
          <t>Kommuner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44229-2025</t>
        </is>
      </c>
      <c r="B721" s="1" t="n">
        <v>45915</v>
      </c>
      <c r="C721" s="1" t="n">
        <v>46196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44232-2025</t>
        </is>
      </c>
      <c r="B722" s="1" t="n">
        <v>45915</v>
      </c>
      <c r="C722" s="1" t="n">
        <v>46196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44180-2025</t>
        </is>
      </c>
      <c r="B723" s="1" t="n">
        <v>45915</v>
      </c>
      <c r="C723" s="1" t="n">
        <v>46196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44231-2025</t>
        </is>
      </c>
      <c r="B724" s="1" t="n">
        <v>45915</v>
      </c>
      <c r="C724" s="1" t="n">
        <v>46196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54513-2021</t>
        </is>
      </c>
      <c r="B725" s="1" t="n">
        <v>44473</v>
      </c>
      <c r="C725" s="1" t="n">
        <v>46196</v>
      </c>
      <c r="D725" t="inlineStr">
        <is>
          <t>BLEKINGE LÄN</t>
        </is>
      </c>
      <c r="E725" t="inlineStr">
        <is>
          <t>OLOFSTRÖM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55351-2023</t>
        </is>
      </c>
      <c r="B726" s="1" t="n">
        <v>45238</v>
      </c>
      <c r="C726" s="1" t="n">
        <v>46196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32436-2025</t>
        </is>
      </c>
      <c r="B727" s="1" t="n">
        <v>45838</v>
      </c>
      <c r="C727" s="1" t="n">
        <v>46196</v>
      </c>
      <c r="D727" t="inlineStr">
        <is>
          <t>BLEKINGE LÄN</t>
        </is>
      </c>
      <c r="E727" t="inlineStr">
        <is>
          <t>SÖLVESBORG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3012-2024</t>
        </is>
      </c>
      <c r="B728" s="1" t="n">
        <v>45315</v>
      </c>
      <c r="C728" s="1" t="n">
        <v>46196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44225-2025</t>
        </is>
      </c>
      <c r="B729" s="1" t="n">
        <v>45915</v>
      </c>
      <c r="C729" s="1" t="n">
        <v>46196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44213-2025</t>
        </is>
      </c>
      <c r="B730" s="1" t="n">
        <v>45915</v>
      </c>
      <c r="C730" s="1" t="n">
        <v>46196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69510-2021</t>
        </is>
      </c>
      <c r="B731" s="1" t="n">
        <v>44531</v>
      </c>
      <c r="C731" s="1" t="n">
        <v>46196</v>
      </c>
      <c r="D731" t="inlineStr">
        <is>
          <t>BLEKINGE LÄN</t>
        </is>
      </c>
      <c r="E731" t="inlineStr">
        <is>
          <t>OLOFSTRÖM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44218-2025</t>
        </is>
      </c>
      <c r="B732" s="1" t="n">
        <v>45915</v>
      </c>
      <c r="C732" s="1" t="n">
        <v>46196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38619-2023</t>
        </is>
      </c>
      <c r="B733" s="1" t="n">
        <v>45162</v>
      </c>
      <c r="C733" s="1" t="n">
        <v>46196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44577-2025</t>
        </is>
      </c>
      <c r="B734" s="1" t="n">
        <v>45917</v>
      </c>
      <c r="C734" s="1" t="n">
        <v>46196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53326-2022</t>
        </is>
      </c>
      <c r="B735" s="1" t="n">
        <v>44879</v>
      </c>
      <c r="C735" s="1" t="n">
        <v>46196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50201-2024</t>
        </is>
      </c>
      <c r="B736" s="1" t="n">
        <v>45600</v>
      </c>
      <c r="C736" s="1" t="n">
        <v>46196</v>
      </c>
      <c r="D736" t="inlineStr">
        <is>
          <t>BLEKINGE LÄN</t>
        </is>
      </c>
      <c r="E736" t="inlineStr">
        <is>
          <t>RONNEBY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44493-2025</t>
        </is>
      </c>
      <c r="B737" s="1" t="n">
        <v>45916</v>
      </c>
      <c r="C737" s="1" t="n">
        <v>46196</v>
      </c>
      <c r="D737" t="inlineStr">
        <is>
          <t>BLEKINGE LÄN</t>
        </is>
      </c>
      <c r="E737" t="inlineStr">
        <is>
          <t>SÖLVESBORG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26645-2025</t>
        </is>
      </c>
      <c r="B738" s="1" t="n">
        <v>45810</v>
      </c>
      <c r="C738" s="1" t="n">
        <v>46196</v>
      </c>
      <c r="D738" t="inlineStr">
        <is>
          <t>BLEKINGE LÄN</t>
        </is>
      </c>
      <c r="E738" t="inlineStr">
        <is>
          <t>KARLSHAMN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44312-2025</t>
        </is>
      </c>
      <c r="B739" s="1" t="n">
        <v>45916</v>
      </c>
      <c r="C739" s="1" t="n">
        <v>46196</v>
      </c>
      <c r="D739" t="inlineStr">
        <is>
          <t>BLEKINGE LÄN</t>
        </is>
      </c>
      <c r="E739" t="inlineStr">
        <is>
          <t>KARLSHAMN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44495-2025</t>
        </is>
      </c>
      <c r="B740" s="1" t="n">
        <v>45916</v>
      </c>
      <c r="C740" s="1" t="n">
        <v>46196</v>
      </c>
      <c r="D740" t="inlineStr">
        <is>
          <t>BLEKINGE LÄN</t>
        </is>
      </c>
      <c r="E740" t="inlineStr">
        <is>
          <t>SÖLVESBORG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10767-2022</t>
        </is>
      </c>
      <c r="B741" s="1" t="n">
        <v>44627</v>
      </c>
      <c r="C741" s="1" t="n">
        <v>46196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26602-2025</t>
        </is>
      </c>
      <c r="B742" s="1" t="n">
        <v>45809</v>
      </c>
      <c r="C742" s="1" t="n">
        <v>46196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58648-2025</t>
        </is>
      </c>
      <c r="B743" s="1" t="n">
        <v>45986</v>
      </c>
      <c r="C743" s="1" t="n">
        <v>46196</v>
      </c>
      <c r="D743" t="inlineStr">
        <is>
          <t>BLEKINGE LÄN</t>
        </is>
      </c>
      <c r="E743" t="inlineStr">
        <is>
          <t>RONNEBY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58652-2025</t>
        </is>
      </c>
      <c r="B744" s="1" t="n">
        <v>45986</v>
      </c>
      <c r="C744" s="1" t="n">
        <v>46196</v>
      </c>
      <c r="D744" t="inlineStr">
        <is>
          <t>BLEKINGE LÄN</t>
        </is>
      </c>
      <c r="E744" t="inlineStr">
        <is>
          <t>RONNEBY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58753-2025</t>
        </is>
      </c>
      <c r="B745" s="1" t="n">
        <v>45986</v>
      </c>
      <c r="C745" s="1" t="n">
        <v>46196</v>
      </c>
      <c r="D745" t="inlineStr">
        <is>
          <t>BLEKINGE LÄN</t>
        </is>
      </c>
      <c r="E745" t="inlineStr">
        <is>
          <t>KARLSHAMN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39472-2024</t>
        </is>
      </c>
      <c r="B746" s="1" t="n">
        <v>45551</v>
      </c>
      <c r="C746" s="1" t="n">
        <v>46196</v>
      </c>
      <c r="D746" t="inlineStr">
        <is>
          <t>BLEKINGE LÄN</t>
        </is>
      </c>
      <c r="E746" t="inlineStr">
        <is>
          <t>RONNEBY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19660-2025</t>
        </is>
      </c>
      <c r="B747" s="1" t="n">
        <v>45770</v>
      </c>
      <c r="C747" s="1" t="n">
        <v>46196</v>
      </c>
      <c r="D747" t="inlineStr">
        <is>
          <t>BLEKINGE LÄN</t>
        </is>
      </c>
      <c r="E747" t="inlineStr">
        <is>
          <t>KARLSHAMN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44536-2025</t>
        </is>
      </c>
      <c r="B748" s="1" t="n">
        <v>45916</v>
      </c>
      <c r="C748" s="1" t="n">
        <v>46196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44827-2025</t>
        </is>
      </c>
      <c r="B749" s="1" t="n">
        <v>45918</v>
      </c>
      <c r="C749" s="1" t="n">
        <v>46196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45068-2025</t>
        </is>
      </c>
      <c r="B750" s="1" t="n">
        <v>45919</v>
      </c>
      <c r="C750" s="1" t="n">
        <v>46196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44989-2025</t>
        </is>
      </c>
      <c r="B751" s="1" t="n">
        <v>45918</v>
      </c>
      <c r="C751" s="1" t="n">
        <v>46196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44967-2025</t>
        </is>
      </c>
      <c r="B752" s="1" t="n">
        <v>45918</v>
      </c>
      <c r="C752" s="1" t="n">
        <v>46196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45278-2025</t>
        </is>
      </c>
      <c r="B753" s="1" t="n">
        <v>45919</v>
      </c>
      <c r="C753" s="1" t="n">
        <v>46196</v>
      </c>
      <c r="D753" t="inlineStr">
        <is>
          <t>BLEKINGE LÄN</t>
        </is>
      </c>
      <c r="E753" t="inlineStr">
        <is>
          <t>KARLSHAMN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59248-2025</t>
        </is>
      </c>
      <c r="B754" s="1" t="n">
        <v>45988</v>
      </c>
      <c r="C754" s="1" t="n">
        <v>46196</v>
      </c>
      <c r="D754" t="inlineStr">
        <is>
          <t>BLEKINGE LÄN</t>
        </is>
      </c>
      <c r="E754" t="inlineStr">
        <is>
          <t>OLOFSTRÖM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59249-2025</t>
        </is>
      </c>
      <c r="B755" s="1" t="n">
        <v>45988</v>
      </c>
      <c r="C755" s="1" t="n">
        <v>46196</v>
      </c>
      <c r="D755" t="inlineStr">
        <is>
          <t>BLEKINGE LÄN</t>
        </is>
      </c>
      <c r="E755" t="inlineStr">
        <is>
          <t>OLOFSTRÖM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39775-2024</t>
        </is>
      </c>
      <c r="B756" s="1" t="n">
        <v>45552</v>
      </c>
      <c r="C756" s="1" t="n">
        <v>46196</v>
      </c>
      <c r="D756" t="inlineStr">
        <is>
          <t>BLEKINGE LÄN</t>
        </is>
      </c>
      <c r="E756" t="inlineStr">
        <is>
          <t>OLOFSTRÖM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44953-2025</t>
        </is>
      </c>
      <c r="B757" s="1" t="n">
        <v>45918</v>
      </c>
      <c r="C757" s="1" t="n">
        <v>46196</v>
      </c>
      <c r="D757" t="inlineStr">
        <is>
          <t>BLEKINGE LÄN</t>
        </is>
      </c>
      <c r="E757" t="inlineStr">
        <is>
          <t>KARLSHAMN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61123-2024</t>
        </is>
      </c>
      <c r="B758" s="1" t="n">
        <v>45645</v>
      </c>
      <c r="C758" s="1" t="n">
        <v>46196</v>
      </c>
      <c r="D758" t="inlineStr">
        <is>
          <t>BLEKINGE LÄN</t>
        </is>
      </c>
      <c r="E758" t="inlineStr">
        <is>
          <t>OLOFSTRÖM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59276-2025</t>
        </is>
      </c>
      <c r="B759" s="1" t="n">
        <v>45988</v>
      </c>
      <c r="C759" s="1" t="n">
        <v>46196</v>
      </c>
      <c r="D759" t="inlineStr">
        <is>
          <t>BLEKINGE LÄN</t>
        </is>
      </c>
      <c r="E759" t="inlineStr">
        <is>
          <t>KARLSHAMN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16288-2023</t>
        </is>
      </c>
      <c r="B760" s="1" t="n">
        <v>45028</v>
      </c>
      <c r="C760" s="1" t="n">
        <v>46196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20093-2025</t>
        </is>
      </c>
      <c r="B761" s="1" t="n">
        <v>45772</v>
      </c>
      <c r="C761" s="1" t="n">
        <v>46196</v>
      </c>
      <c r="D761" t="inlineStr">
        <is>
          <t>BLEKINGE LÄN</t>
        </is>
      </c>
      <c r="E761" t="inlineStr">
        <is>
          <t>SÖLVESBORG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34319-2025</t>
        </is>
      </c>
      <c r="B762" s="1" t="n">
        <v>45846</v>
      </c>
      <c r="C762" s="1" t="n">
        <v>46196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29262-2023</t>
        </is>
      </c>
      <c r="B763" s="1" t="n">
        <v>45098</v>
      </c>
      <c r="C763" s="1" t="n">
        <v>46196</v>
      </c>
      <c r="D763" t="inlineStr">
        <is>
          <t>BLEKINGE LÄN</t>
        </is>
      </c>
      <c r="E763" t="inlineStr">
        <is>
          <t>RONNEBY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45317-2025</t>
        </is>
      </c>
      <c r="B764" s="1" t="n">
        <v>45921</v>
      </c>
      <c r="C764" s="1" t="n">
        <v>46196</v>
      </c>
      <c r="D764" t="inlineStr">
        <is>
          <t>BLEKINGE LÄN</t>
        </is>
      </c>
      <c r="E764" t="inlineStr">
        <is>
          <t>RONNEBY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59846-2025</t>
        </is>
      </c>
      <c r="B765" s="1" t="n">
        <v>45992</v>
      </c>
      <c r="C765" s="1" t="n">
        <v>46196</v>
      </c>
      <c r="D765" t="inlineStr">
        <is>
          <t>BLEKINGE LÄN</t>
        </is>
      </c>
      <c r="E765" t="inlineStr">
        <is>
          <t>RONNEBY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44702-2025</t>
        </is>
      </c>
      <c r="B766" s="1" t="n">
        <v>45917</v>
      </c>
      <c r="C766" s="1" t="n">
        <v>46196</v>
      </c>
      <c r="D766" t="inlineStr">
        <is>
          <t>BLEKINGE LÄN</t>
        </is>
      </c>
      <c r="E766" t="inlineStr">
        <is>
          <t>KARLSHAMN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45288-2025</t>
        </is>
      </c>
      <c r="B767" s="1" t="n">
        <v>45920</v>
      </c>
      <c r="C767" s="1" t="n">
        <v>46196</v>
      </c>
      <c r="D767" t="inlineStr">
        <is>
          <t>BLEKINGE LÄN</t>
        </is>
      </c>
      <c r="E767" t="inlineStr">
        <is>
          <t>RONNEBY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44549-2025</t>
        </is>
      </c>
      <c r="B768" s="1" t="n">
        <v>45917</v>
      </c>
      <c r="C768" s="1" t="n">
        <v>46196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45770-2025</t>
        </is>
      </c>
      <c r="B769" s="1" t="n">
        <v>45923</v>
      </c>
      <c r="C769" s="1" t="n">
        <v>46196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45377-2025</t>
        </is>
      </c>
      <c r="B770" s="1" t="n">
        <v>45922</v>
      </c>
      <c r="C770" s="1" t="n">
        <v>46196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45434-2025</t>
        </is>
      </c>
      <c r="B771" s="1" t="n">
        <v>45922</v>
      </c>
      <c r="C771" s="1" t="n">
        <v>46196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15348-2025</t>
        </is>
      </c>
      <c r="B772" s="1" t="n">
        <v>45747</v>
      </c>
      <c r="C772" s="1" t="n">
        <v>46196</v>
      </c>
      <c r="D772" t="inlineStr">
        <is>
          <t>BLEKINGE LÄN</t>
        </is>
      </c>
      <c r="E772" t="inlineStr">
        <is>
          <t>OLOFSTRÖM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15354-2025</t>
        </is>
      </c>
      <c r="B773" s="1" t="n">
        <v>45747</v>
      </c>
      <c r="C773" s="1" t="n">
        <v>46196</v>
      </c>
      <c r="D773" t="inlineStr">
        <is>
          <t>BLEKINGE LÄN</t>
        </is>
      </c>
      <c r="E773" t="inlineStr">
        <is>
          <t>OLOFSTRÖM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45368-2025</t>
        </is>
      </c>
      <c r="B774" s="1" t="n">
        <v>45922</v>
      </c>
      <c r="C774" s="1" t="n">
        <v>46196</v>
      </c>
      <c r="D774" t="inlineStr">
        <is>
          <t>BLEKINGE LÄN</t>
        </is>
      </c>
      <c r="E774" t="inlineStr">
        <is>
          <t>KARLSKRONA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20155-2025</t>
        </is>
      </c>
      <c r="B775" s="1" t="n">
        <v>45772</v>
      </c>
      <c r="C775" s="1" t="n">
        <v>46196</v>
      </c>
      <c r="D775" t="inlineStr">
        <is>
          <t>BLEKINGE LÄN</t>
        </is>
      </c>
      <c r="E775" t="inlineStr">
        <is>
          <t>SÖLVESBORG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45437-2025</t>
        </is>
      </c>
      <c r="B776" s="1" t="n">
        <v>45922</v>
      </c>
      <c r="C776" s="1" t="n">
        <v>46196</v>
      </c>
      <c r="D776" t="inlineStr">
        <is>
          <t>BLEKINGE LÄN</t>
        </is>
      </c>
      <c r="E776" t="inlineStr">
        <is>
          <t>KARLSHAMN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45724-2025</t>
        </is>
      </c>
      <c r="B777" s="1" t="n">
        <v>45923</v>
      </c>
      <c r="C777" s="1" t="n">
        <v>46196</v>
      </c>
      <c r="D777" t="inlineStr">
        <is>
          <t>BLEKINGE LÄN</t>
        </is>
      </c>
      <c r="E777" t="inlineStr">
        <is>
          <t>RONNEBY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45687-2025</t>
        </is>
      </c>
      <c r="B778" s="1" t="n">
        <v>45923</v>
      </c>
      <c r="C778" s="1" t="n">
        <v>46196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45718-2025</t>
        </is>
      </c>
      <c r="B779" s="1" t="n">
        <v>45923</v>
      </c>
      <c r="C779" s="1" t="n">
        <v>46196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33420-2023</t>
        </is>
      </c>
      <c r="B780" s="1" t="n">
        <v>45128</v>
      </c>
      <c r="C780" s="1" t="n">
        <v>46196</v>
      </c>
      <c r="D780" t="inlineStr">
        <is>
          <t>BLEKINGE LÄN</t>
        </is>
      </c>
      <c r="E780" t="inlineStr">
        <is>
          <t>RONNEBY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20127-2025</t>
        </is>
      </c>
      <c r="B781" s="1" t="n">
        <v>45772</v>
      </c>
      <c r="C781" s="1" t="n">
        <v>46196</v>
      </c>
      <c r="D781" t="inlineStr">
        <is>
          <t>BLEKINGE LÄN</t>
        </is>
      </c>
      <c r="E781" t="inlineStr">
        <is>
          <t>SÖLVESBORG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43211-2025</t>
        </is>
      </c>
      <c r="B782" s="1" t="n">
        <v>45910</v>
      </c>
      <c r="C782" s="1" t="n">
        <v>46196</v>
      </c>
      <c r="D782" t="inlineStr">
        <is>
          <t>BLEKINGE LÄN</t>
        </is>
      </c>
      <c r="E782" t="inlineStr">
        <is>
          <t>KARLSKRONA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47260-2024</t>
        </is>
      </c>
      <c r="B783" s="1" t="n">
        <v>45586</v>
      </c>
      <c r="C783" s="1" t="n">
        <v>46196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59884-2025</t>
        </is>
      </c>
      <c r="B784" s="1" t="n">
        <v>45993</v>
      </c>
      <c r="C784" s="1" t="n">
        <v>46196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5551-2025</t>
        </is>
      </c>
      <c r="B785" s="1" t="n">
        <v>45693</v>
      </c>
      <c r="C785" s="1" t="n">
        <v>46196</v>
      </c>
      <c r="D785" t="inlineStr">
        <is>
          <t>BLEKINGE LÄN</t>
        </is>
      </c>
      <c r="E785" t="inlineStr">
        <is>
          <t>OLOFSTRÖM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46299-2025</t>
        </is>
      </c>
      <c r="B786" s="1" t="n">
        <v>45925</v>
      </c>
      <c r="C786" s="1" t="n">
        <v>46196</v>
      </c>
      <c r="D786" t="inlineStr">
        <is>
          <t>BLEKINGE LÄN</t>
        </is>
      </c>
      <c r="E786" t="inlineStr">
        <is>
          <t>RONNEBY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34323-2025</t>
        </is>
      </c>
      <c r="B787" s="1" t="n">
        <v>45846</v>
      </c>
      <c r="C787" s="1" t="n">
        <v>46196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59886-2025</t>
        </is>
      </c>
      <c r="B788" s="1" t="n">
        <v>45993</v>
      </c>
      <c r="C788" s="1" t="n">
        <v>46196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46315-2025</t>
        </is>
      </c>
      <c r="B789" s="1" t="n">
        <v>45925</v>
      </c>
      <c r="C789" s="1" t="n">
        <v>46196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46325-2025</t>
        </is>
      </c>
      <c r="B790" s="1" t="n">
        <v>45925</v>
      </c>
      <c r="C790" s="1" t="n">
        <v>46196</v>
      </c>
      <c r="D790" t="inlineStr">
        <is>
          <t>BLEKINGE LÄN</t>
        </is>
      </c>
      <c r="E790" t="inlineStr">
        <is>
          <t>OLOFSTRÖM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60360-2025</t>
        </is>
      </c>
      <c r="B791" s="1" t="n">
        <v>45995</v>
      </c>
      <c r="C791" s="1" t="n">
        <v>46196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38788-2025</t>
        </is>
      </c>
      <c r="B792" s="1" t="n">
        <v>45887</v>
      </c>
      <c r="C792" s="1" t="n">
        <v>46196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9870-2024</t>
        </is>
      </c>
      <c r="B793" s="1" t="n">
        <v>45363</v>
      </c>
      <c r="C793" s="1" t="n">
        <v>46196</v>
      </c>
      <c r="D793" t="inlineStr">
        <is>
          <t>BLEKINGE LÄN</t>
        </is>
      </c>
      <c r="E793" t="inlineStr">
        <is>
          <t>RONNEBY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35396-2025</t>
        </is>
      </c>
      <c r="B794" s="1" t="n">
        <v>45855</v>
      </c>
      <c r="C794" s="1" t="n">
        <v>46196</v>
      </c>
      <c r="D794" t="inlineStr">
        <is>
          <t>BLEKINGE LÄN</t>
        </is>
      </c>
      <c r="E794" t="inlineStr">
        <is>
          <t>RONNEBY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6563-2025</t>
        </is>
      </c>
      <c r="B795" s="1" t="n">
        <v>45699</v>
      </c>
      <c r="C795" s="1" t="n">
        <v>46196</v>
      </c>
      <c r="D795" t="inlineStr">
        <is>
          <t>BLEKINGE LÄN</t>
        </is>
      </c>
      <c r="E795" t="inlineStr">
        <is>
          <t>OLOFSTRÖM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7726-2025</t>
        </is>
      </c>
      <c r="B796" s="1" t="n">
        <v>45706</v>
      </c>
      <c r="C796" s="1" t="n">
        <v>46196</v>
      </c>
      <c r="D796" t="inlineStr">
        <is>
          <t>BLEKINGE LÄN</t>
        </is>
      </c>
      <c r="E796" t="inlineStr">
        <is>
          <t>RONNEBY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15589-2025</t>
        </is>
      </c>
      <c r="B797" s="1" t="n">
        <v>45747</v>
      </c>
      <c r="C797" s="1" t="n">
        <v>46196</v>
      </c>
      <c r="D797" t="inlineStr">
        <is>
          <t>BLEKINGE LÄN</t>
        </is>
      </c>
      <c r="E797" t="inlineStr">
        <is>
          <t>KARLSKRONA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19150-2022</t>
        </is>
      </c>
      <c r="B798" s="1" t="n">
        <v>44691</v>
      </c>
      <c r="C798" s="1" t="n">
        <v>46196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46354-2025</t>
        </is>
      </c>
      <c r="B799" s="1" t="n">
        <v>45925</v>
      </c>
      <c r="C799" s="1" t="n">
        <v>46196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5077-2025</t>
        </is>
      </c>
      <c r="B800" s="1" t="n">
        <v>45691</v>
      </c>
      <c r="C800" s="1" t="n">
        <v>46196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29232-2024</t>
        </is>
      </c>
      <c r="B801" s="1" t="n">
        <v>45482</v>
      </c>
      <c r="C801" s="1" t="n">
        <v>46196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46752-2025</t>
        </is>
      </c>
      <c r="B802" s="1" t="n">
        <v>45926</v>
      </c>
      <c r="C802" s="1" t="n">
        <v>46196</v>
      </c>
      <c r="D802" t="inlineStr">
        <is>
          <t>BLEKINGE LÄN</t>
        </is>
      </c>
      <c r="E802" t="inlineStr">
        <is>
          <t>KARLSHAMN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29236-2024</t>
        </is>
      </c>
      <c r="B803" s="1" t="n">
        <v>45482</v>
      </c>
      <c r="C803" s="1" t="n">
        <v>46196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4698-2024</t>
        </is>
      </c>
      <c r="B804" s="1" t="n">
        <v>45328</v>
      </c>
      <c r="C804" s="1" t="n">
        <v>46196</v>
      </c>
      <c r="D804" t="inlineStr">
        <is>
          <t>BLEKINGE LÄN</t>
        </is>
      </c>
      <c r="E804" t="inlineStr">
        <is>
          <t>KARLSKRONA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60348-2025</t>
        </is>
      </c>
      <c r="B805" s="1" t="n">
        <v>45995</v>
      </c>
      <c r="C805" s="1" t="n">
        <v>46196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43636-2025</t>
        </is>
      </c>
      <c r="B806" s="1" t="n">
        <v>45911</v>
      </c>
      <c r="C806" s="1" t="n">
        <v>46196</v>
      </c>
      <c r="D806" t="inlineStr">
        <is>
          <t>BLEKINGE LÄN</t>
        </is>
      </c>
      <c r="E806" t="inlineStr">
        <is>
          <t>KARLSHAMN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47155-2025</t>
        </is>
      </c>
      <c r="B807" s="1" t="n">
        <v>45929</v>
      </c>
      <c r="C807" s="1" t="n">
        <v>46196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31218-2024</t>
        </is>
      </c>
      <c r="B808" s="1" t="n">
        <v>45503</v>
      </c>
      <c r="C808" s="1" t="n">
        <v>46196</v>
      </c>
      <c r="D808" t="inlineStr">
        <is>
          <t>BLEKINGE LÄN</t>
        </is>
      </c>
      <c r="E808" t="inlineStr">
        <is>
          <t>RONNEBY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13984-2025</t>
        </is>
      </c>
      <c r="B809" s="1" t="n">
        <v>45739</v>
      </c>
      <c r="C809" s="1" t="n">
        <v>46196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27473-2025</t>
        </is>
      </c>
      <c r="B810" s="1" t="n">
        <v>45813</v>
      </c>
      <c r="C810" s="1" t="n">
        <v>46196</v>
      </c>
      <c r="D810" t="inlineStr">
        <is>
          <t>BLEKINGE LÄN</t>
        </is>
      </c>
      <c r="E810" t="inlineStr">
        <is>
          <t>KARLSHAMN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21486-2022</t>
        </is>
      </c>
      <c r="B811" s="1" t="n">
        <v>44706</v>
      </c>
      <c r="C811" s="1" t="n">
        <v>46196</v>
      </c>
      <c r="D811" t="inlineStr">
        <is>
          <t>BLEKINGE LÄN</t>
        </is>
      </c>
      <c r="E811" t="inlineStr">
        <is>
          <t>KARLSKRONA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10505-2023</t>
        </is>
      </c>
      <c r="B812" s="1" t="n">
        <v>44987</v>
      </c>
      <c r="C812" s="1" t="n">
        <v>46196</v>
      </c>
      <c r="D812" t="inlineStr">
        <is>
          <t>BLEKINGE LÄN</t>
        </is>
      </c>
      <c r="E812" t="inlineStr">
        <is>
          <t>RONNEBY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10506-2023</t>
        </is>
      </c>
      <c r="B813" s="1" t="n">
        <v>44987</v>
      </c>
      <c r="C813" s="1" t="n">
        <v>46196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51369-2023</t>
        </is>
      </c>
      <c r="B814" s="1" t="n">
        <v>45219</v>
      </c>
      <c r="C814" s="1" t="n">
        <v>46196</v>
      </c>
      <c r="D814" t="inlineStr">
        <is>
          <t>BLEKINGE LÄN</t>
        </is>
      </c>
      <c r="E814" t="inlineStr">
        <is>
          <t>KARLSHAMN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27496-2025</t>
        </is>
      </c>
      <c r="B815" s="1" t="n">
        <v>45813</v>
      </c>
      <c r="C815" s="1" t="n">
        <v>46196</v>
      </c>
      <c r="D815" t="inlineStr">
        <is>
          <t>BLEKINGE LÄN</t>
        </is>
      </c>
      <c r="E815" t="inlineStr">
        <is>
          <t>KARLSHAMN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27500-2025</t>
        </is>
      </c>
      <c r="B816" s="1" t="n">
        <v>45813</v>
      </c>
      <c r="C816" s="1" t="n">
        <v>46196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47159-2025</t>
        </is>
      </c>
      <c r="B817" s="1" t="n">
        <v>45929</v>
      </c>
      <c r="C817" s="1" t="n">
        <v>46196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46893-2025</t>
        </is>
      </c>
      <c r="B818" s="1" t="n">
        <v>45929</v>
      </c>
      <c r="C818" s="1" t="n">
        <v>46196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40088-2024</t>
        </is>
      </c>
      <c r="B819" s="1" t="n">
        <v>45554</v>
      </c>
      <c r="C819" s="1" t="n">
        <v>46196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46749-2025</t>
        </is>
      </c>
      <c r="B820" s="1" t="n">
        <v>45926</v>
      </c>
      <c r="C820" s="1" t="n">
        <v>46196</v>
      </c>
      <c r="D820" t="inlineStr">
        <is>
          <t>BLEKINGE LÄN</t>
        </is>
      </c>
      <c r="E820" t="inlineStr">
        <is>
          <t>KARLSHAMN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27402-2025</t>
        </is>
      </c>
      <c r="B821" s="1" t="n">
        <v>45812</v>
      </c>
      <c r="C821" s="1" t="n">
        <v>46196</v>
      </c>
      <c r="D821" t="inlineStr">
        <is>
          <t>BLEKINGE LÄN</t>
        </is>
      </c>
      <c r="E821" t="inlineStr">
        <is>
          <t>SÖLVESBORG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27478-2025</t>
        </is>
      </c>
      <c r="B822" s="1" t="n">
        <v>45813</v>
      </c>
      <c r="C822" s="1" t="n">
        <v>46196</v>
      </c>
      <c r="D822" t="inlineStr">
        <is>
          <t>BLEKINGE LÄN</t>
        </is>
      </c>
      <c r="E822" t="inlineStr">
        <is>
          <t>KARLSHAMN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27487-2025</t>
        </is>
      </c>
      <c r="B823" s="1" t="n">
        <v>45813</v>
      </c>
      <c r="C823" s="1" t="n">
        <v>46196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47242-2025</t>
        </is>
      </c>
      <c r="B824" s="1" t="n">
        <v>45930</v>
      </c>
      <c r="C824" s="1" t="n">
        <v>46196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47226-2025</t>
        </is>
      </c>
      <c r="B825" s="1" t="n">
        <v>45930</v>
      </c>
      <c r="C825" s="1" t="n">
        <v>46196</v>
      </c>
      <c r="D825" t="inlineStr">
        <is>
          <t>BLEKINGE LÄN</t>
        </is>
      </c>
      <c r="E825" t="inlineStr">
        <is>
          <t>OLOFSTRÖM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27505-2025</t>
        </is>
      </c>
      <c r="B826" s="1" t="n">
        <v>45813</v>
      </c>
      <c r="C826" s="1" t="n">
        <v>46196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27520-2025</t>
        </is>
      </c>
      <c r="B827" s="1" t="n">
        <v>45813</v>
      </c>
      <c r="C827" s="1" t="n">
        <v>46196</v>
      </c>
      <c r="D827" t="inlineStr">
        <is>
          <t>BLEKINGE LÄN</t>
        </is>
      </c>
      <c r="E827" t="inlineStr">
        <is>
          <t>KARLSHAMN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61512-2025</t>
        </is>
      </c>
      <c r="B828" s="1" t="n">
        <v>46001</v>
      </c>
      <c r="C828" s="1" t="n">
        <v>46196</v>
      </c>
      <c r="D828" t="inlineStr">
        <is>
          <t>BLEKINGE LÄN</t>
        </is>
      </c>
      <c r="E828" t="inlineStr">
        <is>
          <t>KARLSHAMN</t>
        </is>
      </c>
      <c r="F828" t="inlineStr">
        <is>
          <t>Sveaskog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61154-2025</t>
        </is>
      </c>
      <c r="B829" s="1" t="n">
        <v>46000</v>
      </c>
      <c r="C829" s="1" t="n">
        <v>46196</v>
      </c>
      <c r="D829" t="inlineStr">
        <is>
          <t>BLEKINGE LÄN</t>
        </is>
      </c>
      <c r="E829" t="inlineStr">
        <is>
          <t>RONNEBY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61432-2025</t>
        </is>
      </c>
      <c r="B830" s="1" t="n">
        <v>46001</v>
      </c>
      <c r="C830" s="1" t="n">
        <v>46196</v>
      </c>
      <c r="D830" t="inlineStr">
        <is>
          <t>BLEKINGE LÄN</t>
        </is>
      </c>
      <c r="E830" t="inlineStr">
        <is>
          <t>KARLSHAMN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61516-2025</t>
        </is>
      </c>
      <c r="B831" s="1" t="n">
        <v>46001</v>
      </c>
      <c r="C831" s="1" t="n">
        <v>46196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61191-2025</t>
        </is>
      </c>
      <c r="B832" s="1" t="n">
        <v>46000</v>
      </c>
      <c r="C832" s="1" t="n">
        <v>46196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1214-2023</t>
        </is>
      </c>
      <c r="B833" s="1" t="n">
        <v>44935</v>
      </c>
      <c r="C833" s="1" t="n">
        <v>46196</v>
      </c>
      <c r="D833" t="inlineStr">
        <is>
          <t>BLEKINGE LÄN</t>
        </is>
      </c>
      <c r="E833" t="inlineStr">
        <is>
          <t>KARLSHAMN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47974-2025</t>
        </is>
      </c>
      <c r="B834" s="1" t="n">
        <v>45932</v>
      </c>
      <c r="C834" s="1" t="n">
        <v>46196</v>
      </c>
      <c r="D834" t="inlineStr">
        <is>
          <t>BLEKINGE LÄN</t>
        </is>
      </c>
      <c r="E834" t="inlineStr">
        <is>
          <t>RONNEBY</t>
        </is>
      </c>
      <c r="F834" t="inlineStr">
        <is>
          <t>Övriga Aktiebolag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47885-2025</t>
        </is>
      </c>
      <c r="B835" s="1" t="n">
        <v>45932</v>
      </c>
      <c r="C835" s="1" t="n">
        <v>46196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1523-2025</t>
        </is>
      </c>
      <c r="B836" s="1" t="n">
        <v>45670</v>
      </c>
      <c r="C836" s="1" t="n">
        <v>46196</v>
      </c>
      <c r="D836" t="inlineStr">
        <is>
          <t>BLEKINGE LÄN</t>
        </is>
      </c>
      <c r="E836" t="inlineStr">
        <is>
          <t>RONNEBY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61596-2025</t>
        </is>
      </c>
      <c r="B837" s="1" t="n">
        <v>46002</v>
      </c>
      <c r="C837" s="1" t="n">
        <v>46196</v>
      </c>
      <c r="D837" t="inlineStr">
        <is>
          <t>BLEKINGE LÄN</t>
        </is>
      </c>
      <c r="E837" t="inlineStr">
        <is>
          <t>KARLSKRONA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14938-2025</t>
        </is>
      </c>
      <c r="B838" s="1" t="n">
        <v>45743</v>
      </c>
      <c r="C838" s="1" t="n">
        <v>46196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47960-2025</t>
        </is>
      </c>
      <c r="B839" s="1" t="n">
        <v>45932</v>
      </c>
      <c r="C839" s="1" t="n">
        <v>46196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47980-2025</t>
        </is>
      </c>
      <c r="B840" s="1" t="n">
        <v>45932</v>
      </c>
      <c r="C840" s="1" t="n">
        <v>46196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47968-2025</t>
        </is>
      </c>
      <c r="B841" s="1" t="n">
        <v>45932</v>
      </c>
      <c r="C841" s="1" t="n">
        <v>46196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57125-2022</t>
        </is>
      </c>
      <c r="B842" s="1" t="n">
        <v>44895</v>
      </c>
      <c r="C842" s="1" t="n">
        <v>46196</v>
      </c>
      <c r="D842" t="inlineStr">
        <is>
          <t>BLEKINGE LÄN</t>
        </is>
      </c>
      <c r="E842" t="inlineStr">
        <is>
          <t>KARLSHAMN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9473-2025</t>
        </is>
      </c>
      <c r="B843" s="1" t="n">
        <v>45714</v>
      </c>
      <c r="C843" s="1" t="n">
        <v>46196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49298-2022</t>
        </is>
      </c>
      <c r="B844" s="1" t="n">
        <v>44858</v>
      </c>
      <c r="C844" s="1" t="n">
        <v>46196</v>
      </c>
      <c r="D844" t="inlineStr">
        <is>
          <t>BLEKINGE LÄN</t>
        </is>
      </c>
      <c r="E844" t="inlineStr">
        <is>
          <t>OLOFSTRÖM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52208-2024</t>
        </is>
      </c>
      <c r="B845" s="1" t="n">
        <v>45608</v>
      </c>
      <c r="C845" s="1" t="n">
        <v>46196</v>
      </c>
      <c r="D845" t="inlineStr">
        <is>
          <t>BLEKINGE LÄN</t>
        </is>
      </c>
      <c r="E845" t="inlineStr">
        <is>
          <t>OLOFSTRÖM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4119-2023</t>
        </is>
      </c>
      <c r="B846" s="1" t="n">
        <v>44952</v>
      </c>
      <c r="C846" s="1" t="n">
        <v>46196</v>
      </c>
      <c r="D846" t="inlineStr">
        <is>
          <t>BLEKINGE LÄN</t>
        </is>
      </c>
      <c r="E846" t="inlineStr">
        <is>
          <t>KARLSHAMN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4120-2023</t>
        </is>
      </c>
      <c r="B847" s="1" t="n">
        <v>44952</v>
      </c>
      <c r="C847" s="1" t="n">
        <v>46196</v>
      </c>
      <c r="D847" t="inlineStr">
        <is>
          <t>BLEKINGE LÄN</t>
        </is>
      </c>
      <c r="E847" t="inlineStr">
        <is>
          <t>KARLSHAMN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29373-2024</t>
        </is>
      </c>
      <c r="B848" s="1" t="n">
        <v>45483</v>
      </c>
      <c r="C848" s="1" t="n">
        <v>46196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47904-2025</t>
        </is>
      </c>
      <c r="B849" s="1" t="n">
        <v>45932</v>
      </c>
      <c r="C849" s="1" t="n">
        <v>46196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36582-2024</t>
        </is>
      </c>
      <c r="B850" s="1" t="n">
        <v>45537</v>
      </c>
      <c r="C850" s="1" t="n">
        <v>46196</v>
      </c>
      <c r="D850" t="inlineStr">
        <is>
          <t>BLEKINGE LÄN</t>
        </is>
      </c>
      <c r="E850" t="inlineStr">
        <is>
          <t>KARLSKRONA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49093-2025</t>
        </is>
      </c>
      <c r="B851" s="1" t="n">
        <v>45937</v>
      </c>
      <c r="C851" s="1" t="n">
        <v>46196</v>
      </c>
      <c r="D851" t="inlineStr">
        <is>
          <t>BLEKINGE LÄN</t>
        </is>
      </c>
      <c r="E851" t="inlineStr">
        <is>
          <t>KARLSKRONA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48998-2025</t>
        </is>
      </c>
      <c r="B852" s="1" t="n">
        <v>45937</v>
      </c>
      <c r="C852" s="1" t="n">
        <v>46196</v>
      </c>
      <c r="D852" t="inlineStr">
        <is>
          <t>BLEKINGE LÄN</t>
        </is>
      </c>
      <c r="E852" t="inlineStr">
        <is>
          <t>RONNEBY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48853-2025</t>
        </is>
      </c>
      <c r="B853" s="1" t="n">
        <v>45937</v>
      </c>
      <c r="C853" s="1" t="n">
        <v>46196</v>
      </c>
      <c r="D853" t="inlineStr">
        <is>
          <t>BLEKINGE LÄN</t>
        </is>
      </c>
      <c r="E853" t="inlineStr">
        <is>
          <t>KARLSHAMN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20997-2023</t>
        </is>
      </c>
      <c r="B854" s="1" t="n">
        <v>45061</v>
      </c>
      <c r="C854" s="1" t="n">
        <v>46196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19610-2024</t>
        </is>
      </c>
      <c r="B855" s="1" t="n">
        <v>45432</v>
      </c>
      <c r="C855" s="1" t="n">
        <v>46196</v>
      </c>
      <c r="D855" t="inlineStr">
        <is>
          <t>BLEKINGE LÄN</t>
        </is>
      </c>
      <c r="E855" t="inlineStr">
        <is>
          <t>RONNEBY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62427-2025</t>
        </is>
      </c>
      <c r="B856" s="1" t="n">
        <v>46007</v>
      </c>
      <c r="C856" s="1" t="n">
        <v>46196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62465-2025</t>
        </is>
      </c>
      <c r="B857" s="1" t="n">
        <v>46007</v>
      </c>
      <c r="C857" s="1" t="n">
        <v>46196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11639-2025</t>
        </is>
      </c>
      <c r="B858" s="1" t="n">
        <v>45727</v>
      </c>
      <c r="C858" s="1" t="n">
        <v>46196</v>
      </c>
      <c r="D858" t="inlineStr">
        <is>
          <t>BLEKINGE LÄN</t>
        </is>
      </c>
      <c r="E858" t="inlineStr">
        <is>
          <t>KARLSKRONA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5962-2024</t>
        </is>
      </c>
      <c r="B859" s="1" t="n">
        <v>45335</v>
      </c>
      <c r="C859" s="1" t="n">
        <v>46196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30106-2022</t>
        </is>
      </c>
      <c r="B860" s="1" t="n">
        <v>44757</v>
      </c>
      <c r="C860" s="1" t="n">
        <v>46196</v>
      </c>
      <c r="D860" t="inlineStr">
        <is>
          <t>BLEKINGE LÄN</t>
        </is>
      </c>
      <c r="E860" t="inlineStr">
        <is>
          <t>KARLSKRONA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4286-2024</t>
        </is>
      </c>
      <c r="B861" s="1" t="n">
        <v>45324</v>
      </c>
      <c r="C861" s="1" t="n">
        <v>46196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39226-2024</t>
        </is>
      </c>
      <c r="B862" s="1" t="n">
        <v>45550</v>
      </c>
      <c r="C862" s="1" t="n">
        <v>46196</v>
      </c>
      <c r="D862" t="inlineStr">
        <is>
          <t>BLEKINGE LÄN</t>
        </is>
      </c>
      <c r="E862" t="inlineStr">
        <is>
          <t>KARLSHAMN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698-2023</t>
        </is>
      </c>
      <c r="B863" s="1" t="n">
        <v>44930</v>
      </c>
      <c r="C863" s="1" t="n">
        <v>46196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46901-2022</t>
        </is>
      </c>
      <c r="B864" s="1" t="n">
        <v>44851</v>
      </c>
      <c r="C864" s="1" t="n">
        <v>46196</v>
      </c>
      <c r="D864" t="inlineStr">
        <is>
          <t>BLEKINGE LÄN</t>
        </is>
      </c>
      <c r="E864" t="inlineStr">
        <is>
          <t>KARLSKRONA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4919-2022</t>
        </is>
      </c>
      <c r="B865" s="1" t="n">
        <v>44593</v>
      </c>
      <c r="C865" s="1" t="n">
        <v>46196</v>
      </c>
      <c r="D865" t="inlineStr">
        <is>
          <t>BLEKINGE LÄN</t>
        </is>
      </c>
      <c r="E865" t="inlineStr">
        <is>
          <t>KARLSKRONA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43287-2023</t>
        </is>
      </c>
      <c r="B866" s="1" t="n">
        <v>45183</v>
      </c>
      <c r="C866" s="1" t="n">
        <v>46196</v>
      </c>
      <c r="D866" t="inlineStr">
        <is>
          <t>BLEKINGE LÄN</t>
        </is>
      </c>
      <c r="E866" t="inlineStr">
        <is>
          <t>OLOFSTRÖM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49005-2025</t>
        </is>
      </c>
      <c r="B867" s="1" t="n">
        <v>45937</v>
      </c>
      <c r="C867" s="1" t="n">
        <v>46196</v>
      </c>
      <c r="D867" t="inlineStr">
        <is>
          <t>BLEKINGE LÄN</t>
        </is>
      </c>
      <c r="E867" t="inlineStr">
        <is>
          <t>RONNEBY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17193-2024</t>
        </is>
      </c>
      <c r="B868" s="1" t="n">
        <v>45413</v>
      </c>
      <c r="C868" s="1" t="n">
        <v>46196</v>
      </c>
      <c r="D868" t="inlineStr">
        <is>
          <t>BLEKINGE LÄN</t>
        </is>
      </c>
      <c r="E868" t="inlineStr">
        <is>
          <t>RONNEBY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49271-2025</t>
        </is>
      </c>
      <c r="B869" s="1" t="n">
        <v>45938</v>
      </c>
      <c r="C869" s="1" t="n">
        <v>46196</v>
      </c>
      <c r="D869" t="inlineStr">
        <is>
          <t>BLEKINGE LÄN</t>
        </is>
      </c>
      <c r="E869" t="inlineStr">
        <is>
          <t>OLOFSTRÖM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40046-2025</t>
        </is>
      </c>
      <c r="B870" s="1" t="n">
        <v>45894</v>
      </c>
      <c r="C870" s="1" t="n">
        <v>46196</v>
      </c>
      <c r="D870" t="inlineStr">
        <is>
          <t>BLEKINGE LÄN</t>
        </is>
      </c>
      <c r="E870" t="inlineStr">
        <is>
          <t>KARLSHAMN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62594-2025</t>
        </is>
      </c>
      <c r="B871" s="1" t="n">
        <v>46007</v>
      </c>
      <c r="C871" s="1" t="n">
        <v>46196</v>
      </c>
      <c r="D871" t="inlineStr">
        <is>
          <t>BLEKINGE LÄN</t>
        </is>
      </c>
      <c r="E871" t="inlineStr">
        <is>
          <t>KARLSKRONA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62590-2025</t>
        </is>
      </c>
      <c r="B872" s="1" t="n">
        <v>46007</v>
      </c>
      <c r="C872" s="1" t="n">
        <v>46196</v>
      </c>
      <c r="D872" t="inlineStr">
        <is>
          <t>BLEKINGE LÄN</t>
        </is>
      </c>
      <c r="E872" t="inlineStr">
        <is>
          <t>KARLSKRONA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41892-2025</t>
        </is>
      </c>
      <c r="B873" s="1" t="n">
        <v>45903</v>
      </c>
      <c r="C873" s="1" t="n">
        <v>46196</v>
      </c>
      <c r="D873" t="inlineStr">
        <is>
          <t>BLEKINGE LÄN</t>
        </is>
      </c>
      <c r="E873" t="inlineStr">
        <is>
          <t>KARLSHAMN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7994-2025</t>
        </is>
      </c>
      <c r="B874" s="1" t="n">
        <v>45707</v>
      </c>
      <c r="C874" s="1" t="n">
        <v>46196</v>
      </c>
      <c r="D874" t="inlineStr">
        <is>
          <t>BLEKINGE LÄN</t>
        </is>
      </c>
      <c r="E874" t="inlineStr">
        <is>
          <t>KARLSKRONA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4800-2024</t>
        </is>
      </c>
      <c r="B875" s="1" t="n">
        <v>45328</v>
      </c>
      <c r="C875" s="1" t="n">
        <v>46196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29914-2023</t>
        </is>
      </c>
      <c r="B876" s="1" t="n">
        <v>45107</v>
      </c>
      <c r="C876" s="1" t="n">
        <v>46196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40018-2025</t>
        </is>
      </c>
      <c r="B877" s="1" t="n">
        <v>45894</v>
      </c>
      <c r="C877" s="1" t="n">
        <v>46196</v>
      </c>
      <c r="D877" t="inlineStr">
        <is>
          <t>BLEKINGE LÄN</t>
        </is>
      </c>
      <c r="E877" t="inlineStr">
        <is>
          <t>KARLSHAMN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40052-2025</t>
        </is>
      </c>
      <c r="B878" s="1" t="n">
        <v>45894</v>
      </c>
      <c r="C878" s="1" t="n">
        <v>46196</v>
      </c>
      <c r="D878" t="inlineStr">
        <is>
          <t>BLEKINGE LÄN</t>
        </is>
      </c>
      <c r="E878" t="inlineStr">
        <is>
          <t>KARLSHAMN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49086-2025</t>
        </is>
      </c>
      <c r="B879" s="1" t="n">
        <v>45937</v>
      </c>
      <c r="C879" s="1" t="n">
        <v>46196</v>
      </c>
      <c r="D879" t="inlineStr">
        <is>
          <t>BLEKINGE LÄN</t>
        </is>
      </c>
      <c r="E879" t="inlineStr">
        <is>
          <t>KARLSKRONA</t>
        </is>
      </c>
      <c r="G879" t="n">
        <v>12.2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29409-2025</t>
        </is>
      </c>
      <c r="B880" s="1" t="n">
        <v>45824</v>
      </c>
      <c r="C880" s="1" t="n">
        <v>46196</v>
      </c>
      <c r="D880" t="inlineStr">
        <is>
          <t>BLEKINGE LÄN</t>
        </is>
      </c>
      <c r="E880" t="inlineStr">
        <is>
          <t>KARLSHAMN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63560-2025</t>
        </is>
      </c>
      <c r="B881" s="1" t="n">
        <v>46013</v>
      </c>
      <c r="C881" s="1" t="n">
        <v>46196</v>
      </c>
      <c r="D881" t="inlineStr">
        <is>
          <t>BLEKINGE LÄN</t>
        </is>
      </c>
      <c r="E881" t="inlineStr">
        <is>
          <t>OLOFSTRÖM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28922-2025</t>
        </is>
      </c>
      <c r="B882" s="1" t="n">
        <v>45820</v>
      </c>
      <c r="C882" s="1" t="n">
        <v>46196</v>
      </c>
      <c r="D882" t="inlineStr">
        <is>
          <t>BLEKINGE LÄN</t>
        </is>
      </c>
      <c r="E882" t="inlineStr">
        <is>
          <t>RONNEBY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49649-2025</t>
        </is>
      </c>
      <c r="B883" s="1" t="n">
        <v>45939</v>
      </c>
      <c r="C883" s="1" t="n">
        <v>46196</v>
      </c>
      <c r="D883" t="inlineStr">
        <is>
          <t>BLEKINGE LÄN</t>
        </is>
      </c>
      <c r="E883" t="inlineStr">
        <is>
          <t>KARLSHAMN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41076-2023</t>
        </is>
      </c>
      <c r="B884" s="1" t="n">
        <v>45169</v>
      </c>
      <c r="C884" s="1" t="n">
        <v>46196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29396-2025</t>
        </is>
      </c>
      <c r="B885" s="1" t="n">
        <v>45824</v>
      </c>
      <c r="C885" s="1" t="n">
        <v>46196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46914-2023</t>
        </is>
      </c>
      <c r="B886" s="1" t="n">
        <v>45201</v>
      </c>
      <c r="C886" s="1" t="n">
        <v>46196</v>
      </c>
      <c r="D886" t="inlineStr">
        <is>
          <t>BLEKINGE LÄN</t>
        </is>
      </c>
      <c r="E886" t="inlineStr">
        <is>
          <t>RONNEBY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47000-2023</t>
        </is>
      </c>
      <c r="B887" s="1" t="n">
        <v>45201</v>
      </c>
      <c r="C887" s="1" t="n">
        <v>46196</v>
      </c>
      <c r="D887" t="inlineStr">
        <is>
          <t>BLEKINGE LÄN</t>
        </is>
      </c>
      <c r="E887" t="inlineStr">
        <is>
          <t>RONNEBY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18517-2022</t>
        </is>
      </c>
      <c r="B888" s="1" t="n">
        <v>44686</v>
      </c>
      <c r="C888" s="1" t="n">
        <v>46196</v>
      </c>
      <c r="D888" t="inlineStr">
        <is>
          <t>BLEKINGE LÄN</t>
        </is>
      </c>
      <c r="E888" t="inlineStr">
        <is>
          <t>KARLSHAMN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49784-2025</t>
        </is>
      </c>
      <c r="B889" s="1" t="n">
        <v>45940</v>
      </c>
      <c r="C889" s="1" t="n">
        <v>46196</v>
      </c>
      <c r="D889" t="inlineStr">
        <is>
          <t>BLEKINGE LÄN</t>
        </is>
      </c>
      <c r="E889" t="inlineStr">
        <is>
          <t>OLOFSTRÖM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29206-2025</t>
        </is>
      </c>
      <c r="B890" s="1" t="n">
        <v>45823</v>
      </c>
      <c r="C890" s="1" t="n">
        <v>46196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31501-2023</t>
        </is>
      </c>
      <c r="B891" s="1" t="n">
        <v>45115</v>
      </c>
      <c r="C891" s="1" t="n">
        <v>46196</v>
      </c>
      <c r="D891" t="inlineStr">
        <is>
          <t>BLEKINGE LÄN</t>
        </is>
      </c>
      <c r="E891" t="inlineStr">
        <is>
          <t>RONNEBY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22717-2023</t>
        </is>
      </c>
      <c r="B892" s="1" t="n">
        <v>45071</v>
      </c>
      <c r="C892" s="1" t="n">
        <v>46196</v>
      </c>
      <c r="D892" t="inlineStr">
        <is>
          <t>BLEKINGE LÄN</t>
        </is>
      </c>
      <c r="E892" t="inlineStr">
        <is>
          <t>OLOFSTRÖM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50587-2025</t>
        </is>
      </c>
      <c r="B893" s="1" t="n">
        <v>45945</v>
      </c>
      <c r="C893" s="1" t="n">
        <v>46196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50603-2025</t>
        </is>
      </c>
      <c r="B894" s="1" t="n">
        <v>45945</v>
      </c>
      <c r="C894" s="1" t="n">
        <v>46196</v>
      </c>
      <c r="D894" t="inlineStr">
        <is>
          <t>BLEKINGE LÄN</t>
        </is>
      </c>
      <c r="E894" t="inlineStr">
        <is>
          <t>KARLSKRONA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10144-2025</t>
        </is>
      </c>
      <c r="B895" s="1" t="n">
        <v>45719</v>
      </c>
      <c r="C895" s="1" t="n">
        <v>46196</v>
      </c>
      <c r="D895" t="inlineStr">
        <is>
          <t>BLEKINGE LÄN</t>
        </is>
      </c>
      <c r="E895" t="inlineStr">
        <is>
          <t>OLOFSTRÖM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50594-2025</t>
        </is>
      </c>
      <c r="B896" s="1" t="n">
        <v>45945</v>
      </c>
      <c r="C896" s="1" t="n">
        <v>46196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29410-2025</t>
        </is>
      </c>
      <c r="B897" s="1" t="n">
        <v>45824</v>
      </c>
      <c r="C897" s="1" t="n">
        <v>46196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30227-2025</t>
        </is>
      </c>
      <c r="B898" s="1" t="n">
        <v>45827</v>
      </c>
      <c r="C898" s="1" t="n">
        <v>46196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29935-2025</t>
        </is>
      </c>
      <c r="B899" s="1" t="n">
        <v>45826</v>
      </c>
      <c r="C899" s="1" t="n">
        <v>46196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26644-2022</t>
        </is>
      </c>
      <c r="B900" s="1" t="n">
        <v>44739</v>
      </c>
      <c r="C900" s="1" t="n">
        <v>46196</v>
      </c>
      <c r="D900" t="inlineStr">
        <is>
          <t>BLEKINGE LÄN</t>
        </is>
      </c>
      <c r="E900" t="inlineStr">
        <is>
          <t>RONNEBY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30205-2025</t>
        </is>
      </c>
      <c r="B901" s="1" t="n">
        <v>45827</v>
      </c>
      <c r="C901" s="1" t="n">
        <v>46196</v>
      </c>
      <c r="D901" t="inlineStr">
        <is>
          <t>BLEKINGE LÄN</t>
        </is>
      </c>
      <c r="E901" t="inlineStr">
        <is>
          <t>OLOFSTRÖM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30398-2025</t>
        </is>
      </c>
      <c r="B902" s="1" t="n">
        <v>45827</v>
      </c>
      <c r="C902" s="1" t="n">
        <v>46196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247-2026</t>
        </is>
      </c>
      <c r="B903" s="1" t="n">
        <v>46027</v>
      </c>
      <c r="C903" s="1" t="n">
        <v>46196</v>
      </c>
      <c r="D903" t="inlineStr">
        <is>
          <t>BLEKINGE LÄN</t>
        </is>
      </c>
      <c r="E903" t="inlineStr">
        <is>
          <t>OLOFSTRÖM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248-2026</t>
        </is>
      </c>
      <c r="B904" s="1" t="n">
        <v>46027</v>
      </c>
      <c r="C904" s="1" t="n">
        <v>46196</v>
      </c>
      <c r="D904" t="inlineStr">
        <is>
          <t>BLEKINGE LÄN</t>
        </is>
      </c>
      <c r="E904" t="inlineStr">
        <is>
          <t>OLOFSTRÖM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29818-2025</t>
        </is>
      </c>
      <c r="B905" s="1" t="n">
        <v>45825</v>
      </c>
      <c r="C905" s="1" t="n">
        <v>46196</v>
      </c>
      <c r="D905" t="inlineStr">
        <is>
          <t>BLEKINGE LÄN</t>
        </is>
      </c>
      <c r="E905" t="inlineStr">
        <is>
          <t>RONNEBY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14481-2025</t>
        </is>
      </c>
      <c r="B906" s="1" t="n">
        <v>45741</v>
      </c>
      <c r="C906" s="1" t="n">
        <v>46196</v>
      </c>
      <c r="D906" t="inlineStr">
        <is>
          <t>BLEKINGE LÄN</t>
        </is>
      </c>
      <c r="E906" t="inlineStr">
        <is>
          <t>SÖLVESBORG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29897-2025</t>
        </is>
      </c>
      <c r="B907" s="1" t="n">
        <v>45826</v>
      </c>
      <c r="C907" s="1" t="n">
        <v>46196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14665-2025</t>
        </is>
      </c>
      <c r="B908" s="1" t="n">
        <v>45742</v>
      </c>
      <c r="C908" s="1" t="n">
        <v>46196</v>
      </c>
      <c r="D908" t="inlineStr">
        <is>
          <t>BLEKINGE LÄN</t>
        </is>
      </c>
      <c r="E908" t="inlineStr">
        <is>
          <t>OLOFSTRÖM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344-2026</t>
        </is>
      </c>
      <c r="B909" s="1" t="n">
        <v>46027</v>
      </c>
      <c r="C909" s="1" t="n">
        <v>46196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242-2026</t>
        </is>
      </c>
      <c r="B910" s="1" t="n">
        <v>46027</v>
      </c>
      <c r="C910" s="1" t="n">
        <v>46196</v>
      </c>
      <c r="D910" t="inlineStr">
        <is>
          <t>BLEKINGE LÄN</t>
        </is>
      </c>
      <c r="E910" t="inlineStr">
        <is>
          <t>OLOFSTRÖM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30469-2025</t>
        </is>
      </c>
      <c r="B911" s="1" t="n">
        <v>45827</v>
      </c>
      <c r="C911" s="1" t="n">
        <v>46196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39880-2023</t>
        </is>
      </c>
      <c r="B912" s="1" t="n">
        <v>45168</v>
      </c>
      <c r="C912" s="1" t="n">
        <v>46196</v>
      </c>
      <c r="D912" t="inlineStr">
        <is>
          <t>BLEKINGE LÄN</t>
        </is>
      </c>
      <c r="E912" t="inlineStr">
        <is>
          <t>OLOFSTRÖM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30470-2025</t>
        </is>
      </c>
      <c r="B913" s="1" t="n">
        <v>45827</v>
      </c>
      <c r="C913" s="1" t="n">
        <v>46196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27375-2025</t>
        </is>
      </c>
      <c r="B914" s="1" t="n">
        <v>45812</v>
      </c>
      <c r="C914" s="1" t="n">
        <v>46196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45758-2025</t>
        </is>
      </c>
      <c r="B915" s="1" t="n">
        <v>45923</v>
      </c>
      <c r="C915" s="1" t="n">
        <v>46196</v>
      </c>
      <c r="D915" t="inlineStr">
        <is>
          <t>BLEKINGE LÄN</t>
        </is>
      </c>
      <c r="E915" t="inlineStr">
        <is>
          <t>OLOFSTRÖM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59676-2022</t>
        </is>
      </c>
      <c r="B916" s="1" t="n">
        <v>44908</v>
      </c>
      <c r="C916" s="1" t="n">
        <v>46196</v>
      </c>
      <c r="D916" t="inlineStr">
        <is>
          <t>BLEKINGE LÄN</t>
        </is>
      </c>
      <c r="E916" t="inlineStr">
        <is>
          <t>RONNEBY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45566-2022</t>
        </is>
      </c>
      <c r="B917" s="1" t="n">
        <v>44845</v>
      </c>
      <c r="C917" s="1" t="n">
        <v>46196</v>
      </c>
      <c r="D917" t="inlineStr">
        <is>
          <t>BLEKINGE LÄN</t>
        </is>
      </c>
      <c r="E917" t="inlineStr">
        <is>
          <t>KARLSHAMN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58986-2024</t>
        </is>
      </c>
      <c r="B918" s="1" t="n">
        <v>45636</v>
      </c>
      <c r="C918" s="1" t="n">
        <v>46196</v>
      </c>
      <c r="D918" t="inlineStr">
        <is>
          <t>BLEKINGE LÄN</t>
        </is>
      </c>
      <c r="E918" t="inlineStr">
        <is>
          <t>KARLSHAMN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1231-2026</t>
        </is>
      </c>
      <c r="B919" s="1" t="n">
        <v>46031</v>
      </c>
      <c r="C919" s="1" t="n">
        <v>46196</v>
      </c>
      <c r="D919" t="inlineStr">
        <is>
          <t>BLEKINGE LÄN</t>
        </is>
      </c>
      <c r="E919" t="inlineStr">
        <is>
          <t>KARLSKRONA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31244-2025</t>
        </is>
      </c>
      <c r="B920" s="1" t="n">
        <v>45832</v>
      </c>
      <c r="C920" s="1" t="n">
        <v>46196</v>
      </c>
      <c r="D920" t="inlineStr">
        <is>
          <t>BLEKINGE LÄN</t>
        </is>
      </c>
      <c r="E920" t="inlineStr">
        <is>
          <t>KARLSKRONA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1356-2026</t>
        </is>
      </c>
      <c r="B921" s="1" t="n">
        <v>46031</v>
      </c>
      <c r="C921" s="1" t="n">
        <v>46196</v>
      </c>
      <c r="D921" t="inlineStr">
        <is>
          <t>BLEKINGE LÄN</t>
        </is>
      </c>
      <c r="E921" t="inlineStr">
        <is>
          <t>OLOFSTRÖM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31076-2025</t>
        </is>
      </c>
      <c r="B922" s="1" t="n">
        <v>45832</v>
      </c>
      <c r="C922" s="1" t="n">
        <v>46196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40749-2021</t>
        </is>
      </c>
      <c r="B923" s="1" t="n">
        <v>44420</v>
      </c>
      <c r="C923" s="1" t="n">
        <v>46196</v>
      </c>
      <c r="D923" t="inlineStr">
        <is>
          <t>BLEKINGE LÄN</t>
        </is>
      </c>
      <c r="E923" t="inlineStr">
        <is>
          <t>OLOFSTRÖM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31605-2025</t>
        </is>
      </c>
      <c r="B924" s="1" t="n">
        <v>45833</v>
      </c>
      <c r="C924" s="1" t="n">
        <v>46196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2552-2026</t>
        </is>
      </c>
      <c r="B925" s="1" t="n">
        <v>46035</v>
      </c>
      <c r="C925" s="1" t="n">
        <v>46196</v>
      </c>
      <c r="D925" t="inlineStr">
        <is>
          <t>BLEKINGE LÄN</t>
        </is>
      </c>
      <c r="E925" t="inlineStr">
        <is>
          <t>KARLSHAMN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32130-2025</t>
        </is>
      </c>
      <c r="B926" s="1" t="n">
        <v>45835</v>
      </c>
      <c r="C926" s="1" t="n">
        <v>46196</v>
      </c>
      <c r="D926" t="inlineStr">
        <is>
          <t>BLEKINGE LÄN</t>
        </is>
      </c>
      <c r="E926" t="inlineStr">
        <is>
          <t>RONNEBY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32142-2025</t>
        </is>
      </c>
      <c r="B927" s="1" t="n">
        <v>45835</v>
      </c>
      <c r="C927" s="1" t="n">
        <v>46196</v>
      </c>
      <c r="D927" t="inlineStr">
        <is>
          <t>BLEKINGE LÄN</t>
        </is>
      </c>
      <c r="E927" t="inlineStr">
        <is>
          <t>RONNEBY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32957-2025</t>
        </is>
      </c>
      <c r="B928" s="1" t="n">
        <v>45839</v>
      </c>
      <c r="C928" s="1" t="n">
        <v>46196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32680-2025</t>
        </is>
      </c>
      <c r="B929" s="1" t="n">
        <v>45838</v>
      </c>
      <c r="C929" s="1" t="n">
        <v>46196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55077-2025</t>
        </is>
      </c>
      <c r="B930" s="1" t="n">
        <v>45967</v>
      </c>
      <c r="C930" s="1" t="n">
        <v>46196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8619-2025</t>
        </is>
      </c>
      <c r="B931" s="1" t="n">
        <v>45711</v>
      </c>
      <c r="C931" s="1" t="n">
        <v>46196</v>
      </c>
      <c r="D931" t="inlineStr">
        <is>
          <t>BLEKINGE LÄN</t>
        </is>
      </c>
      <c r="E931" t="inlineStr">
        <is>
          <t>KARLSKRONA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32692-2025</t>
        </is>
      </c>
      <c r="B932" s="1" t="n">
        <v>45838</v>
      </c>
      <c r="C932" s="1" t="n">
        <v>46196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32701-2025</t>
        </is>
      </c>
      <c r="B933" s="1" t="n">
        <v>45838</v>
      </c>
      <c r="C933" s="1" t="n">
        <v>46196</v>
      </c>
      <c r="D933" t="inlineStr">
        <is>
          <t>BLEKINGE LÄN</t>
        </is>
      </c>
      <c r="E933" t="inlineStr">
        <is>
          <t>RONNEBY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3225-2026</t>
        </is>
      </c>
      <c r="B934" s="1" t="n">
        <v>46041</v>
      </c>
      <c r="C934" s="1" t="n">
        <v>46196</v>
      </c>
      <c r="D934" t="inlineStr">
        <is>
          <t>BLEKINGE LÄN</t>
        </is>
      </c>
      <c r="E934" t="inlineStr">
        <is>
          <t>KARLSHAMN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46500-2023</t>
        </is>
      </c>
      <c r="B935" s="1" t="n">
        <v>45197</v>
      </c>
      <c r="C935" s="1" t="n">
        <v>46196</v>
      </c>
      <c r="D935" t="inlineStr">
        <is>
          <t>BLEKINGE LÄN</t>
        </is>
      </c>
      <c r="E935" t="inlineStr">
        <is>
          <t>SÖLVESBORG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2721-2026</t>
        </is>
      </c>
      <c r="B936" s="1" t="n">
        <v>46037</v>
      </c>
      <c r="C936" s="1" t="n">
        <v>46196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32716-2025</t>
        </is>
      </c>
      <c r="B937" s="1" t="n">
        <v>45838</v>
      </c>
      <c r="C937" s="1" t="n">
        <v>46196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2766-2026</t>
        </is>
      </c>
      <c r="B938" s="1" t="n">
        <v>46038</v>
      </c>
      <c r="C938" s="1" t="n">
        <v>46196</v>
      </c>
      <c r="D938" t="inlineStr">
        <is>
          <t>BLEKINGE LÄN</t>
        </is>
      </c>
      <c r="E938" t="inlineStr">
        <is>
          <t>OLOFSTRÖM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59707-2023</t>
        </is>
      </c>
      <c r="B939" s="1" t="n">
        <v>45256</v>
      </c>
      <c r="C939" s="1" t="n">
        <v>46196</v>
      </c>
      <c r="D939" t="inlineStr">
        <is>
          <t>BLEKINGE LÄN</t>
        </is>
      </c>
      <c r="E939" t="inlineStr">
        <is>
          <t>KARLSKRONA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32514-2025</t>
        </is>
      </c>
      <c r="B940" s="1" t="n">
        <v>45838</v>
      </c>
      <c r="C940" s="1" t="n">
        <v>46196</v>
      </c>
      <c r="D940" t="inlineStr">
        <is>
          <t>BLEKINGE LÄN</t>
        </is>
      </c>
      <c r="E940" t="inlineStr">
        <is>
          <t>SÖLVESBORG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54637-2023</t>
        </is>
      </c>
      <c r="B941" s="1" t="n">
        <v>45234</v>
      </c>
      <c r="C941" s="1" t="n">
        <v>46196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3475-2026</t>
        </is>
      </c>
      <c r="B942" s="1" t="n">
        <v>46042</v>
      </c>
      <c r="C942" s="1" t="n">
        <v>46196</v>
      </c>
      <c r="D942" t="inlineStr">
        <is>
          <t>BLEKINGE LÄN</t>
        </is>
      </c>
      <c r="E942" t="inlineStr">
        <is>
          <t>KARLSKRONA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33058-2025</t>
        </is>
      </c>
      <c r="B943" s="1" t="n">
        <v>45840</v>
      </c>
      <c r="C943" s="1" t="n">
        <v>46196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3429-2026</t>
        </is>
      </c>
      <c r="B944" s="1" t="n">
        <v>46042</v>
      </c>
      <c r="C944" s="1" t="n">
        <v>46196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33986-2025</t>
        </is>
      </c>
      <c r="B945" s="1" t="n">
        <v>45843</v>
      </c>
      <c r="C945" s="1" t="n">
        <v>46196</v>
      </c>
      <c r="D945" t="inlineStr">
        <is>
          <t>BLEKINGE LÄN</t>
        </is>
      </c>
      <c r="E945" t="inlineStr">
        <is>
          <t>RONNEBY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3450-2026</t>
        </is>
      </c>
      <c r="B946" s="1" t="n">
        <v>46042</v>
      </c>
      <c r="C946" s="1" t="n">
        <v>46196</v>
      </c>
      <c r="D946" t="inlineStr">
        <is>
          <t>BLEKINGE LÄN</t>
        </is>
      </c>
      <c r="E946" t="inlineStr">
        <is>
          <t>RONNEBY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3542-2026</t>
        </is>
      </c>
      <c r="B947" s="1" t="n">
        <v>46042</v>
      </c>
      <c r="C947" s="1" t="n">
        <v>46196</v>
      </c>
      <c r="D947" t="inlineStr">
        <is>
          <t>BLEKINGE LÄN</t>
        </is>
      </c>
      <c r="E947" t="inlineStr">
        <is>
          <t>OLOFSTRÖM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3452-2026</t>
        </is>
      </c>
      <c r="B948" s="1" t="n">
        <v>46042</v>
      </c>
      <c r="C948" s="1" t="n">
        <v>46196</v>
      </c>
      <c r="D948" t="inlineStr">
        <is>
          <t>BLEKINGE LÄN</t>
        </is>
      </c>
      <c r="E948" t="inlineStr">
        <is>
          <t>KARLSKRONA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3455-2026</t>
        </is>
      </c>
      <c r="B949" s="1" t="n">
        <v>46042</v>
      </c>
      <c r="C949" s="1" t="n">
        <v>46196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3456-2026</t>
        </is>
      </c>
      <c r="B950" s="1" t="n">
        <v>46042</v>
      </c>
      <c r="C950" s="1" t="n">
        <v>46196</v>
      </c>
      <c r="D950" t="inlineStr">
        <is>
          <t>BLEKINGE LÄN</t>
        </is>
      </c>
      <c r="E950" t="inlineStr">
        <is>
          <t>RONNEBY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34247-2025</t>
        </is>
      </c>
      <c r="B951" s="1" t="n">
        <v>45845</v>
      </c>
      <c r="C951" s="1" t="n">
        <v>46196</v>
      </c>
      <c r="D951" t="inlineStr">
        <is>
          <t>BLEKINGE LÄN</t>
        </is>
      </c>
      <c r="E951" t="inlineStr">
        <is>
          <t>KARLSHAMN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10008-2025</t>
        </is>
      </c>
      <c r="B952" s="1" t="n">
        <v>45719</v>
      </c>
      <c r="C952" s="1" t="n">
        <v>46196</v>
      </c>
      <c r="D952" t="inlineStr">
        <is>
          <t>BLEKINGE LÄN</t>
        </is>
      </c>
      <c r="E952" t="inlineStr">
        <is>
          <t>KARLSHAMN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36724-2024</t>
        </is>
      </c>
      <c r="B953" s="1" t="n">
        <v>45537</v>
      </c>
      <c r="C953" s="1" t="n">
        <v>46196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33817-2025</t>
        </is>
      </c>
      <c r="B954" s="1" t="n">
        <v>45842</v>
      </c>
      <c r="C954" s="1" t="n">
        <v>46196</v>
      </c>
      <c r="D954" t="inlineStr">
        <is>
          <t>BLEKINGE LÄN</t>
        </is>
      </c>
      <c r="E954" t="inlineStr">
        <is>
          <t>SÖLVESBORG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27378-2025</t>
        </is>
      </c>
      <c r="B955" s="1" t="n">
        <v>45812</v>
      </c>
      <c r="C955" s="1" t="n">
        <v>46196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4329-2026</t>
        </is>
      </c>
      <c r="B956" s="1" t="n">
        <v>46045</v>
      </c>
      <c r="C956" s="1" t="n">
        <v>46196</v>
      </c>
      <c r="D956" t="inlineStr">
        <is>
          <t>BLEKINGE LÄN</t>
        </is>
      </c>
      <c r="E956" t="inlineStr">
        <is>
          <t>OLOFSTRÖM</t>
        </is>
      </c>
      <c r="F956" t="inlineStr">
        <is>
          <t>Kommuner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5882-2025</t>
        </is>
      </c>
      <c r="B957" s="1" t="n">
        <v>45695</v>
      </c>
      <c r="C957" s="1" t="n">
        <v>46196</v>
      </c>
      <c r="D957" t="inlineStr">
        <is>
          <t>BLEKINGE LÄN</t>
        </is>
      </c>
      <c r="E957" t="inlineStr">
        <is>
          <t>KARLSKRONA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34458-2025</t>
        </is>
      </c>
      <c r="B958" s="1" t="n">
        <v>45846</v>
      </c>
      <c r="C958" s="1" t="n">
        <v>46196</v>
      </c>
      <c r="D958" t="inlineStr">
        <is>
          <t>BLEKINGE LÄN</t>
        </is>
      </c>
      <c r="E958" t="inlineStr">
        <is>
          <t>KARLSHAMN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34423-2025</t>
        </is>
      </c>
      <c r="B959" s="1" t="n">
        <v>45846</v>
      </c>
      <c r="C959" s="1" t="n">
        <v>46196</v>
      </c>
      <c r="D959" t="inlineStr">
        <is>
          <t>BLEKINGE LÄN</t>
        </is>
      </c>
      <c r="E959" t="inlineStr">
        <is>
          <t>KARLSHAMN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34302-2025</t>
        </is>
      </c>
      <c r="B960" s="1" t="n">
        <v>45846</v>
      </c>
      <c r="C960" s="1" t="n">
        <v>46196</v>
      </c>
      <c r="D960" t="inlineStr">
        <is>
          <t>BLEKINGE LÄN</t>
        </is>
      </c>
      <c r="E960" t="inlineStr">
        <is>
          <t>RONNEBY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34307-2025</t>
        </is>
      </c>
      <c r="B961" s="1" t="n">
        <v>45846</v>
      </c>
      <c r="C961" s="1" t="n">
        <v>46196</v>
      </c>
      <c r="D961" t="inlineStr">
        <is>
          <t>BLEKINGE LÄN</t>
        </is>
      </c>
      <c r="E961" t="inlineStr">
        <is>
          <t>RONNEBY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37487-2024</t>
        </is>
      </c>
      <c r="B962" s="1" t="n">
        <v>45541</v>
      </c>
      <c r="C962" s="1" t="n">
        <v>46196</v>
      </c>
      <c r="D962" t="inlineStr">
        <is>
          <t>BLEKINGE LÄN</t>
        </is>
      </c>
      <c r="E962" t="inlineStr">
        <is>
          <t>KARLSKRONA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34554-2025</t>
        </is>
      </c>
      <c r="B963" s="1" t="n">
        <v>45847</v>
      </c>
      <c r="C963" s="1" t="n">
        <v>46196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6737-2026</t>
        </is>
      </c>
      <c r="B964" s="1" t="n">
        <v>46055</v>
      </c>
      <c r="C964" s="1" t="n">
        <v>46196</v>
      </c>
      <c r="D964" t="inlineStr">
        <is>
          <t>BLEKINGE LÄN</t>
        </is>
      </c>
      <c r="E964" t="inlineStr">
        <is>
          <t>KARLSKRONA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5132-2026</t>
        </is>
      </c>
      <c r="B965" s="1" t="n">
        <v>46049</v>
      </c>
      <c r="C965" s="1" t="n">
        <v>46196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49688-2025</t>
        </is>
      </c>
      <c r="B966" s="1" t="n">
        <v>45939</v>
      </c>
      <c r="C966" s="1" t="n">
        <v>46196</v>
      </c>
      <c r="D966" t="inlineStr">
        <is>
          <t>BLEKINGE LÄN</t>
        </is>
      </c>
      <c r="E966" t="inlineStr">
        <is>
          <t>SÖLVESBORG</t>
        </is>
      </c>
      <c r="G966" t="n">
        <v>16.1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5097-2026</t>
        </is>
      </c>
      <c r="B967" s="1" t="n">
        <v>46049</v>
      </c>
      <c r="C967" s="1" t="n">
        <v>46196</v>
      </c>
      <c r="D967" t="inlineStr">
        <is>
          <t>BLEKINGE LÄN</t>
        </is>
      </c>
      <c r="E967" t="inlineStr">
        <is>
          <t>RONNEBY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35081-2022</t>
        </is>
      </c>
      <c r="B968" s="1" t="n">
        <v>44797</v>
      </c>
      <c r="C968" s="1" t="n">
        <v>46196</v>
      </c>
      <c r="D968" t="inlineStr">
        <is>
          <t>BLEKINGE LÄN</t>
        </is>
      </c>
      <c r="E968" t="inlineStr">
        <is>
          <t>KARLSHAMN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34903-2025</t>
        </is>
      </c>
      <c r="B969" s="1" t="n">
        <v>45849</v>
      </c>
      <c r="C969" s="1" t="n">
        <v>46196</v>
      </c>
      <c r="D969" t="inlineStr">
        <is>
          <t>BLEKINGE LÄN</t>
        </is>
      </c>
      <c r="E969" t="inlineStr">
        <is>
          <t>OLOFSTRÖM</t>
        </is>
      </c>
      <c r="F969" t="inlineStr">
        <is>
          <t>Övriga Aktiebolag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33535-2025</t>
        </is>
      </c>
      <c r="B970" s="1" t="n">
        <v>45841</v>
      </c>
      <c r="C970" s="1" t="n">
        <v>46196</v>
      </c>
      <c r="D970" t="inlineStr">
        <is>
          <t>BLEKINGE LÄN</t>
        </is>
      </c>
      <c r="E970" t="inlineStr">
        <is>
          <t>RONNEBY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4518-2026</t>
        </is>
      </c>
      <c r="B971" s="1" t="n">
        <v>46046</v>
      </c>
      <c r="C971" s="1" t="n">
        <v>46196</v>
      </c>
      <c r="D971" t="inlineStr">
        <is>
          <t>BLEKINGE LÄN</t>
        </is>
      </c>
      <c r="E971" t="inlineStr">
        <is>
          <t>RONNEBY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34959-2025</t>
        </is>
      </c>
      <c r="B972" s="1" t="n">
        <v>45849</v>
      </c>
      <c r="C972" s="1" t="n">
        <v>46196</v>
      </c>
      <c r="D972" t="inlineStr">
        <is>
          <t>BLEKINGE LÄN</t>
        </is>
      </c>
      <c r="E972" t="inlineStr">
        <is>
          <t>KARLSHAMN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34967-2025</t>
        </is>
      </c>
      <c r="B973" s="1" t="n">
        <v>45849</v>
      </c>
      <c r="C973" s="1" t="n">
        <v>46196</v>
      </c>
      <c r="D973" t="inlineStr">
        <is>
          <t>BLEKINGE LÄN</t>
        </is>
      </c>
      <c r="E973" t="inlineStr">
        <is>
          <t>KARLSHAMN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44487-2023</t>
        </is>
      </c>
      <c r="B974" s="1" t="n">
        <v>45187</v>
      </c>
      <c r="C974" s="1" t="n">
        <v>46196</v>
      </c>
      <c r="D974" t="inlineStr">
        <is>
          <t>BLEKINGE LÄN</t>
        </is>
      </c>
      <c r="E974" t="inlineStr">
        <is>
          <t>KARLSHAMN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4835-2026</t>
        </is>
      </c>
      <c r="B975" s="1" t="n">
        <v>46048</v>
      </c>
      <c r="C975" s="1" t="n">
        <v>46196</v>
      </c>
      <c r="D975" t="inlineStr">
        <is>
          <t>BLEKINGE LÄN</t>
        </is>
      </c>
      <c r="E975" t="inlineStr">
        <is>
          <t>KARLSKRONA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4836-2026</t>
        </is>
      </c>
      <c r="B976" s="1" t="n">
        <v>46048</v>
      </c>
      <c r="C976" s="1" t="n">
        <v>46196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12180-2022</t>
        </is>
      </c>
      <c r="B977" s="1" t="n">
        <v>44636</v>
      </c>
      <c r="C977" s="1" t="n">
        <v>46196</v>
      </c>
      <c r="D977" t="inlineStr">
        <is>
          <t>BLEKINGE LÄN</t>
        </is>
      </c>
      <c r="E977" t="inlineStr">
        <is>
          <t>KARLSKRONA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4884-2026</t>
        </is>
      </c>
      <c r="B978" s="1" t="n">
        <v>46048</v>
      </c>
      <c r="C978" s="1" t="n">
        <v>46196</v>
      </c>
      <c r="D978" t="inlineStr">
        <is>
          <t>BLEKINGE LÄN</t>
        </is>
      </c>
      <c r="E978" t="inlineStr">
        <is>
          <t>RONNEBY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43444-2024</t>
        </is>
      </c>
      <c r="B979" s="1" t="n">
        <v>45568</v>
      </c>
      <c r="C979" s="1" t="n">
        <v>46196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5799-2026</t>
        </is>
      </c>
      <c r="B980" s="1" t="n">
        <v>46051</v>
      </c>
      <c r="C980" s="1" t="n">
        <v>46196</v>
      </c>
      <c r="D980" t="inlineStr">
        <is>
          <t>BLEKINGE LÄN</t>
        </is>
      </c>
      <c r="E980" t="inlineStr">
        <is>
          <t>KARLSKRONA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5445-2026</t>
        </is>
      </c>
      <c r="B981" s="1" t="n">
        <v>46050</v>
      </c>
      <c r="C981" s="1" t="n">
        <v>46196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5801-2026</t>
        </is>
      </c>
      <c r="B982" s="1" t="n">
        <v>46051</v>
      </c>
      <c r="C982" s="1" t="n">
        <v>46196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5465-2026</t>
        </is>
      </c>
      <c r="B983" s="1" t="n">
        <v>46050</v>
      </c>
      <c r="C983" s="1" t="n">
        <v>46196</v>
      </c>
      <c r="D983" t="inlineStr">
        <is>
          <t>BLEKINGE LÄN</t>
        </is>
      </c>
      <c r="E983" t="inlineStr">
        <is>
          <t>OLOFSTRÖM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35097-2025</t>
        </is>
      </c>
      <c r="B984" s="1" t="n">
        <v>45852</v>
      </c>
      <c r="C984" s="1" t="n">
        <v>46196</v>
      </c>
      <c r="D984" t="inlineStr">
        <is>
          <t>BLEKINGE LÄN</t>
        </is>
      </c>
      <c r="E984" t="inlineStr">
        <is>
          <t>OLOFSTRÖM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5802-2026</t>
        </is>
      </c>
      <c r="B985" s="1" t="n">
        <v>46051</v>
      </c>
      <c r="C985" s="1" t="n">
        <v>46196</v>
      </c>
      <c r="D985" t="inlineStr">
        <is>
          <t>BLEKINGE LÄN</t>
        </is>
      </c>
      <c r="E985" t="inlineStr">
        <is>
          <t>KARLSKRONA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35442-2025</t>
        </is>
      </c>
      <c r="B986" s="1" t="n">
        <v>45855</v>
      </c>
      <c r="C986" s="1" t="n">
        <v>46196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6102-2026</t>
        </is>
      </c>
      <c r="B987" s="1" t="n">
        <v>46052</v>
      </c>
      <c r="C987" s="1" t="n">
        <v>46196</v>
      </c>
      <c r="D987" t="inlineStr">
        <is>
          <t>BLEKINGE LÄN</t>
        </is>
      </c>
      <c r="E987" t="inlineStr">
        <is>
          <t>KARLSKRONA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5904-2026</t>
        </is>
      </c>
      <c r="B988" s="1" t="n">
        <v>46052</v>
      </c>
      <c r="C988" s="1" t="n">
        <v>46196</v>
      </c>
      <c r="D988" t="inlineStr">
        <is>
          <t>BLEKINGE LÄN</t>
        </is>
      </c>
      <c r="E988" t="inlineStr">
        <is>
          <t>RONNEBY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16275-2023</t>
        </is>
      </c>
      <c r="B989" s="1" t="n">
        <v>45028</v>
      </c>
      <c r="C989" s="1" t="n">
        <v>46196</v>
      </c>
      <c r="D989" t="inlineStr">
        <is>
          <t>BLEKINGE LÄN</t>
        </is>
      </c>
      <c r="E989" t="inlineStr">
        <is>
          <t>KARLSKRONA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16290-2023</t>
        </is>
      </c>
      <c r="B990" s="1" t="n">
        <v>45028</v>
      </c>
      <c r="C990" s="1" t="n">
        <v>46196</v>
      </c>
      <c r="D990" t="inlineStr">
        <is>
          <t>BLEKINGE LÄN</t>
        </is>
      </c>
      <c r="E990" t="inlineStr">
        <is>
          <t>KARLSKRONA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35580-2025</t>
        </is>
      </c>
      <c r="B991" s="1" t="n">
        <v>45856</v>
      </c>
      <c r="C991" s="1" t="n">
        <v>46196</v>
      </c>
      <c r="D991" t="inlineStr">
        <is>
          <t>BLEKINGE LÄN</t>
        </is>
      </c>
      <c r="E991" t="inlineStr">
        <is>
          <t>RONNEBY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5905-2026</t>
        </is>
      </c>
      <c r="B992" s="1" t="n">
        <v>46052</v>
      </c>
      <c r="C992" s="1" t="n">
        <v>46196</v>
      </c>
      <c r="D992" t="inlineStr">
        <is>
          <t>BLEKINGE LÄN</t>
        </is>
      </c>
      <c r="E992" t="inlineStr">
        <is>
          <t>RONNEBY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48751-2025</t>
        </is>
      </c>
      <c r="B993" s="1" t="n">
        <v>45936</v>
      </c>
      <c r="C993" s="1" t="n">
        <v>46196</v>
      </c>
      <c r="D993" t="inlineStr">
        <is>
          <t>BLEKINGE LÄN</t>
        </is>
      </c>
      <c r="E993" t="inlineStr">
        <is>
          <t>SÖLVESBORG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6222-2026</t>
        </is>
      </c>
      <c r="B994" s="1" t="n">
        <v>46055</v>
      </c>
      <c r="C994" s="1" t="n">
        <v>46196</v>
      </c>
      <c r="D994" t="inlineStr">
        <is>
          <t>BLEKINGE LÄN</t>
        </is>
      </c>
      <c r="E994" t="inlineStr">
        <is>
          <t>KARLSHAMN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14694-2023</t>
        </is>
      </c>
      <c r="B995" s="1" t="n">
        <v>45012</v>
      </c>
      <c r="C995" s="1" t="n">
        <v>46196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statliga verk och myndigheter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10735-2023</t>
        </is>
      </c>
      <c r="B996" s="1" t="n">
        <v>44988</v>
      </c>
      <c r="C996" s="1" t="n">
        <v>46196</v>
      </c>
      <c r="D996" t="inlineStr">
        <is>
          <t>BLEKINGE LÄN</t>
        </is>
      </c>
      <c r="E996" t="inlineStr">
        <is>
          <t>KARLSKRONA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3295-2022</t>
        </is>
      </c>
      <c r="B997" s="1" t="n">
        <v>44584</v>
      </c>
      <c r="C997" s="1" t="n">
        <v>46196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63571-2023</t>
        </is>
      </c>
      <c r="B998" s="1" t="n">
        <v>45275</v>
      </c>
      <c r="C998" s="1" t="n">
        <v>46196</v>
      </c>
      <c r="D998" t="inlineStr">
        <is>
          <t>BLEKINGE LÄN</t>
        </is>
      </c>
      <c r="E998" t="inlineStr">
        <is>
          <t>SÖLVESBORG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39404-2023</t>
        </is>
      </c>
      <c r="B999" s="1" t="n">
        <v>45166</v>
      </c>
      <c r="C999" s="1" t="n">
        <v>46196</v>
      </c>
      <c r="D999" t="inlineStr">
        <is>
          <t>BLEKINGE LÄN</t>
        </is>
      </c>
      <c r="E999" t="inlineStr">
        <is>
          <t>KARLSHAMN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40080-2023</t>
        </is>
      </c>
      <c r="B1000" s="1" t="n">
        <v>45168</v>
      </c>
      <c r="C1000" s="1" t="n">
        <v>46196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50831-2024</t>
        </is>
      </c>
      <c r="B1001" s="1" t="n">
        <v>45602</v>
      </c>
      <c r="C1001" s="1" t="n">
        <v>46196</v>
      </c>
      <c r="D1001" t="inlineStr">
        <is>
          <t>BLEKINGE LÄN</t>
        </is>
      </c>
      <c r="E1001" t="inlineStr">
        <is>
          <t>KARLSKRONA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50846-2024</t>
        </is>
      </c>
      <c r="B1002" s="1" t="n">
        <v>45602</v>
      </c>
      <c r="C1002" s="1" t="n">
        <v>46196</v>
      </c>
      <c r="D1002" t="inlineStr">
        <is>
          <t>BLEKINGE LÄN</t>
        </is>
      </c>
      <c r="E1002" t="inlineStr">
        <is>
          <t>KARLSKRONA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13411-2025</t>
        </is>
      </c>
      <c r="B1003" s="1" t="n">
        <v>45735</v>
      </c>
      <c r="C1003" s="1" t="n">
        <v>46196</v>
      </c>
      <c r="D1003" t="inlineStr">
        <is>
          <t>BLEKINGE LÄN</t>
        </is>
      </c>
      <c r="E1003" t="inlineStr">
        <is>
          <t>KARLSKRONA</t>
        </is>
      </c>
      <c r="G1003" t="n">
        <v>11.8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4687-2022</t>
        </is>
      </c>
      <c r="B1004" s="1" t="n">
        <v>44592</v>
      </c>
      <c r="C1004" s="1" t="n">
        <v>46196</v>
      </c>
      <c r="D1004" t="inlineStr">
        <is>
          <t>BLEKINGE LÄN</t>
        </is>
      </c>
      <c r="E1004" t="inlineStr">
        <is>
          <t>KARLSKRONA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49719-2023</t>
        </is>
      </c>
      <c r="B1005" s="1" t="n">
        <v>45212</v>
      </c>
      <c r="C1005" s="1" t="n">
        <v>46196</v>
      </c>
      <c r="D1005" t="inlineStr">
        <is>
          <t>BLEKINGE LÄN</t>
        </is>
      </c>
      <c r="E1005" t="inlineStr">
        <is>
          <t>KARLSHAMN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22643-2025</t>
        </is>
      </c>
      <c r="B1006" s="1" t="n">
        <v>45789</v>
      </c>
      <c r="C1006" s="1" t="n">
        <v>46196</v>
      </c>
      <c r="D1006" t="inlineStr">
        <is>
          <t>BLEKINGE LÄN</t>
        </is>
      </c>
      <c r="E1006" t="inlineStr">
        <is>
          <t>KARLSKRONA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20064-2025</t>
        </is>
      </c>
      <c r="B1007" s="1" t="n">
        <v>45772</v>
      </c>
      <c r="C1007" s="1" t="n">
        <v>46196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35589-2023</t>
        </is>
      </c>
      <c r="B1008" s="1" t="n">
        <v>45147</v>
      </c>
      <c r="C1008" s="1" t="n">
        <v>46196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16897-2023</t>
        </is>
      </c>
      <c r="B1009" s="1" t="n">
        <v>45028</v>
      </c>
      <c r="C1009" s="1" t="n">
        <v>46196</v>
      </c>
      <c r="D1009" t="inlineStr">
        <is>
          <t>BLEKINGE LÄN</t>
        </is>
      </c>
      <c r="E1009" t="inlineStr">
        <is>
          <t>KARLSHAMN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13867-2025</t>
        </is>
      </c>
      <c r="B1010" s="1" t="n">
        <v>45737</v>
      </c>
      <c r="C1010" s="1" t="n">
        <v>46196</v>
      </c>
      <c r="D1010" t="inlineStr">
        <is>
          <t>BLEKINGE LÄN</t>
        </is>
      </c>
      <c r="E1010" t="inlineStr">
        <is>
          <t>KARLSHAMN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36427-2025</t>
        </is>
      </c>
      <c r="B1011" s="1" t="n">
        <v>45868</v>
      </c>
      <c r="C1011" s="1" t="n">
        <v>46196</v>
      </c>
      <c r="D1011" t="inlineStr">
        <is>
          <t>BLEKINGE LÄN</t>
        </is>
      </c>
      <c r="E1011" t="inlineStr">
        <is>
          <t>OLOFSTRÖM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53817-2022</t>
        </is>
      </c>
      <c r="B1012" s="1" t="n">
        <v>44880</v>
      </c>
      <c r="C1012" s="1" t="n">
        <v>46196</v>
      </c>
      <c r="D1012" t="inlineStr">
        <is>
          <t>BLEKINGE LÄN</t>
        </is>
      </c>
      <c r="E1012" t="inlineStr">
        <is>
          <t>RONNEBY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6881-2026</t>
        </is>
      </c>
      <c r="B1013" s="1" t="n">
        <v>46057</v>
      </c>
      <c r="C1013" s="1" t="n">
        <v>46196</v>
      </c>
      <c r="D1013" t="inlineStr">
        <is>
          <t>BLEKINGE LÄN</t>
        </is>
      </c>
      <c r="E1013" t="inlineStr">
        <is>
          <t>KARLSHAMN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16060-2025</t>
        </is>
      </c>
      <c r="B1014" s="1" t="n">
        <v>45749</v>
      </c>
      <c r="C1014" s="1" t="n">
        <v>46196</v>
      </c>
      <c r="D1014" t="inlineStr">
        <is>
          <t>BLEKINGE LÄN</t>
        </is>
      </c>
      <c r="E1014" t="inlineStr">
        <is>
          <t>KARLSKRONA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36765-2025</t>
        </is>
      </c>
      <c r="B1015" s="1" t="n">
        <v>45873</v>
      </c>
      <c r="C1015" s="1" t="n">
        <v>46196</v>
      </c>
      <c r="D1015" t="inlineStr">
        <is>
          <t>BLEKINGE LÄN</t>
        </is>
      </c>
      <c r="E1015" t="inlineStr">
        <is>
          <t>KARLSKRONA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33715-2025</t>
        </is>
      </c>
      <c r="B1016" s="1" t="n">
        <v>45841</v>
      </c>
      <c r="C1016" s="1" t="n">
        <v>46196</v>
      </c>
      <c r="D1016" t="inlineStr">
        <is>
          <t>BLEKINGE LÄN</t>
        </is>
      </c>
      <c r="E1016" t="inlineStr">
        <is>
          <t>KARLSHAMN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33625-2023</t>
        </is>
      </c>
      <c r="B1017" s="1" t="n">
        <v>45119</v>
      </c>
      <c r="C1017" s="1" t="n">
        <v>46196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1183-2025</t>
        </is>
      </c>
      <c r="B1018" s="1" t="n">
        <v>45653</v>
      </c>
      <c r="C1018" s="1" t="n">
        <v>46196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37196-2025</t>
        </is>
      </c>
      <c r="B1019" s="1" t="n">
        <v>45875</v>
      </c>
      <c r="C1019" s="1" t="n">
        <v>46196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37024-2025</t>
        </is>
      </c>
      <c r="B1020" s="1" t="n">
        <v>45874</v>
      </c>
      <c r="C1020" s="1" t="n">
        <v>46196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35073-2025</t>
        </is>
      </c>
      <c r="B1021" s="1" t="n">
        <v>45852</v>
      </c>
      <c r="C1021" s="1" t="n">
        <v>46196</v>
      </c>
      <c r="D1021" t="inlineStr">
        <is>
          <t>BLEKINGE LÄN</t>
        </is>
      </c>
      <c r="E1021" t="inlineStr">
        <is>
          <t>RONNEBY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37179-2025</t>
        </is>
      </c>
      <c r="B1022" s="1" t="n">
        <v>45875</v>
      </c>
      <c r="C1022" s="1" t="n">
        <v>46196</v>
      </c>
      <c r="D1022" t="inlineStr">
        <is>
          <t>BLEKINGE LÄN</t>
        </is>
      </c>
      <c r="E1022" t="inlineStr">
        <is>
          <t>KARLSKRONA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10226-2024</t>
        </is>
      </c>
      <c r="B1023" s="1" t="n">
        <v>45365</v>
      </c>
      <c r="C1023" s="1" t="n">
        <v>46196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6602-2026</t>
        </is>
      </c>
      <c r="B1024" s="1" t="n">
        <v>46056</v>
      </c>
      <c r="C1024" s="1" t="n">
        <v>46196</v>
      </c>
      <c r="D1024" t="inlineStr">
        <is>
          <t>BLEKINGE LÄN</t>
        </is>
      </c>
      <c r="E1024" t="inlineStr">
        <is>
          <t>KARLSKRONA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6748-2026</t>
        </is>
      </c>
      <c r="B1025" s="1" t="n">
        <v>46056</v>
      </c>
      <c r="C1025" s="1" t="n">
        <v>46196</v>
      </c>
      <c r="D1025" t="inlineStr">
        <is>
          <t>BLEKINGE LÄN</t>
        </is>
      </c>
      <c r="E1025" t="inlineStr">
        <is>
          <t>OLOFSTRÖM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7465-2023</t>
        </is>
      </c>
      <c r="B1026" s="1" t="n">
        <v>44971</v>
      </c>
      <c r="C1026" s="1" t="n">
        <v>46196</v>
      </c>
      <c r="D1026" t="inlineStr">
        <is>
          <t>BLEKINGE LÄN</t>
        </is>
      </c>
      <c r="E1026" t="inlineStr">
        <is>
          <t>OLOFSTRÖM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7163-2026</t>
        </is>
      </c>
      <c r="B1027" s="1" t="n">
        <v>46058</v>
      </c>
      <c r="C1027" s="1" t="n">
        <v>46196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7194-2026</t>
        </is>
      </c>
      <c r="B1028" s="1" t="n">
        <v>46058</v>
      </c>
      <c r="C1028" s="1" t="n">
        <v>46196</v>
      </c>
      <c r="D1028" t="inlineStr">
        <is>
          <t>BLEKINGE LÄN</t>
        </is>
      </c>
      <c r="E1028" t="inlineStr">
        <is>
          <t>KARLSKRONA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7508-2026</t>
        </is>
      </c>
      <c r="B1029" s="1" t="n">
        <v>46059</v>
      </c>
      <c r="C1029" s="1" t="n">
        <v>46196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7516-2026</t>
        </is>
      </c>
      <c r="B1030" s="1" t="n">
        <v>46059</v>
      </c>
      <c r="C1030" s="1" t="n">
        <v>46196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36576-2024</t>
        </is>
      </c>
      <c r="B1031" s="1" t="n">
        <v>45537</v>
      </c>
      <c r="C1031" s="1" t="n">
        <v>46196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7416-2026</t>
        </is>
      </c>
      <c r="B1032" s="1" t="n">
        <v>46059</v>
      </c>
      <c r="C1032" s="1" t="n">
        <v>46196</v>
      </c>
      <c r="D1032" t="inlineStr">
        <is>
          <t>BLEKINGE LÄN</t>
        </is>
      </c>
      <c r="E1032" t="inlineStr">
        <is>
          <t>OLOFSTRÖM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40300-2022</t>
        </is>
      </c>
      <c r="B1033" s="1" t="n">
        <v>44822</v>
      </c>
      <c r="C1033" s="1" t="n">
        <v>46196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9959-2025</t>
        </is>
      </c>
      <c r="B1034" s="1" t="n">
        <v>45719</v>
      </c>
      <c r="C1034" s="1" t="n">
        <v>46196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56506-2021</t>
        </is>
      </c>
      <c r="B1035" s="1" t="n">
        <v>44480</v>
      </c>
      <c r="C1035" s="1" t="n">
        <v>46196</v>
      </c>
      <c r="D1035" t="inlineStr">
        <is>
          <t>BLEKINGE LÄN</t>
        </is>
      </c>
      <c r="E1035" t="inlineStr">
        <is>
          <t>KARLSHAMN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38973-2024</t>
        </is>
      </c>
      <c r="B1036" s="1" t="n">
        <v>45548</v>
      </c>
      <c r="C1036" s="1" t="n">
        <v>46196</v>
      </c>
      <c r="D1036" t="inlineStr">
        <is>
          <t>BLEKINGE LÄN</t>
        </is>
      </c>
      <c r="E1036" t="inlineStr">
        <is>
          <t>OLOFSTRÖM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64820-2021</t>
        </is>
      </c>
      <c r="B1037" s="1" t="n">
        <v>44512</v>
      </c>
      <c r="C1037" s="1" t="n">
        <v>46196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24951-2023</t>
        </is>
      </c>
      <c r="B1038" s="1" t="n">
        <v>45085</v>
      </c>
      <c r="C1038" s="1" t="n">
        <v>46196</v>
      </c>
      <c r="D1038" t="inlineStr">
        <is>
          <t>BLEKINGE LÄN</t>
        </is>
      </c>
      <c r="E1038" t="inlineStr">
        <is>
          <t>KARLSKRONA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21880-2024</t>
        </is>
      </c>
      <c r="B1039" s="1" t="n">
        <v>45443</v>
      </c>
      <c r="C1039" s="1" t="n">
        <v>46196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42004-2023</t>
        </is>
      </c>
      <c r="B1040" s="1" t="n">
        <v>45177</v>
      </c>
      <c r="C1040" s="1" t="n">
        <v>46196</v>
      </c>
      <c r="D1040" t="inlineStr">
        <is>
          <t>BLEKINGE LÄN</t>
        </is>
      </c>
      <c r="E1040" t="inlineStr">
        <is>
          <t>OLOFSTRÖM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17612-2024</t>
        </is>
      </c>
      <c r="B1041" s="1" t="n">
        <v>45416</v>
      </c>
      <c r="C1041" s="1" t="n">
        <v>46196</v>
      </c>
      <c r="D1041" t="inlineStr">
        <is>
          <t>BLEKINGE LÄN</t>
        </is>
      </c>
      <c r="E1041" t="inlineStr">
        <is>
          <t>SÖLVESBORG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13847-2022</t>
        </is>
      </c>
      <c r="B1042" s="1" t="n">
        <v>44649</v>
      </c>
      <c r="C1042" s="1" t="n">
        <v>46196</v>
      </c>
      <c r="D1042" t="inlineStr">
        <is>
          <t>BLEKINGE LÄN</t>
        </is>
      </c>
      <c r="E1042" t="inlineStr">
        <is>
          <t>KARLSHAMN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18746-2024</t>
        </is>
      </c>
      <c r="B1043" s="1" t="n">
        <v>45426</v>
      </c>
      <c r="C1043" s="1" t="n">
        <v>46196</v>
      </c>
      <c r="D1043" t="inlineStr">
        <is>
          <t>BLEKINGE LÄN</t>
        </is>
      </c>
      <c r="E1043" t="inlineStr">
        <is>
          <t>RONNEBY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7134-2023</t>
        </is>
      </c>
      <c r="B1044" s="1" t="n">
        <v>44970</v>
      </c>
      <c r="C1044" s="1" t="n">
        <v>46196</v>
      </c>
      <c r="D1044" t="inlineStr">
        <is>
          <t>BLEKINGE LÄN</t>
        </is>
      </c>
      <c r="E1044" t="inlineStr">
        <is>
          <t>SÖLVESBORG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38930-2021</t>
        </is>
      </c>
      <c r="B1045" s="1" t="n">
        <v>44410</v>
      </c>
      <c r="C1045" s="1" t="n">
        <v>46196</v>
      </c>
      <c r="D1045" t="inlineStr">
        <is>
          <t>BLEKINGE LÄN</t>
        </is>
      </c>
      <c r="E1045" t="inlineStr">
        <is>
          <t>KARLSHAMN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3820-2022</t>
        </is>
      </c>
      <c r="B1046" s="1" t="n">
        <v>44586</v>
      </c>
      <c r="C1046" s="1" t="n">
        <v>46196</v>
      </c>
      <c r="D1046" t="inlineStr">
        <is>
          <t>BLEKINGE LÄN</t>
        </is>
      </c>
      <c r="E1046" t="inlineStr">
        <is>
          <t>KARLSHAMN</t>
        </is>
      </c>
      <c r="G1046" t="n">
        <v>12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61962-2023</t>
        </is>
      </c>
      <c r="B1047" s="1" t="n">
        <v>45266</v>
      </c>
      <c r="C1047" s="1" t="n">
        <v>46196</v>
      </c>
      <c r="D1047" t="inlineStr">
        <is>
          <t>BLEKINGE LÄN</t>
        </is>
      </c>
      <c r="E1047" t="inlineStr">
        <is>
          <t>KARLSHAMN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27749-2024</t>
        </is>
      </c>
      <c r="B1048" s="1" t="n">
        <v>45475</v>
      </c>
      <c r="C1048" s="1" t="n">
        <v>46196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7557-2026</t>
        </is>
      </c>
      <c r="B1049" s="1" t="n">
        <v>46059</v>
      </c>
      <c r="C1049" s="1" t="n">
        <v>46196</v>
      </c>
      <c r="D1049" t="inlineStr">
        <is>
          <t>BLEKINGE LÄN</t>
        </is>
      </c>
      <c r="E1049" t="inlineStr">
        <is>
          <t>KARLSKRONA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12944-2023</t>
        </is>
      </c>
      <c r="B1050" s="1" t="n">
        <v>45001</v>
      </c>
      <c r="C1050" s="1" t="n">
        <v>46196</v>
      </c>
      <c r="D1050" t="inlineStr">
        <is>
          <t>BLEKINGE LÄN</t>
        </is>
      </c>
      <c r="E1050" t="inlineStr">
        <is>
          <t>KARLSKRONA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8428-2026</t>
        </is>
      </c>
      <c r="B1051" s="1" t="n">
        <v>46065</v>
      </c>
      <c r="C1051" s="1" t="n">
        <v>46196</v>
      </c>
      <c r="D1051" t="inlineStr">
        <is>
          <t>BLEKINGE LÄN</t>
        </is>
      </c>
      <c r="E1051" t="inlineStr">
        <is>
          <t>OLOFSTRÖM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38344-2025</t>
        </is>
      </c>
      <c r="B1052" s="1" t="n">
        <v>45883</v>
      </c>
      <c r="C1052" s="1" t="n">
        <v>46196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38342-2025</t>
        </is>
      </c>
      <c r="B1053" s="1" t="n">
        <v>45883</v>
      </c>
      <c r="C1053" s="1" t="n">
        <v>46196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7810-2026</t>
        </is>
      </c>
      <c r="B1054" s="1" t="n">
        <v>46059</v>
      </c>
      <c r="C1054" s="1" t="n">
        <v>46196</v>
      </c>
      <c r="D1054" t="inlineStr">
        <is>
          <t>BLEKINGE LÄN</t>
        </is>
      </c>
      <c r="E1054" t="inlineStr">
        <is>
          <t>OLOFSTRÖM</t>
        </is>
      </c>
      <c r="G1054" t="n">
        <v>16.2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7757-2026</t>
        </is>
      </c>
      <c r="B1055" s="1" t="n">
        <v>46059</v>
      </c>
      <c r="C1055" s="1" t="n">
        <v>46196</v>
      </c>
      <c r="D1055" t="inlineStr">
        <is>
          <t>BLEKINGE LÄN</t>
        </is>
      </c>
      <c r="E1055" t="inlineStr">
        <is>
          <t>OLOFSTRÖM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38406-2025</t>
        </is>
      </c>
      <c r="B1056" s="1" t="n">
        <v>45883</v>
      </c>
      <c r="C1056" s="1" t="n">
        <v>46196</v>
      </c>
      <c r="D1056" t="inlineStr">
        <is>
          <t>BLEKINGE LÄN</t>
        </is>
      </c>
      <c r="E1056" t="inlineStr">
        <is>
          <t>SÖLVESBORG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9029-2026</t>
        </is>
      </c>
      <c r="B1057" s="1" t="n">
        <v>46069</v>
      </c>
      <c r="C1057" s="1" t="n">
        <v>46196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9637-2025</t>
        </is>
      </c>
      <c r="B1058" s="1" t="n">
        <v>45715</v>
      </c>
      <c r="C1058" s="1" t="n">
        <v>46196</v>
      </c>
      <c r="D1058" t="inlineStr">
        <is>
          <t>BLEKINGE LÄN</t>
        </is>
      </c>
      <c r="E1058" t="inlineStr">
        <is>
          <t>RONNEBY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8747-2026</t>
        </is>
      </c>
      <c r="B1059" s="1" t="n">
        <v>46066</v>
      </c>
      <c r="C1059" s="1" t="n">
        <v>46196</v>
      </c>
      <c r="D1059" t="inlineStr">
        <is>
          <t>BLEKINGE LÄN</t>
        </is>
      </c>
      <c r="E1059" t="inlineStr">
        <is>
          <t>RONNEBY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8847-2026</t>
        </is>
      </c>
      <c r="B1060" s="1" t="n">
        <v>46066</v>
      </c>
      <c r="C1060" s="1" t="n">
        <v>46196</v>
      </c>
      <c r="D1060" t="inlineStr">
        <is>
          <t>BLEKINGE LÄN</t>
        </is>
      </c>
      <c r="E1060" t="inlineStr">
        <is>
          <t>KARLSKRONA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58920-2025</t>
        </is>
      </c>
      <c r="B1061" s="1" t="n">
        <v>45987</v>
      </c>
      <c r="C1061" s="1" t="n">
        <v>46196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33716-2025</t>
        </is>
      </c>
      <c r="B1062" s="1" t="n">
        <v>45841</v>
      </c>
      <c r="C1062" s="1" t="n">
        <v>46196</v>
      </c>
      <c r="D1062" t="inlineStr">
        <is>
          <t>BLEKINGE LÄN</t>
        </is>
      </c>
      <c r="E1062" t="inlineStr">
        <is>
          <t>KARLSHAMN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9096-2026</t>
        </is>
      </c>
      <c r="B1063" s="1" t="n">
        <v>46069</v>
      </c>
      <c r="C1063" s="1" t="n">
        <v>46196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9291-2026</t>
        </is>
      </c>
      <c r="B1064" s="1" t="n">
        <v>46070</v>
      </c>
      <c r="C1064" s="1" t="n">
        <v>46196</v>
      </c>
      <c r="D1064" t="inlineStr">
        <is>
          <t>BLEKINGE LÄN</t>
        </is>
      </c>
      <c r="E1064" t="inlineStr">
        <is>
          <t>OLOFSTRÖM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9448-2026</t>
        </is>
      </c>
      <c r="B1065" s="1" t="n">
        <v>46071</v>
      </c>
      <c r="C1065" s="1" t="n">
        <v>46196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9279-2026</t>
        </is>
      </c>
      <c r="B1066" s="1" t="n">
        <v>46070</v>
      </c>
      <c r="C1066" s="1" t="n">
        <v>46196</v>
      </c>
      <c r="D1066" t="inlineStr">
        <is>
          <t>BLEKINGE LÄN</t>
        </is>
      </c>
      <c r="E1066" t="inlineStr">
        <is>
          <t>OLOFSTRÖM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9379-2026</t>
        </is>
      </c>
      <c r="B1067" s="1" t="n">
        <v>46070</v>
      </c>
      <c r="C1067" s="1" t="n">
        <v>46196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63899-2023</t>
        </is>
      </c>
      <c r="B1068" s="1" t="n">
        <v>45278</v>
      </c>
      <c r="C1068" s="1" t="n">
        <v>46196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9309-2026</t>
        </is>
      </c>
      <c r="B1069" s="1" t="n">
        <v>46070</v>
      </c>
      <c r="C1069" s="1" t="n">
        <v>46196</v>
      </c>
      <c r="D1069" t="inlineStr">
        <is>
          <t>BLEKINGE LÄN</t>
        </is>
      </c>
      <c r="E1069" t="inlineStr">
        <is>
          <t>OLOFSTRÖM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9452-2026</t>
        </is>
      </c>
      <c r="B1070" s="1" t="n">
        <v>46071</v>
      </c>
      <c r="C1070" s="1" t="n">
        <v>46196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16316-2026</t>
        </is>
      </c>
      <c r="B1071" s="1" t="n">
        <v>46111</v>
      </c>
      <c r="C1071" s="1" t="n">
        <v>46196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9995-2026</t>
        </is>
      </c>
      <c r="B1072" s="1" t="n">
        <v>46073</v>
      </c>
      <c r="C1072" s="1" t="n">
        <v>46196</v>
      </c>
      <c r="D1072" t="inlineStr">
        <is>
          <t>BLEKINGE LÄN</t>
        </is>
      </c>
      <c r="E1072" t="inlineStr">
        <is>
          <t>RONNEBY</t>
        </is>
      </c>
      <c r="F1072" t="inlineStr">
        <is>
          <t>Kyrkan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49704-2021</t>
        </is>
      </c>
      <c r="B1073" s="1" t="n">
        <v>44455</v>
      </c>
      <c r="C1073" s="1" t="n">
        <v>46196</v>
      </c>
      <c r="D1073" t="inlineStr">
        <is>
          <t>BLEKINGE LÄN</t>
        </is>
      </c>
      <c r="E1073" t="inlineStr">
        <is>
          <t>OLOFSTRÖM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10002-2026</t>
        </is>
      </c>
      <c r="B1074" s="1" t="n">
        <v>46073</v>
      </c>
      <c r="C1074" s="1" t="n">
        <v>46196</v>
      </c>
      <c r="D1074" t="inlineStr">
        <is>
          <t>BLEKINGE LÄN</t>
        </is>
      </c>
      <c r="E1074" t="inlineStr">
        <is>
          <t>RONNEBY</t>
        </is>
      </c>
      <c r="F1074" t="inlineStr">
        <is>
          <t>Kyrkan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14136-2025</t>
        </is>
      </c>
      <c r="B1075" s="1" t="n">
        <v>45738</v>
      </c>
      <c r="C1075" s="1" t="n">
        <v>46196</v>
      </c>
      <c r="D1075" t="inlineStr">
        <is>
          <t>BLEKINGE LÄN</t>
        </is>
      </c>
      <c r="E1075" t="inlineStr">
        <is>
          <t>SÖLVESBORG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16077-2025</t>
        </is>
      </c>
      <c r="B1076" s="1" t="n">
        <v>45749</v>
      </c>
      <c r="C1076" s="1" t="n">
        <v>46196</v>
      </c>
      <c r="D1076" t="inlineStr">
        <is>
          <t>BLEKINGE LÄN</t>
        </is>
      </c>
      <c r="E1076" t="inlineStr">
        <is>
          <t>KARLSKRONA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10807-2026</t>
        </is>
      </c>
      <c r="B1077" s="1" t="n">
        <v>46078</v>
      </c>
      <c r="C1077" s="1" t="n">
        <v>46196</v>
      </c>
      <c r="D1077" t="inlineStr">
        <is>
          <t>BLEKINGE LÄN</t>
        </is>
      </c>
      <c r="E1077" t="inlineStr">
        <is>
          <t>RONNEBY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10812-2026</t>
        </is>
      </c>
      <c r="B1078" s="1" t="n">
        <v>46078</v>
      </c>
      <c r="C1078" s="1" t="n">
        <v>46196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44871-2023</t>
        </is>
      </c>
      <c r="B1079" s="1" t="n">
        <v>45190</v>
      </c>
      <c r="C1079" s="1" t="n">
        <v>46196</v>
      </c>
      <c r="D1079" t="inlineStr">
        <is>
          <t>BLEKINGE LÄN</t>
        </is>
      </c>
      <c r="E1079" t="inlineStr">
        <is>
          <t>SÖLVESBORG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3928-2022</t>
        </is>
      </c>
      <c r="B1080" s="1" t="n">
        <v>44587</v>
      </c>
      <c r="C1080" s="1" t="n">
        <v>46196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10701-2026</t>
        </is>
      </c>
      <c r="B1081" s="1" t="n">
        <v>46078</v>
      </c>
      <c r="C1081" s="1" t="n">
        <v>46196</v>
      </c>
      <c r="D1081" t="inlineStr">
        <is>
          <t>BLEKINGE LÄN</t>
        </is>
      </c>
      <c r="E1081" t="inlineStr">
        <is>
          <t>OLOFSTRÖM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10567-2026</t>
        </is>
      </c>
      <c r="B1082" s="1" t="n">
        <v>46077</v>
      </c>
      <c r="C1082" s="1" t="n">
        <v>46196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10813-2026</t>
        </is>
      </c>
      <c r="B1083" s="1" t="n">
        <v>46078</v>
      </c>
      <c r="C1083" s="1" t="n">
        <v>46196</v>
      </c>
      <c r="D1083" t="inlineStr">
        <is>
          <t>BLEKINGE LÄN</t>
        </is>
      </c>
      <c r="E1083" t="inlineStr">
        <is>
          <t>RONNEBY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39992-2024</t>
        </is>
      </c>
      <c r="B1084" s="1" t="n">
        <v>45553</v>
      </c>
      <c r="C1084" s="1" t="n">
        <v>46196</v>
      </c>
      <c r="D1084" t="inlineStr">
        <is>
          <t>BLEKINGE LÄN</t>
        </is>
      </c>
      <c r="E1084" t="inlineStr">
        <is>
          <t>KARLSKRONA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10803-2026</t>
        </is>
      </c>
      <c r="B1085" s="1" t="n">
        <v>46078</v>
      </c>
      <c r="C1085" s="1" t="n">
        <v>46196</v>
      </c>
      <c r="D1085" t="inlineStr">
        <is>
          <t>BLEKINGE LÄN</t>
        </is>
      </c>
      <c r="E1085" t="inlineStr">
        <is>
          <t>RONNEBY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10804-2026</t>
        </is>
      </c>
      <c r="B1086" s="1" t="n">
        <v>46078</v>
      </c>
      <c r="C1086" s="1" t="n">
        <v>46196</v>
      </c>
      <c r="D1086" t="inlineStr">
        <is>
          <t>BLEKINGE LÄN</t>
        </is>
      </c>
      <c r="E1086" t="inlineStr">
        <is>
          <t>RONNEBY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25011-2024</t>
        </is>
      </c>
      <c r="B1087" s="1" t="n">
        <v>45461</v>
      </c>
      <c r="C1087" s="1" t="n">
        <v>46196</v>
      </c>
      <c r="D1087" t="inlineStr">
        <is>
          <t>BLEKINGE LÄN</t>
        </is>
      </c>
      <c r="E1087" t="inlineStr">
        <is>
          <t>KARLSHAMN</t>
        </is>
      </c>
      <c r="F1087" t="inlineStr">
        <is>
          <t>Övriga Aktiebolag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10621-2026</t>
        </is>
      </c>
      <c r="B1088" s="1" t="n">
        <v>46077</v>
      </c>
      <c r="C1088" s="1" t="n">
        <v>46196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52951-2024</t>
        </is>
      </c>
      <c r="B1089" s="1" t="n">
        <v>45610</v>
      </c>
      <c r="C1089" s="1" t="n">
        <v>46196</v>
      </c>
      <c r="D1089" t="inlineStr">
        <is>
          <t>BLEKINGE LÄN</t>
        </is>
      </c>
      <c r="E1089" t="inlineStr">
        <is>
          <t>KARLSKRONA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14644-2025</t>
        </is>
      </c>
      <c r="B1090" s="1" t="n">
        <v>45742</v>
      </c>
      <c r="C1090" s="1" t="n">
        <v>46196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11067-2026</t>
        </is>
      </c>
      <c r="B1091" s="1" t="n">
        <v>46079</v>
      </c>
      <c r="C1091" s="1" t="n">
        <v>46196</v>
      </c>
      <c r="D1091" t="inlineStr">
        <is>
          <t>BLEKINGE LÄN</t>
        </is>
      </c>
      <c r="E1091" t="inlineStr">
        <is>
          <t>RONNEBY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11106-2026</t>
        </is>
      </c>
      <c r="B1092" s="1" t="n">
        <v>46079</v>
      </c>
      <c r="C1092" s="1" t="n">
        <v>46196</v>
      </c>
      <c r="D1092" t="inlineStr">
        <is>
          <t>BLEKINGE LÄN</t>
        </is>
      </c>
      <c r="E1092" t="inlineStr">
        <is>
          <t>RONNEBY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11112-2026</t>
        </is>
      </c>
      <c r="B1093" s="1" t="n">
        <v>46079</v>
      </c>
      <c r="C1093" s="1" t="n">
        <v>46196</v>
      </c>
      <c r="D1093" t="inlineStr">
        <is>
          <t>BLEKINGE LÄN</t>
        </is>
      </c>
      <c r="E1093" t="inlineStr">
        <is>
          <t>RONNEBY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11104-2026</t>
        </is>
      </c>
      <c r="B1094" s="1" t="n">
        <v>46079</v>
      </c>
      <c r="C1094" s="1" t="n">
        <v>46196</v>
      </c>
      <c r="D1094" t="inlineStr">
        <is>
          <t>BLEKINGE LÄN</t>
        </is>
      </c>
      <c r="E1094" t="inlineStr">
        <is>
          <t>RONNEBY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21111-2024</t>
        </is>
      </c>
      <c r="B1095" s="1" t="n">
        <v>45440</v>
      </c>
      <c r="C1095" s="1" t="n">
        <v>46196</v>
      </c>
      <c r="D1095" t="inlineStr">
        <is>
          <t>BLEKINGE LÄN</t>
        </is>
      </c>
      <c r="E1095" t="inlineStr">
        <is>
          <t>RONNEBY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52086-2023</t>
        </is>
      </c>
      <c r="B1096" s="1" t="n">
        <v>45216</v>
      </c>
      <c r="C1096" s="1" t="n">
        <v>46196</v>
      </c>
      <c r="D1096" t="inlineStr">
        <is>
          <t>BLEKINGE LÄN</t>
        </is>
      </c>
      <c r="E1096" t="inlineStr">
        <is>
          <t>SÖLVESBORG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22906-2024</t>
        </is>
      </c>
      <c r="B1097" s="1" t="n">
        <v>45448</v>
      </c>
      <c r="C1097" s="1" t="n">
        <v>46196</v>
      </c>
      <c r="D1097" t="inlineStr">
        <is>
          <t>BLEKINGE LÄN</t>
        </is>
      </c>
      <c r="E1097" t="inlineStr">
        <is>
          <t>SÖLVESBORG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46584-2024</t>
        </is>
      </c>
      <c r="B1098" s="1" t="n">
        <v>45582</v>
      </c>
      <c r="C1098" s="1" t="n">
        <v>46196</v>
      </c>
      <c r="D1098" t="inlineStr">
        <is>
          <t>BLEKINGE LÄN</t>
        </is>
      </c>
      <c r="E1098" t="inlineStr">
        <is>
          <t>OLOFSTRÖM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22147-2023</t>
        </is>
      </c>
      <c r="B1099" s="1" t="n">
        <v>45069</v>
      </c>
      <c r="C1099" s="1" t="n">
        <v>46196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19544-2024</t>
        </is>
      </c>
      <c r="B1100" s="1" t="n">
        <v>45429</v>
      </c>
      <c r="C1100" s="1" t="n">
        <v>46196</v>
      </c>
      <c r="D1100" t="inlineStr">
        <is>
          <t>BLEKINGE LÄN</t>
        </is>
      </c>
      <c r="E1100" t="inlineStr">
        <is>
          <t>KARLSHAMN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11375-2026</t>
        </is>
      </c>
      <c r="B1101" s="1" t="n">
        <v>46083</v>
      </c>
      <c r="C1101" s="1" t="n">
        <v>46196</v>
      </c>
      <c r="D1101" t="inlineStr">
        <is>
          <t>BLEKINGE LÄN</t>
        </is>
      </c>
      <c r="E1101" t="inlineStr">
        <is>
          <t>OLOFSTRÖM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35695-2024</t>
        </is>
      </c>
      <c r="B1102" s="1" t="n">
        <v>45532</v>
      </c>
      <c r="C1102" s="1" t="n">
        <v>46196</v>
      </c>
      <c r="D1102" t="inlineStr">
        <is>
          <t>BLEKINGE LÄN</t>
        </is>
      </c>
      <c r="E1102" t="inlineStr">
        <is>
          <t>KARLSKRONA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35696-2024</t>
        </is>
      </c>
      <c r="B1103" s="1" t="n">
        <v>45532</v>
      </c>
      <c r="C1103" s="1" t="n">
        <v>46196</v>
      </c>
      <c r="D1103" t="inlineStr">
        <is>
          <t>BLEKINGE LÄN</t>
        </is>
      </c>
      <c r="E1103" t="inlineStr">
        <is>
          <t>KARLSKRONA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63450-2023</t>
        </is>
      </c>
      <c r="B1104" s="1" t="n">
        <v>45274</v>
      </c>
      <c r="C1104" s="1" t="n">
        <v>46196</v>
      </c>
      <c r="D1104" t="inlineStr">
        <is>
          <t>BLEKINGE LÄN</t>
        </is>
      </c>
      <c r="E1104" t="inlineStr">
        <is>
          <t>OLOFSTRÖM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11532-2026</t>
        </is>
      </c>
      <c r="B1105" s="1" t="n">
        <v>46083</v>
      </c>
      <c r="C1105" s="1" t="n">
        <v>46196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6620-2026</t>
        </is>
      </c>
      <c r="B1106" s="1" t="n">
        <v>46056</v>
      </c>
      <c r="C1106" s="1" t="n">
        <v>46196</v>
      </c>
      <c r="D1106" t="inlineStr">
        <is>
          <t>BLEKINGE LÄN</t>
        </is>
      </c>
      <c r="E1106" t="inlineStr">
        <is>
          <t>KARLSKRONA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11544-2026</t>
        </is>
      </c>
      <c r="B1107" s="1" t="n">
        <v>46083</v>
      </c>
      <c r="C1107" s="1" t="n">
        <v>46196</v>
      </c>
      <c r="D1107" t="inlineStr">
        <is>
          <t>BLEKINGE LÄN</t>
        </is>
      </c>
      <c r="E1107" t="inlineStr">
        <is>
          <t>KARLSHAMN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50131-2025</t>
        </is>
      </c>
      <c r="B1108" s="1" t="n">
        <v>45943</v>
      </c>
      <c r="C1108" s="1" t="n">
        <v>46196</v>
      </c>
      <c r="D1108" t="inlineStr">
        <is>
          <t>BLEKINGE LÄN</t>
        </is>
      </c>
      <c r="E1108" t="inlineStr">
        <is>
          <t>KARLSHAMN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11528-2026</t>
        </is>
      </c>
      <c r="B1109" s="1" t="n">
        <v>46083</v>
      </c>
      <c r="C1109" s="1" t="n">
        <v>46196</v>
      </c>
      <c r="D1109" t="inlineStr">
        <is>
          <t>BLEKINGE LÄN</t>
        </is>
      </c>
      <c r="E1109" t="inlineStr">
        <is>
          <t>SÖLVESBORG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539-2024</t>
        </is>
      </c>
      <c r="B1110" s="1" t="n">
        <v>45299</v>
      </c>
      <c r="C1110" s="1" t="n">
        <v>46196</v>
      </c>
      <c r="D1110" t="inlineStr">
        <is>
          <t>BLEKINGE LÄN</t>
        </is>
      </c>
      <c r="E1110" t="inlineStr">
        <is>
          <t>RONNEBY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50897-2023</t>
        </is>
      </c>
      <c r="B1111" s="1" t="n">
        <v>45218</v>
      </c>
      <c r="C1111" s="1" t="n">
        <v>46196</v>
      </c>
      <c r="D1111" t="inlineStr">
        <is>
          <t>BLEKINGE LÄN</t>
        </is>
      </c>
      <c r="E1111" t="inlineStr">
        <is>
          <t>KARLSKRONA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38005-2024</t>
        </is>
      </c>
      <c r="B1112" s="1" t="n">
        <v>45544</v>
      </c>
      <c r="C1112" s="1" t="n">
        <v>46196</v>
      </c>
      <c r="D1112" t="inlineStr">
        <is>
          <t>BLEKINGE LÄN</t>
        </is>
      </c>
      <c r="E1112" t="inlineStr">
        <is>
          <t>OLOFSTRÖM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45011-2024</t>
        </is>
      </c>
      <c r="B1113" s="1" t="n">
        <v>45575</v>
      </c>
      <c r="C1113" s="1" t="n">
        <v>46196</v>
      </c>
      <c r="D1113" t="inlineStr">
        <is>
          <t>BLEKINGE LÄN</t>
        </is>
      </c>
      <c r="E1113" t="inlineStr">
        <is>
          <t>OLOFSTRÖM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12077-2026</t>
        </is>
      </c>
      <c r="B1114" s="1" t="n">
        <v>46086</v>
      </c>
      <c r="C1114" s="1" t="n">
        <v>46196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12125-2026</t>
        </is>
      </c>
      <c r="B1115" s="1" t="n">
        <v>46086</v>
      </c>
      <c r="C1115" s="1" t="n">
        <v>46196</v>
      </c>
      <c r="D1115" t="inlineStr">
        <is>
          <t>BLEKINGE LÄN</t>
        </is>
      </c>
      <c r="E1115" t="inlineStr">
        <is>
          <t>RONNEBY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29551-2022</t>
        </is>
      </c>
      <c r="B1116" s="1" t="n">
        <v>44754</v>
      </c>
      <c r="C1116" s="1" t="n">
        <v>46196</v>
      </c>
      <c r="D1116" t="inlineStr">
        <is>
          <t>BLEKINGE LÄN</t>
        </is>
      </c>
      <c r="E1116" t="inlineStr">
        <is>
          <t>RONNEBY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41054-2023</t>
        </is>
      </c>
      <c r="B1117" s="1" t="n">
        <v>45169</v>
      </c>
      <c r="C1117" s="1" t="n">
        <v>46196</v>
      </c>
      <c r="D1117" t="inlineStr">
        <is>
          <t>BLEKINGE LÄN</t>
        </is>
      </c>
      <c r="E1117" t="inlineStr">
        <is>
          <t>RONNEBY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12577-2026</t>
        </is>
      </c>
      <c r="B1118" s="1" t="n">
        <v>46090</v>
      </c>
      <c r="C1118" s="1" t="n">
        <v>46196</v>
      </c>
      <c r="D1118" t="inlineStr">
        <is>
          <t>BLEKINGE LÄN</t>
        </is>
      </c>
      <c r="E1118" t="inlineStr">
        <is>
          <t>KARLSHAMN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54856-2022</t>
        </is>
      </c>
      <c r="B1119" s="1" t="n">
        <v>44884</v>
      </c>
      <c r="C1119" s="1" t="n">
        <v>46196</v>
      </c>
      <c r="D1119" t="inlineStr">
        <is>
          <t>BLEKINGE LÄN</t>
        </is>
      </c>
      <c r="E1119" t="inlineStr">
        <is>
          <t>RONNEBY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37558-2022</t>
        </is>
      </c>
      <c r="B1120" s="1" t="n">
        <v>44809</v>
      </c>
      <c r="C1120" s="1" t="n">
        <v>46196</v>
      </c>
      <c r="D1120" t="inlineStr">
        <is>
          <t>BLEKINGE LÄN</t>
        </is>
      </c>
      <c r="E1120" t="inlineStr">
        <is>
          <t>OLOFSTRÖM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12230-2026</t>
        </is>
      </c>
      <c r="B1121" s="1" t="n">
        <v>46087</v>
      </c>
      <c r="C1121" s="1" t="n">
        <v>46196</v>
      </c>
      <c r="D1121" t="inlineStr">
        <is>
          <t>BLEKINGE LÄN</t>
        </is>
      </c>
      <c r="E1121" t="inlineStr">
        <is>
          <t>KARLSKRONA</t>
        </is>
      </c>
      <c r="F1121" t="inlineStr">
        <is>
          <t>Kommuner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4654-2025</t>
        </is>
      </c>
      <c r="B1122" s="1" t="n">
        <v>45687</v>
      </c>
      <c r="C1122" s="1" t="n">
        <v>46196</v>
      </c>
      <c r="D1122" t="inlineStr">
        <is>
          <t>BLEKINGE LÄN</t>
        </is>
      </c>
      <c r="E1122" t="inlineStr">
        <is>
          <t>KARLSHAMN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8327-2023</t>
        </is>
      </c>
      <c r="B1123" s="1" t="n">
        <v>44974</v>
      </c>
      <c r="C1123" s="1" t="n">
        <v>46196</v>
      </c>
      <c r="D1123" t="inlineStr">
        <is>
          <t>BLEKINGE LÄN</t>
        </is>
      </c>
      <c r="E1123" t="inlineStr">
        <is>
          <t>KARLSKRONA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50354-2024</t>
        </is>
      </c>
      <c r="B1124" s="1" t="n">
        <v>45600</v>
      </c>
      <c r="C1124" s="1" t="n">
        <v>46196</v>
      </c>
      <c r="D1124" t="inlineStr">
        <is>
          <t>BLEKINGE LÄN</t>
        </is>
      </c>
      <c r="E1124" t="inlineStr">
        <is>
          <t>KARLSKRONA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57328-2023</t>
        </is>
      </c>
      <c r="B1125" s="1" t="n">
        <v>45245</v>
      </c>
      <c r="C1125" s="1" t="n">
        <v>46196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53194-2023</t>
        </is>
      </c>
      <c r="B1126" s="1" t="n">
        <v>45229</v>
      </c>
      <c r="C1126" s="1" t="n">
        <v>46196</v>
      </c>
      <c r="D1126" t="inlineStr">
        <is>
          <t>BLEKINGE LÄN</t>
        </is>
      </c>
      <c r="E1126" t="inlineStr">
        <is>
          <t>KARLSHAMN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48013-2023</t>
        </is>
      </c>
      <c r="B1127" s="1" t="n">
        <v>45204</v>
      </c>
      <c r="C1127" s="1" t="n">
        <v>46196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12852-2026</t>
        </is>
      </c>
      <c r="B1128" s="1" t="n">
        <v>46092</v>
      </c>
      <c r="C1128" s="1" t="n">
        <v>46196</v>
      </c>
      <c r="D1128" t="inlineStr">
        <is>
          <t>BLEKINGE LÄN</t>
        </is>
      </c>
      <c r="E1128" t="inlineStr">
        <is>
          <t>KARLSKRONA</t>
        </is>
      </c>
      <c r="F1128" t="inlineStr">
        <is>
          <t>Kommuner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9605-2023</t>
        </is>
      </c>
      <c r="B1129" s="1" t="n">
        <v>44983</v>
      </c>
      <c r="C1129" s="1" t="n">
        <v>46196</v>
      </c>
      <c r="D1129" t="inlineStr">
        <is>
          <t>BLEKINGE LÄN</t>
        </is>
      </c>
      <c r="E1129" t="inlineStr">
        <is>
          <t>KARLSHAMN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52223-2022</t>
        </is>
      </c>
      <c r="B1130" s="1" t="n">
        <v>44873</v>
      </c>
      <c r="C1130" s="1" t="n">
        <v>46196</v>
      </c>
      <c r="D1130" t="inlineStr">
        <is>
          <t>BLEKINGE LÄN</t>
        </is>
      </c>
      <c r="E1130" t="inlineStr">
        <is>
          <t>OLOFSTRÖM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8098-2023</t>
        </is>
      </c>
      <c r="B1131" s="1" t="n">
        <v>44970</v>
      </c>
      <c r="C1131" s="1" t="n">
        <v>46196</v>
      </c>
      <c r="D1131" t="inlineStr">
        <is>
          <t>BLEKINGE LÄN</t>
        </is>
      </c>
      <c r="E1131" t="inlineStr">
        <is>
          <t>KARLSHAMN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8110-2023</t>
        </is>
      </c>
      <c r="B1132" s="1" t="n">
        <v>44970</v>
      </c>
      <c r="C1132" s="1" t="n">
        <v>46196</v>
      </c>
      <c r="D1132" t="inlineStr">
        <is>
          <t>BLEKINGE LÄN</t>
        </is>
      </c>
      <c r="E1132" t="inlineStr">
        <is>
          <t>OLOFSTRÖM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49301-2022</t>
        </is>
      </c>
      <c r="B1133" s="1" t="n">
        <v>44858</v>
      </c>
      <c r="C1133" s="1" t="n">
        <v>46196</v>
      </c>
      <c r="D1133" t="inlineStr">
        <is>
          <t>BLEKINGE LÄN</t>
        </is>
      </c>
      <c r="E1133" t="inlineStr">
        <is>
          <t>OLOFSTRÖM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49308-2022</t>
        </is>
      </c>
      <c r="B1134" s="1" t="n">
        <v>44858</v>
      </c>
      <c r="C1134" s="1" t="n">
        <v>46196</v>
      </c>
      <c r="D1134" t="inlineStr">
        <is>
          <t>BLEKINGE LÄN</t>
        </is>
      </c>
      <c r="E1134" t="inlineStr">
        <is>
          <t>OLOFSTRÖM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54015-2021</t>
        </is>
      </c>
      <c r="B1135" s="1" t="n">
        <v>44470</v>
      </c>
      <c r="C1135" s="1" t="n">
        <v>46196</v>
      </c>
      <c r="D1135" t="inlineStr">
        <is>
          <t>BLEKINGE LÄN</t>
        </is>
      </c>
      <c r="E1135" t="inlineStr">
        <is>
          <t>OLOFSTRÖM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55995-2024</t>
        </is>
      </c>
      <c r="B1136" s="1" t="n">
        <v>45623</v>
      </c>
      <c r="C1136" s="1" t="n">
        <v>46196</v>
      </c>
      <c r="D1136" t="inlineStr">
        <is>
          <t>BLEKINGE LÄN</t>
        </is>
      </c>
      <c r="E1136" t="inlineStr">
        <is>
          <t>OLOFSTRÖM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35724-2024</t>
        </is>
      </c>
      <c r="B1137" s="1" t="n">
        <v>45532</v>
      </c>
      <c r="C1137" s="1" t="n">
        <v>46196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13408-2026</t>
        </is>
      </c>
      <c r="B1138" s="1" t="n">
        <v>46094</v>
      </c>
      <c r="C1138" s="1" t="n">
        <v>46196</v>
      </c>
      <c r="D1138" t="inlineStr">
        <is>
          <t>BLEKINGE LÄN</t>
        </is>
      </c>
      <c r="E1138" t="inlineStr">
        <is>
          <t>KARLSHAMN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33948-2021</t>
        </is>
      </c>
      <c r="B1139" s="1" t="n">
        <v>44378</v>
      </c>
      <c r="C1139" s="1" t="n">
        <v>46196</v>
      </c>
      <c r="D1139" t="inlineStr">
        <is>
          <t>BLEKINGE LÄN</t>
        </is>
      </c>
      <c r="E1139" t="inlineStr">
        <is>
          <t>RONNEBY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13139-2026</t>
        </is>
      </c>
      <c r="B1140" s="1" t="n">
        <v>46093</v>
      </c>
      <c r="C1140" s="1" t="n">
        <v>46196</v>
      </c>
      <c r="D1140" t="inlineStr">
        <is>
          <t>BLEKINGE LÄN</t>
        </is>
      </c>
      <c r="E1140" t="inlineStr">
        <is>
          <t>KARLSKRONA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13523-2026</t>
        </is>
      </c>
      <c r="B1141" s="1" t="n">
        <v>46094</v>
      </c>
      <c r="C1141" s="1" t="n">
        <v>46196</v>
      </c>
      <c r="D1141" t="inlineStr">
        <is>
          <t>BLEKINGE LÄN</t>
        </is>
      </c>
      <c r="E1141" t="inlineStr">
        <is>
          <t>KARLSHAMN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37124-2021</t>
        </is>
      </c>
      <c r="B1142" s="1" t="n">
        <v>44395</v>
      </c>
      <c r="C1142" s="1" t="n">
        <v>46196</v>
      </c>
      <c r="D1142" t="inlineStr">
        <is>
          <t>BLEKINGE LÄN</t>
        </is>
      </c>
      <c r="E1142" t="inlineStr">
        <is>
          <t>KARLSHAMN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21811-2023</t>
        </is>
      </c>
      <c r="B1143" s="1" t="n">
        <v>45068</v>
      </c>
      <c r="C1143" s="1" t="n">
        <v>46196</v>
      </c>
      <c r="D1143" t="inlineStr">
        <is>
          <t>BLEKINGE LÄN</t>
        </is>
      </c>
      <c r="E1143" t="inlineStr">
        <is>
          <t>KARLSHAMN</t>
        </is>
      </c>
      <c r="F1143" t="inlineStr">
        <is>
          <t>Kommuner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18681-2023</t>
        </is>
      </c>
      <c r="B1144" s="1" t="n">
        <v>45043</v>
      </c>
      <c r="C1144" s="1" t="n">
        <v>46196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50966-2023</t>
        </is>
      </c>
      <c r="B1145" s="1" t="n">
        <v>45218</v>
      </c>
      <c r="C1145" s="1" t="n">
        <v>46196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59884-2023</t>
        </is>
      </c>
      <c r="B1146" s="1" t="n">
        <v>45254</v>
      </c>
      <c r="C1146" s="1" t="n">
        <v>46196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13733-2026</t>
        </is>
      </c>
      <c r="B1147" s="1" t="n">
        <v>46097</v>
      </c>
      <c r="C1147" s="1" t="n">
        <v>46196</v>
      </c>
      <c r="D1147" t="inlineStr">
        <is>
          <t>BLEKINGE LÄN</t>
        </is>
      </c>
      <c r="E1147" t="inlineStr">
        <is>
          <t>KARLSHAMN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13758-2026</t>
        </is>
      </c>
      <c r="B1148" s="1" t="n">
        <v>46097</v>
      </c>
      <c r="C1148" s="1" t="n">
        <v>46196</v>
      </c>
      <c r="D1148" t="inlineStr">
        <is>
          <t>BLEKINGE LÄN</t>
        </is>
      </c>
      <c r="E1148" t="inlineStr">
        <is>
          <t>OLOFSTRÖM</t>
        </is>
      </c>
      <c r="F1148" t="inlineStr">
        <is>
          <t>Övriga Aktiebolag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36577-2024</t>
        </is>
      </c>
      <c r="B1149" s="1" t="n">
        <v>45537</v>
      </c>
      <c r="C1149" s="1" t="n">
        <v>46196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15622-2024</t>
        </is>
      </c>
      <c r="B1150" s="1" t="n">
        <v>45402</v>
      </c>
      <c r="C1150" s="1" t="n">
        <v>46196</v>
      </c>
      <c r="D1150" t="inlineStr">
        <is>
          <t>BLEKINGE LÄN</t>
        </is>
      </c>
      <c r="E1150" t="inlineStr">
        <is>
          <t>RONNEBY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13644-2026</t>
        </is>
      </c>
      <c r="B1151" s="1" t="n">
        <v>46097</v>
      </c>
      <c r="C1151" s="1" t="n">
        <v>46196</v>
      </c>
      <c r="D1151" t="inlineStr">
        <is>
          <t>BLEKINGE LÄN</t>
        </is>
      </c>
      <c r="E1151" t="inlineStr">
        <is>
          <t>KARLSKRONA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13602-2026</t>
        </is>
      </c>
      <c r="B1152" s="1" t="n">
        <v>46097</v>
      </c>
      <c r="C1152" s="1" t="n">
        <v>46196</v>
      </c>
      <c r="D1152" t="inlineStr">
        <is>
          <t>BLEKINGE LÄN</t>
        </is>
      </c>
      <c r="E1152" t="inlineStr">
        <is>
          <t>KARLSHAMN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6289-2022</t>
        </is>
      </c>
      <c r="B1153" s="1" t="n">
        <v>44600</v>
      </c>
      <c r="C1153" s="1" t="n">
        <v>46196</v>
      </c>
      <c r="D1153" t="inlineStr">
        <is>
          <t>BLEKINGE LÄN</t>
        </is>
      </c>
      <c r="E1153" t="inlineStr">
        <is>
          <t>RONNEBY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14618-2023</t>
        </is>
      </c>
      <c r="B1154" s="1" t="n">
        <v>45013</v>
      </c>
      <c r="C1154" s="1" t="n">
        <v>46196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20164-2023</t>
        </is>
      </c>
      <c r="B1155" s="1" t="n">
        <v>45053</v>
      </c>
      <c r="C1155" s="1" t="n">
        <v>46196</v>
      </c>
      <c r="D1155" t="inlineStr">
        <is>
          <t>BLEKINGE LÄN</t>
        </is>
      </c>
      <c r="E1155" t="inlineStr">
        <is>
          <t>SÖLVESBORG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16783-2024</t>
        </is>
      </c>
      <c r="B1156" s="1" t="n">
        <v>45411</v>
      </c>
      <c r="C1156" s="1" t="n">
        <v>46196</v>
      </c>
      <c r="D1156" t="inlineStr">
        <is>
          <t>BLEKINGE LÄN</t>
        </is>
      </c>
      <c r="E1156" t="inlineStr">
        <is>
          <t>KARLSKRONA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50659-2024</t>
        </is>
      </c>
      <c r="B1157" s="1" t="n">
        <v>45601</v>
      </c>
      <c r="C1157" s="1" t="n">
        <v>46196</v>
      </c>
      <c r="D1157" t="inlineStr">
        <is>
          <t>BLEKINGE LÄN</t>
        </is>
      </c>
      <c r="E1157" t="inlineStr">
        <is>
          <t>KARLSHAMN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44752-2023</t>
        </is>
      </c>
      <c r="B1158" s="1" t="n">
        <v>45184</v>
      </c>
      <c r="C1158" s="1" t="n">
        <v>46196</v>
      </c>
      <c r="D1158" t="inlineStr">
        <is>
          <t>BLEKINGE LÄN</t>
        </is>
      </c>
      <c r="E1158" t="inlineStr">
        <is>
          <t>SÖLVESBORG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6238-2025</t>
        </is>
      </c>
      <c r="B1159" s="1" t="n">
        <v>45697</v>
      </c>
      <c r="C1159" s="1" t="n">
        <v>46196</v>
      </c>
      <c r="D1159" t="inlineStr">
        <is>
          <t>BLEKINGE LÄN</t>
        </is>
      </c>
      <c r="E1159" t="inlineStr">
        <is>
          <t>KARLSKRONA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42389-2021</t>
        </is>
      </c>
      <c r="B1160" s="1" t="n">
        <v>44427</v>
      </c>
      <c r="C1160" s="1" t="n">
        <v>46196</v>
      </c>
      <c r="D1160" t="inlineStr">
        <is>
          <t>BLEKINGE LÄN</t>
        </is>
      </c>
      <c r="E1160" t="inlineStr">
        <is>
          <t>RONNEBY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14335-2026</t>
        </is>
      </c>
      <c r="B1161" s="1" t="n">
        <v>46100</v>
      </c>
      <c r="C1161" s="1" t="n">
        <v>46196</v>
      </c>
      <c r="D1161" t="inlineStr">
        <is>
          <t>BLEKINGE LÄN</t>
        </is>
      </c>
      <c r="E1161" t="inlineStr">
        <is>
          <t>KARLSHAMN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19105-2023</t>
        </is>
      </c>
      <c r="B1162" s="1" t="n">
        <v>45048</v>
      </c>
      <c r="C1162" s="1" t="n">
        <v>46196</v>
      </c>
      <c r="D1162" t="inlineStr">
        <is>
          <t>BLEKINGE LÄN</t>
        </is>
      </c>
      <c r="E1162" t="inlineStr">
        <is>
          <t>KARLSKRONA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15095-2026</t>
        </is>
      </c>
      <c r="B1163" s="1" t="n">
        <v>46104</v>
      </c>
      <c r="C1163" s="1" t="n">
        <v>46196</v>
      </c>
      <c r="D1163" t="inlineStr">
        <is>
          <t>BLEKINGE LÄN</t>
        </is>
      </c>
      <c r="E1163" t="inlineStr">
        <is>
          <t>RONNEBY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15134-2026</t>
        </is>
      </c>
      <c r="B1164" s="1" t="n">
        <v>46104</v>
      </c>
      <c r="C1164" s="1" t="n">
        <v>46196</v>
      </c>
      <c r="D1164" t="inlineStr">
        <is>
          <t>BLEKINGE LÄN</t>
        </is>
      </c>
      <c r="E1164" t="inlineStr">
        <is>
          <t>KARLSHAMN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15091-2026</t>
        </is>
      </c>
      <c r="B1165" s="1" t="n">
        <v>46104</v>
      </c>
      <c r="C1165" s="1" t="n">
        <v>46196</v>
      </c>
      <c r="D1165" t="inlineStr">
        <is>
          <t>BLEKINGE LÄN</t>
        </is>
      </c>
      <c r="E1165" t="inlineStr">
        <is>
          <t>RONNEBY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14904-2026</t>
        </is>
      </c>
      <c r="B1166" s="1" t="n">
        <v>46104</v>
      </c>
      <c r="C1166" s="1" t="n">
        <v>46196</v>
      </c>
      <c r="D1166" t="inlineStr">
        <is>
          <t>BLEKINGE LÄN</t>
        </is>
      </c>
      <c r="E1166" t="inlineStr">
        <is>
          <t>OLOFSTRÖM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15102-2026</t>
        </is>
      </c>
      <c r="B1167" s="1" t="n">
        <v>46104</v>
      </c>
      <c r="C1167" s="1" t="n">
        <v>46196</v>
      </c>
      <c r="D1167" t="inlineStr">
        <is>
          <t>BLEKINGE LÄN</t>
        </is>
      </c>
      <c r="E1167" t="inlineStr">
        <is>
          <t>RONNEBY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15688-2026</t>
        </is>
      </c>
      <c r="B1168" s="1" t="n">
        <v>46106</v>
      </c>
      <c r="C1168" s="1" t="n">
        <v>46196</v>
      </c>
      <c r="D1168" t="inlineStr">
        <is>
          <t>BLEKINGE LÄN</t>
        </is>
      </c>
      <c r="E1168" t="inlineStr">
        <is>
          <t>OLOFSTRÖM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15206-2026</t>
        </is>
      </c>
      <c r="B1169" s="1" t="n">
        <v>46105</v>
      </c>
      <c r="C1169" s="1" t="n">
        <v>46196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15468-2026</t>
        </is>
      </c>
      <c r="B1170" s="1" t="n">
        <v>46106</v>
      </c>
      <c r="C1170" s="1" t="n">
        <v>46196</v>
      </c>
      <c r="D1170" t="inlineStr">
        <is>
          <t>BLEKINGE LÄN</t>
        </is>
      </c>
      <c r="E1170" t="inlineStr">
        <is>
          <t>KARLSKRONA</t>
        </is>
      </c>
      <c r="F1170" t="inlineStr">
        <is>
          <t>Kommuner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15471-2026</t>
        </is>
      </c>
      <c r="B1171" s="1" t="n">
        <v>46106</v>
      </c>
      <c r="C1171" s="1" t="n">
        <v>46196</v>
      </c>
      <c r="D1171" t="inlineStr">
        <is>
          <t>BLEKINGE LÄN</t>
        </is>
      </c>
      <c r="E1171" t="inlineStr">
        <is>
          <t>KARLSHAMN</t>
        </is>
      </c>
      <c r="F1171" t="inlineStr">
        <is>
          <t>Sveaskog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15621-2026</t>
        </is>
      </c>
      <c r="B1172" s="1" t="n">
        <v>46106</v>
      </c>
      <c r="C1172" s="1" t="n">
        <v>46196</v>
      </c>
      <c r="D1172" t="inlineStr">
        <is>
          <t>BLEKINGE LÄN</t>
        </is>
      </c>
      <c r="E1172" t="inlineStr">
        <is>
          <t>KARLSHAMN</t>
        </is>
      </c>
      <c r="F1172" t="inlineStr">
        <is>
          <t>Övriga Aktiebolag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9288-2026</t>
        </is>
      </c>
      <c r="B1173" s="1" t="n">
        <v>46070</v>
      </c>
      <c r="C1173" s="1" t="n">
        <v>46196</v>
      </c>
      <c r="D1173" t="inlineStr">
        <is>
          <t>BLEKINGE LÄN</t>
        </is>
      </c>
      <c r="E1173" t="inlineStr">
        <is>
          <t>OLOFSTRÖM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8094-2022</t>
        </is>
      </c>
      <c r="B1174" s="1" t="n">
        <v>44609</v>
      </c>
      <c r="C1174" s="1" t="n">
        <v>46196</v>
      </c>
      <c r="D1174" t="inlineStr">
        <is>
          <t>BLEKINGE LÄN</t>
        </is>
      </c>
      <c r="E1174" t="inlineStr">
        <is>
          <t>KARLSKRONA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8104-2022</t>
        </is>
      </c>
      <c r="B1175" s="1" t="n">
        <v>44609</v>
      </c>
      <c r="C1175" s="1" t="n">
        <v>46196</v>
      </c>
      <c r="D1175" t="inlineStr">
        <is>
          <t>BLEKINGE LÄN</t>
        </is>
      </c>
      <c r="E1175" t="inlineStr">
        <is>
          <t>KARLSKRONA</t>
        </is>
      </c>
      <c r="F1175" t="inlineStr">
        <is>
          <t>Kommuner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41204-2022</t>
        </is>
      </c>
      <c r="B1176" s="1" t="n">
        <v>44825</v>
      </c>
      <c r="C1176" s="1" t="n">
        <v>46196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16001-2026</t>
        </is>
      </c>
      <c r="B1177" s="1" t="n">
        <v>46108</v>
      </c>
      <c r="C1177" s="1" t="n">
        <v>46196</v>
      </c>
      <c r="D1177" t="inlineStr">
        <is>
          <t>BLEKINGE LÄN</t>
        </is>
      </c>
      <c r="E1177" t="inlineStr">
        <is>
          <t>KARLSKRONA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61329-2024</t>
        </is>
      </c>
      <c r="B1178" s="1" t="n">
        <v>45646</v>
      </c>
      <c r="C1178" s="1" t="n">
        <v>46196</v>
      </c>
      <c r="D1178" t="inlineStr">
        <is>
          <t>BLEKINGE LÄN</t>
        </is>
      </c>
      <c r="E1178" t="inlineStr">
        <is>
          <t>RONNEBY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15111-2026</t>
        </is>
      </c>
      <c r="B1179" s="1" t="n">
        <v>46104</v>
      </c>
      <c r="C1179" s="1" t="n">
        <v>46196</v>
      </c>
      <c r="D1179" t="inlineStr">
        <is>
          <t>BLEKINGE LÄN</t>
        </is>
      </c>
      <c r="E1179" t="inlineStr">
        <is>
          <t>RONNEBY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16512-2026</t>
        </is>
      </c>
      <c r="B1180" s="1" t="n">
        <v>46112</v>
      </c>
      <c r="C1180" s="1" t="n">
        <v>46196</v>
      </c>
      <c r="D1180" t="inlineStr">
        <is>
          <t>BLEKINGE LÄN</t>
        </is>
      </c>
      <c r="E1180" t="inlineStr">
        <is>
          <t>RONNEBY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24946-2023</t>
        </is>
      </c>
      <c r="B1181" s="1" t="n">
        <v>45085</v>
      </c>
      <c r="C1181" s="1" t="n">
        <v>46196</v>
      </c>
      <c r="D1181" t="inlineStr">
        <is>
          <t>BLEKINGE LÄN</t>
        </is>
      </c>
      <c r="E1181" t="inlineStr">
        <is>
          <t>KARLSKRONA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24948-2023</t>
        </is>
      </c>
      <c r="B1182" s="1" t="n">
        <v>45085</v>
      </c>
      <c r="C1182" s="1" t="n">
        <v>46196</v>
      </c>
      <c r="D1182" t="inlineStr">
        <is>
          <t>BLEKINGE LÄN</t>
        </is>
      </c>
      <c r="E1182" t="inlineStr">
        <is>
          <t>KARLSKRONA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16588-2026</t>
        </is>
      </c>
      <c r="B1183" s="1" t="n">
        <v>46112</v>
      </c>
      <c r="C1183" s="1" t="n">
        <v>46196</v>
      </c>
      <c r="D1183" t="inlineStr">
        <is>
          <t>BLEKINGE LÄN</t>
        </is>
      </c>
      <c r="E1183" t="inlineStr">
        <is>
          <t>KARLSKRONA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16594-2026</t>
        </is>
      </c>
      <c r="B1184" s="1" t="n">
        <v>46112</v>
      </c>
      <c r="C1184" s="1" t="n">
        <v>46196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29389-2025</t>
        </is>
      </c>
      <c r="B1185" s="1" t="n">
        <v>45824</v>
      </c>
      <c r="C1185" s="1" t="n">
        <v>46196</v>
      </c>
      <c r="D1185" t="inlineStr">
        <is>
          <t>BLEKINGE LÄN</t>
        </is>
      </c>
      <c r="E1185" t="inlineStr">
        <is>
          <t>KARLSHAMN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52199-2025</t>
        </is>
      </c>
      <c r="B1186" s="1" t="n">
        <v>45953</v>
      </c>
      <c r="C1186" s="1" t="n">
        <v>46196</v>
      </c>
      <c r="D1186" t="inlineStr">
        <is>
          <t>BLEKINGE LÄN</t>
        </is>
      </c>
      <c r="E1186" t="inlineStr">
        <is>
          <t>KARLSHAMN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16469-2026</t>
        </is>
      </c>
      <c r="B1187" s="1" t="n">
        <v>46112</v>
      </c>
      <c r="C1187" s="1" t="n">
        <v>46196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16382-2026</t>
        </is>
      </c>
      <c r="B1188" s="1" t="n">
        <v>46111</v>
      </c>
      <c r="C1188" s="1" t="n">
        <v>46196</v>
      </c>
      <c r="D1188" t="inlineStr">
        <is>
          <t>BLEKINGE LÄN</t>
        </is>
      </c>
      <c r="E1188" t="inlineStr">
        <is>
          <t>KARLSKRONA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16385-2026</t>
        </is>
      </c>
      <c r="B1189" s="1" t="n">
        <v>46111</v>
      </c>
      <c r="C1189" s="1" t="n">
        <v>46196</v>
      </c>
      <c r="D1189" t="inlineStr">
        <is>
          <t>BLEKINGE LÄN</t>
        </is>
      </c>
      <c r="E1189" t="inlineStr">
        <is>
          <t>KARLSKRONA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52195-2025</t>
        </is>
      </c>
      <c r="B1190" s="1" t="n">
        <v>45953</v>
      </c>
      <c r="C1190" s="1" t="n">
        <v>46196</v>
      </c>
      <c r="D1190" t="inlineStr">
        <is>
          <t>BLEKINGE LÄN</t>
        </is>
      </c>
      <c r="E1190" t="inlineStr">
        <is>
          <t>KARLSHAMN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16492-2026</t>
        </is>
      </c>
      <c r="B1191" s="1" t="n">
        <v>46112</v>
      </c>
      <c r="C1191" s="1" t="n">
        <v>46196</v>
      </c>
      <c r="D1191" t="inlineStr">
        <is>
          <t>BLEKINGE LÄN</t>
        </is>
      </c>
      <c r="E1191" t="inlineStr">
        <is>
          <t>RONNEBY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16500-2026</t>
        </is>
      </c>
      <c r="B1192" s="1" t="n">
        <v>46112</v>
      </c>
      <c r="C1192" s="1" t="n">
        <v>46196</v>
      </c>
      <c r="D1192" t="inlineStr">
        <is>
          <t>BLEKINGE LÄN</t>
        </is>
      </c>
      <c r="E1192" t="inlineStr">
        <is>
          <t>RONNEBY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28048-2023</t>
        </is>
      </c>
      <c r="B1193" s="1" t="n">
        <v>45099</v>
      </c>
      <c r="C1193" s="1" t="n">
        <v>46196</v>
      </c>
      <c r="D1193" t="inlineStr">
        <is>
          <t>BLEKINGE LÄN</t>
        </is>
      </c>
      <c r="E1193" t="inlineStr">
        <is>
          <t>RONNEBY</t>
        </is>
      </c>
      <c r="G1193" t="n">
        <v>14.4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3618-2022</t>
        </is>
      </c>
      <c r="B1194" s="1" t="n">
        <v>44586</v>
      </c>
      <c r="C1194" s="1" t="n">
        <v>46196</v>
      </c>
      <c r="D1194" t="inlineStr">
        <is>
          <t>BLEKINGE LÄN</t>
        </is>
      </c>
      <c r="E1194" t="inlineStr">
        <is>
          <t>KARLSKRONA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16308-2026</t>
        </is>
      </c>
      <c r="B1195" s="1" t="n">
        <v>46111</v>
      </c>
      <c r="C1195" s="1" t="n">
        <v>46196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13619-2023</t>
        </is>
      </c>
      <c r="B1196" s="1" t="n">
        <v>45006</v>
      </c>
      <c r="C1196" s="1" t="n">
        <v>46196</v>
      </c>
      <c r="D1196" t="inlineStr">
        <is>
          <t>BLEKINGE LÄN</t>
        </is>
      </c>
      <c r="E1196" t="inlineStr">
        <is>
          <t>RONNEBY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16901-2026</t>
        </is>
      </c>
      <c r="B1197" s="1" t="n">
        <v>46113</v>
      </c>
      <c r="C1197" s="1" t="n">
        <v>46196</v>
      </c>
      <c r="D1197" t="inlineStr">
        <is>
          <t>BLEKINGE LÄN</t>
        </is>
      </c>
      <c r="E1197" t="inlineStr">
        <is>
          <t>KARLSHAMN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48181-2023</t>
        </is>
      </c>
      <c r="B1198" s="1" t="n">
        <v>45205</v>
      </c>
      <c r="C1198" s="1" t="n">
        <v>46196</v>
      </c>
      <c r="D1198" t="inlineStr">
        <is>
          <t>BLEKINGE LÄN</t>
        </is>
      </c>
      <c r="E1198" t="inlineStr">
        <is>
          <t>KARLSHAMN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48186-2023</t>
        </is>
      </c>
      <c r="B1199" s="1" t="n">
        <v>45205</v>
      </c>
      <c r="C1199" s="1" t="n">
        <v>46196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9953-2025</t>
        </is>
      </c>
      <c r="B1200" s="1" t="n">
        <v>45719</v>
      </c>
      <c r="C1200" s="1" t="n">
        <v>46196</v>
      </c>
      <c r="D1200" t="inlineStr">
        <is>
          <t>BLEKINGE LÄN</t>
        </is>
      </c>
      <c r="E1200" t="inlineStr">
        <is>
          <t>RONNEBY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16905-2026</t>
        </is>
      </c>
      <c r="B1201" s="1" t="n">
        <v>46113</v>
      </c>
      <c r="C1201" s="1" t="n">
        <v>46196</v>
      </c>
      <c r="D1201" t="inlineStr">
        <is>
          <t>BLEKINGE LÄN</t>
        </is>
      </c>
      <c r="E1201" t="inlineStr">
        <is>
          <t>KARLSHAMN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16909-2026</t>
        </is>
      </c>
      <c r="B1202" s="1" t="n">
        <v>46113</v>
      </c>
      <c r="C1202" s="1" t="n">
        <v>46196</v>
      </c>
      <c r="D1202" t="inlineStr">
        <is>
          <t>BLEKINGE LÄN</t>
        </is>
      </c>
      <c r="E1202" t="inlineStr">
        <is>
          <t>KARLSHAMN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16699-2026</t>
        </is>
      </c>
      <c r="B1203" s="1" t="n">
        <v>46113</v>
      </c>
      <c r="C1203" s="1" t="n">
        <v>46196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16701-2026</t>
        </is>
      </c>
      <c r="B1204" s="1" t="n">
        <v>46113</v>
      </c>
      <c r="C1204" s="1" t="n">
        <v>46196</v>
      </c>
      <c r="D1204" t="inlineStr">
        <is>
          <t>BLEKINGE LÄN</t>
        </is>
      </c>
      <c r="E1204" t="inlineStr">
        <is>
          <t>KARLSKRONA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39984-2022</t>
        </is>
      </c>
      <c r="B1205" s="1" t="n">
        <v>44820</v>
      </c>
      <c r="C1205" s="1" t="n">
        <v>46196</v>
      </c>
      <c r="D1205" t="inlineStr">
        <is>
          <t>BLEKINGE LÄN</t>
        </is>
      </c>
      <c r="E1205" t="inlineStr">
        <is>
          <t>KARLSKRONA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33558-2023</t>
        </is>
      </c>
      <c r="B1206" s="1" t="n">
        <v>45118</v>
      </c>
      <c r="C1206" s="1" t="n">
        <v>46196</v>
      </c>
      <c r="D1206" t="inlineStr">
        <is>
          <t>BLEKINGE LÄN</t>
        </is>
      </c>
      <c r="E1206" t="inlineStr">
        <is>
          <t>RONNEBY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55999-2024</t>
        </is>
      </c>
      <c r="B1207" s="1" t="n">
        <v>45623</v>
      </c>
      <c r="C1207" s="1" t="n">
        <v>46196</v>
      </c>
      <c r="D1207" t="inlineStr">
        <is>
          <t>BLEKINGE LÄN</t>
        </is>
      </c>
      <c r="E1207" t="inlineStr">
        <is>
          <t>OLOFSTRÖM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16730-2026</t>
        </is>
      </c>
      <c r="B1208" s="1" t="n">
        <v>46113</v>
      </c>
      <c r="C1208" s="1" t="n">
        <v>46196</v>
      </c>
      <c r="D1208" t="inlineStr">
        <is>
          <t>BLEKINGE LÄN</t>
        </is>
      </c>
      <c r="E1208" t="inlineStr">
        <is>
          <t>KARLSKRONA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16720-2026</t>
        </is>
      </c>
      <c r="B1209" s="1" t="n">
        <v>46113</v>
      </c>
      <c r="C1209" s="1" t="n">
        <v>46196</v>
      </c>
      <c r="D1209" t="inlineStr">
        <is>
          <t>BLEKINGE LÄN</t>
        </is>
      </c>
      <c r="E1209" t="inlineStr">
        <is>
          <t>KARLSKRONA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16702-2026</t>
        </is>
      </c>
      <c r="B1210" s="1" t="n">
        <v>46113</v>
      </c>
      <c r="C1210" s="1" t="n">
        <v>46196</v>
      </c>
      <c r="D1210" t="inlineStr">
        <is>
          <t>BLEKINGE LÄN</t>
        </is>
      </c>
      <c r="E1210" t="inlineStr">
        <is>
          <t>KARLSKRONA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16745-2026</t>
        </is>
      </c>
      <c r="B1211" s="1" t="n">
        <v>46113</v>
      </c>
      <c r="C1211" s="1" t="n">
        <v>46196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16747-2026</t>
        </is>
      </c>
      <c r="B1212" s="1" t="n">
        <v>46113</v>
      </c>
      <c r="C1212" s="1" t="n">
        <v>46196</v>
      </c>
      <c r="D1212" t="inlineStr">
        <is>
          <t>BLEKINGE LÄN</t>
        </is>
      </c>
      <c r="E1212" t="inlineStr">
        <is>
          <t>KARLSKRONA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16753-2026</t>
        </is>
      </c>
      <c r="B1213" s="1" t="n">
        <v>46113</v>
      </c>
      <c r="C1213" s="1" t="n">
        <v>46196</v>
      </c>
      <c r="D1213" t="inlineStr">
        <is>
          <t>BLEKINGE LÄN</t>
        </is>
      </c>
      <c r="E1213" t="inlineStr">
        <is>
          <t>KARLSKRONA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2567-2023</t>
        </is>
      </c>
      <c r="B1214" s="1" t="n">
        <v>44943</v>
      </c>
      <c r="C1214" s="1" t="n">
        <v>46196</v>
      </c>
      <c r="D1214" t="inlineStr">
        <is>
          <t>BLEKINGE LÄN</t>
        </is>
      </c>
      <c r="E1214" t="inlineStr">
        <is>
          <t>KARLSHAMN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22799-2026</t>
        </is>
      </c>
      <c r="B1215" s="1" t="n">
        <v>46158</v>
      </c>
      <c r="C1215" s="1" t="n">
        <v>46196</v>
      </c>
      <c r="D1215" t="inlineStr">
        <is>
          <t>BLEKINGE LÄN</t>
        </is>
      </c>
      <c r="E1215" t="inlineStr">
        <is>
          <t>KARLSKRONA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22798-2026</t>
        </is>
      </c>
      <c r="B1216" s="1" t="n">
        <v>46158</v>
      </c>
      <c r="C1216" s="1" t="n">
        <v>46196</v>
      </c>
      <c r="D1216" t="inlineStr">
        <is>
          <t>BLEKINGE LÄN</t>
        </is>
      </c>
      <c r="E1216" t="inlineStr">
        <is>
          <t>KARLSKRONA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22801-2026</t>
        </is>
      </c>
      <c r="B1217" s="1" t="n">
        <v>46158</v>
      </c>
      <c r="C1217" s="1" t="n">
        <v>46196</v>
      </c>
      <c r="D1217" t="inlineStr">
        <is>
          <t>BLEKINGE LÄN</t>
        </is>
      </c>
      <c r="E1217" t="inlineStr">
        <is>
          <t>KARLSKRONA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22802-2026</t>
        </is>
      </c>
      <c r="B1218" s="1" t="n">
        <v>46158</v>
      </c>
      <c r="C1218" s="1" t="n">
        <v>46196</v>
      </c>
      <c r="D1218" t="inlineStr">
        <is>
          <t>BLEKINGE LÄN</t>
        </is>
      </c>
      <c r="E1218" t="inlineStr">
        <is>
          <t>KARLSKRONA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22796-2026</t>
        </is>
      </c>
      <c r="B1219" s="1" t="n">
        <v>46158</v>
      </c>
      <c r="C1219" s="1" t="n">
        <v>46196</v>
      </c>
      <c r="D1219" t="inlineStr">
        <is>
          <t>BLEKINGE LÄN</t>
        </is>
      </c>
      <c r="E1219" t="inlineStr">
        <is>
          <t>KARLSKRONA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23237-2026</t>
        </is>
      </c>
      <c r="B1220" s="1" t="n">
        <v>46162</v>
      </c>
      <c r="C1220" s="1" t="n">
        <v>46196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23055-2026</t>
        </is>
      </c>
      <c r="B1221" s="1" t="n">
        <v>46161</v>
      </c>
      <c r="C1221" s="1" t="n">
        <v>46196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23250-2026</t>
        </is>
      </c>
      <c r="B1222" s="1" t="n">
        <v>46162</v>
      </c>
      <c r="C1222" s="1" t="n">
        <v>46196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17232-2026</t>
        </is>
      </c>
      <c r="B1223" s="1" t="n">
        <v>46119</v>
      </c>
      <c r="C1223" s="1" t="n">
        <v>46196</v>
      </c>
      <c r="D1223" t="inlineStr">
        <is>
          <t>BLEKINGE LÄN</t>
        </is>
      </c>
      <c r="E1223" t="inlineStr">
        <is>
          <t>OLOFSTRÖM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23376-2026</t>
        </is>
      </c>
      <c r="B1224" s="1" t="n">
        <v>46162</v>
      </c>
      <c r="C1224" s="1" t="n">
        <v>46196</v>
      </c>
      <c r="D1224" t="inlineStr">
        <is>
          <t>BLEKINGE LÄN</t>
        </is>
      </c>
      <c r="E1224" t="inlineStr">
        <is>
          <t>KARLSKRONA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17398-2026</t>
        </is>
      </c>
      <c r="B1225" s="1" t="n">
        <v>46119</v>
      </c>
      <c r="C1225" s="1" t="n">
        <v>46196</v>
      </c>
      <c r="D1225" t="inlineStr">
        <is>
          <t>BLEKINGE LÄN</t>
        </is>
      </c>
      <c r="E1225" t="inlineStr">
        <is>
          <t>RONNEBY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23385-2026</t>
        </is>
      </c>
      <c r="B1226" s="1" t="n">
        <v>46162</v>
      </c>
      <c r="C1226" s="1" t="n">
        <v>46196</v>
      </c>
      <c r="D1226" t="inlineStr">
        <is>
          <t>BLEKINGE LÄN</t>
        </is>
      </c>
      <c r="E1226" t="inlineStr">
        <is>
          <t>RONNEBY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23382-2026</t>
        </is>
      </c>
      <c r="B1227" s="1" t="n">
        <v>46162</v>
      </c>
      <c r="C1227" s="1" t="n">
        <v>46196</v>
      </c>
      <c r="D1227" t="inlineStr">
        <is>
          <t>BLEKINGE LÄN</t>
        </is>
      </c>
      <c r="E1227" t="inlineStr">
        <is>
          <t>RONNEBY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23380-2026</t>
        </is>
      </c>
      <c r="B1228" s="1" t="n">
        <v>46162</v>
      </c>
      <c r="C1228" s="1" t="n">
        <v>46196</v>
      </c>
      <c r="D1228" t="inlineStr">
        <is>
          <t>BLEKINGE LÄN</t>
        </is>
      </c>
      <c r="E1228" t="inlineStr">
        <is>
          <t>RONNEBY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17459-2026</t>
        </is>
      </c>
      <c r="B1229" s="1" t="n">
        <v>46120</v>
      </c>
      <c r="C1229" s="1" t="n">
        <v>46196</v>
      </c>
      <c r="D1229" t="inlineStr">
        <is>
          <t>BLEKINGE LÄN</t>
        </is>
      </c>
      <c r="E1229" t="inlineStr">
        <is>
          <t>OLOFSTRÖM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23687-2026</t>
        </is>
      </c>
      <c r="B1230" s="1" t="n">
        <v>46164</v>
      </c>
      <c r="C1230" s="1" t="n">
        <v>46196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23501-2026</t>
        </is>
      </c>
      <c r="B1231" s="1" t="n">
        <v>46163</v>
      </c>
      <c r="C1231" s="1" t="n">
        <v>46196</v>
      </c>
      <c r="D1231" t="inlineStr">
        <is>
          <t>BLEKINGE LÄN</t>
        </is>
      </c>
      <c r="E1231" t="inlineStr">
        <is>
          <t>KARLSKRONA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17559-2026</t>
        </is>
      </c>
      <c r="B1232" s="1" t="n">
        <v>46120</v>
      </c>
      <c r="C1232" s="1" t="n">
        <v>46196</v>
      </c>
      <c r="D1232" t="inlineStr">
        <is>
          <t>BLEKINGE LÄN</t>
        </is>
      </c>
      <c r="E1232" t="inlineStr">
        <is>
          <t>KARLSKRONA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17768-2026</t>
        </is>
      </c>
      <c r="B1233" s="1" t="n">
        <v>46122</v>
      </c>
      <c r="C1233" s="1" t="n">
        <v>46196</v>
      </c>
      <c r="D1233" t="inlineStr">
        <is>
          <t>BLEKINGE LÄN</t>
        </is>
      </c>
      <c r="E1233" t="inlineStr">
        <is>
          <t>KARLSHAMN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23693-2026</t>
        </is>
      </c>
      <c r="B1234" s="1" t="n">
        <v>46164</v>
      </c>
      <c r="C1234" s="1" t="n">
        <v>46196</v>
      </c>
      <c r="D1234" t="inlineStr">
        <is>
          <t>BLEKINGE LÄN</t>
        </is>
      </c>
      <c r="E1234" t="inlineStr">
        <is>
          <t>KARLSKRONA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23710-2026</t>
        </is>
      </c>
      <c r="B1235" s="1" t="n">
        <v>46164</v>
      </c>
      <c r="C1235" s="1" t="n">
        <v>46196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23715-2026</t>
        </is>
      </c>
      <c r="B1236" s="1" t="n">
        <v>46164</v>
      </c>
      <c r="C1236" s="1" t="n">
        <v>46196</v>
      </c>
      <c r="D1236" t="inlineStr">
        <is>
          <t>BLEKINGE LÄN</t>
        </is>
      </c>
      <c r="E1236" t="inlineStr">
        <is>
          <t>KARLSHAMN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23697-2026</t>
        </is>
      </c>
      <c r="B1237" s="1" t="n">
        <v>46164</v>
      </c>
      <c r="C1237" s="1" t="n">
        <v>46196</v>
      </c>
      <c r="D1237" t="inlineStr">
        <is>
          <t>BLEKINGE LÄN</t>
        </is>
      </c>
      <c r="E1237" t="inlineStr">
        <is>
          <t>RONNEBY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23698-2026</t>
        </is>
      </c>
      <c r="B1238" s="1" t="n">
        <v>46164</v>
      </c>
      <c r="C1238" s="1" t="n">
        <v>46196</v>
      </c>
      <c r="D1238" t="inlineStr">
        <is>
          <t>BLEKINGE LÄN</t>
        </is>
      </c>
      <c r="E1238" t="inlineStr">
        <is>
          <t>KARLSHAMN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23699-2026</t>
        </is>
      </c>
      <c r="B1239" s="1" t="n">
        <v>46164</v>
      </c>
      <c r="C1239" s="1" t="n">
        <v>46196</v>
      </c>
      <c r="D1239" t="inlineStr">
        <is>
          <t>BLEKINGE LÄN</t>
        </is>
      </c>
      <c r="E1239" t="inlineStr">
        <is>
          <t>KARLSHAMN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23726-2026</t>
        </is>
      </c>
      <c r="B1240" s="1" t="n">
        <v>46164</v>
      </c>
      <c r="C1240" s="1" t="n">
        <v>46196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18109-2026</t>
        </is>
      </c>
      <c r="B1241" s="1" t="n">
        <v>46125</v>
      </c>
      <c r="C1241" s="1" t="n">
        <v>46196</v>
      </c>
      <c r="D1241" t="inlineStr">
        <is>
          <t>BLEKINGE LÄN</t>
        </is>
      </c>
      <c r="E1241" t="inlineStr">
        <is>
          <t>KARLSKRONA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18192-2026</t>
        </is>
      </c>
      <c r="B1242" s="1" t="n">
        <v>46125</v>
      </c>
      <c r="C1242" s="1" t="n">
        <v>46196</v>
      </c>
      <c r="D1242" t="inlineStr">
        <is>
          <t>BLEKINGE LÄN</t>
        </is>
      </c>
      <c r="E1242" t="inlineStr">
        <is>
          <t>KARLSKRONA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18305-2026</t>
        </is>
      </c>
      <c r="B1243" s="1" t="n">
        <v>46126</v>
      </c>
      <c r="C1243" s="1" t="n">
        <v>46196</v>
      </c>
      <c r="D1243" t="inlineStr">
        <is>
          <t>BLEKINGE LÄN</t>
        </is>
      </c>
      <c r="E1243" t="inlineStr">
        <is>
          <t>RONNEBY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18329-2026</t>
        </is>
      </c>
      <c r="B1244" s="1" t="n">
        <v>46126</v>
      </c>
      <c r="C1244" s="1" t="n">
        <v>46196</v>
      </c>
      <c r="D1244" t="inlineStr">
        <is>
          <t>BLEKINGE LÄN</t>
        </is>
      </c>
      <c r="E1244" t="inlineStr">
        <is>
          <t>RONNEBY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23683-2026</t>
        </is>
      </c>
      <c r="B1245" s="1" t="n">
        <v>46164</v>
      </c>
      <c r="C1245" s="1" t="n">
        <v>46196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18046-2026</t>
        </is>
      </c>
      <c r="B1246" s="1" t="n">
        <v>46125</v>
      </c>
      <c r="C1246" s="1" t="n">
        <v>46196</v>
      </c>
      <c r="D1246" t="inlineStr">
        <is>
          <t>BLEKINGE LÄN</t>
        </is>
      </c>
      <c r="E1246" t="inlineStr">
        <is>
          <t>OLOFSTRÖM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27791-2022</t>
        </is>
      </c>
      <c r="B1247" s="1" t="n">
        <v>44743</v>
      </c>
      <c r="C1247" s="1" t="n">
        <v>46196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23927-2026</t>
        </is>
      </c>
      <c r="B1248" s="1" t="n">
        <v>46167</v>
      </c>
      <c r="C1248" s="1" t="n">
        <v>46196</v>
      </c>
      <c r="D1248" t="inlineStr">
        <is>
          <t>BLEKINGE LÄN</t>
        </is>
      </c>
      <c r="E1248" t="inlineStr">
        <is>
          <t>KARLSKRONA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24249-2026</t>
        </is>
      </c>
      <c r="B1249" s="1" t="n">
        <v>46168</v>
      </c>
      <c r="C1249" s="1" t="n">
        <v>46196</v>
      </c>
      <c r="D1249" t="inlineStr">
        <is>
          <t>BLEKINGE LÄN</t>
        </is>
      </c>
      <c r="E1249" t="inlineStr">
        <is>
          <t>RONNEBY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24244-2026</t>
        </is>
      </c>
      <c r="B1250" s="1" t="n">
        <v>46168</v>
      </c>
      <c r="C1250" s="1" t="n">
        <v>46196</v>
      </c>
      <c r="D1250" t="inlineStr">
        <is>
          <t>BLEKINGE LÄN</t>
        </is>
      </c>
      <c r="E1250" t="inlineStr">
        <is>
          <t>RONNEBY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24245-2026</t>
        </is>
      </c>
      <c r="B1251" s="1" t="n">
        <v>46168</v>
      </c>
      <c r="C1251" s="1" t="n">
        <v>46196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4366-2026</t>
        </is>
      </c>
      <c r="B1252" s="1" t="n">
        <v>46045</v>
      </c>
      <c r="C1252" s="1" t="n">
        <v>46196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18327-2026</t>
        </is>
      </c>
      <c r="B1253" s="1" t="n">
        <v>46126</v>
      </c>
      <c r="C1253" s="1" t="n">
        <v>46196</v>
      </c>
      <c r="D1253" t="inlineStr">
        <is>
          <t>BLEKINGE LÄN</t>
        </is>
      </c>
      <c r="E1253" t="inlineStr">
        <is>
          <t>RONNEBY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24603-2026</t>
        </is>
      </c>
      <c r="B1254" s="1" t="n">
        <v>46170</v>
      </c>
      <c r="C1254" s="1" t="n">
        <v>46196</v>
      </c>
      <c r="D1254" t="inlineStr">
        <is>
          <t>BLEKINGE LÄN</t>
        </is>
      </c>
      <c r="E1254" t="inlineStr">
        <is>
          <t>KARLSHAMN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24604-2026</t>
        </is>
      </c>
      <c r="B1255" s="1" t="n">
        <v>46170</v>
      </c>
      <c r="C1255" s="1" t="n">
        <v>46196</v>
      </c>
      <c r="D1255" t="inlineStr">
        <is>
          <t>BLEKINGE LÄN</t>
        </is>
      </c>
      <c r="E1255" t="inlineStr">
        <is>
          <t>KARLSHAMN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24375-2026</t>
        </is>
      </c>
      <c r="B1256" s="1" t="n">
        <v>46169</v>
      </c>
      <c r="C1256" s="1" t="n">
        <v>46196</v>
      </c>
      <c r="D1256" t="inlineStr">
        <is>
          <t>BLEKINGE LÄN</t>
        </is>
      </c>
      <c r="E1256" t="inlineStr">
        <is>
          <t>KARLSKRONA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24472-2026</t>
        </is>
      </c>
      <c r="B1257" s="1" t="n">
        <v>46170</v>
      </c>
      <c r="C1257" s="1" t="n">
        <v>46196</v>
      </c>
      <c r="D1257" t="inlineStr">
        <is>
          <t>BLEKINGE LÄN</t>
        </is>
      </c>
      <c r="E1257" t="inlineStr">
        <is>
          <t>KARLSHAMN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24785-2026</t>
        </is>
      </c>
      <c r="B1258" s="1" t="n">
        <v>46171</v>
      </c>
      <c r="C1258" s="1" t="n">
        <v>46196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18472-2026</t>
        </is>
      </c>
      <c r="B1259" s="1" t="n">
        <v>46127</v>
      </c>
      <c r="C1259" s="1" t="n">
        <v>46196</v>
      </c>
      <c r="D1259" t="inlineStr">
        <is>
          <t>BLEKINGE LÄN</t>
        </is>
      </c>
      <c r="E1259" t="inlineStr">
        <is>
          <t>OLOFSTRÖM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24487-2026</t>
        </is>
      </c>
      <c r="B1260" s="1" t="n">
        <v>46170</v>
      </c>
      <c r="C1260" s="1" t="n">
        <v>46196</v>
      </c>
      <c r="D1260" t="inlineStr">
        <is>
          <t>BLEKINGE LÄN</t>
        </is>
      </c>
      <c r="E1260" t="inlineStr">
        <is>
          <t>KARLSHAMN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24531-2026</t>
        </is>
      </c>
      <c r="B1261" s="1" t="n">
        <v>46170</v>
      </c>
      <c r="C1261" s="1" t="n">
        <v>46196</v>
      </c>
      <c r="D1261" t="inlineStr">
        <is>
          <t>BLEKINGE LÄN</t>
        </is>
      </c>
      <c r="E1261" t="inlineStr">
        <is>
          <t>KARLSHAMN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24602-2026</t>
        </is>
      </c>
      <c r="B1262" s="1" t="n">
        <v>46170</v>
      </c>
      <c r="C1262" s="1" t="n">
        <v>46196</v>
      </c>
      <c r="D1262" t="inlineStr">
        <is>
          <t>BLEKINGE LÄN</t>
        </is>
      </c>
      <c r="E1262" t="inlineStr">
        <is>
          <t>KARLSHAMN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24179-2022</t>
        </is>
      </c>
      <c r="B1263" s="1" t="n">
        <v>44725</v>
      </c>
      <c r="C1263" s="1" t="n">
        <v>46196</v>
      </c>
      <c r="D1263" t="inlineStr">
        <is>
          <t>BLEKINGE LÄN</t>
        </is>
      </c>
      <c r="E1263" t="inlineStr">
        <is>
          <t>KARLSKRONA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24320-2026</t>
        </is>
      </c>
      <c r="B1264" s="1" t="n">
        <v>46169</v>
      </c>
      <c r="C1264" s="1" t="n">
        <v>46196</v>
      </c>
      <c r="D1264" t="inlineStr">
        <is>
          <t>BLEKINGE LÄN</t>
        </is>
      </c>
      <c r="E1264" t="inlineStr">
        <is>
          <t>OLOFSTRÖM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25034-2026</t>
        </is>
      </c>
      <c r="B1265" s="1" t="n">
        <v>46174</v>
      </c>
      <c r="C1265" s="1" t="n">
        <v>46196</v>
      </c>
      <c r="D1265" t="inlineStr">
        <is>
          <t>BLEKINGE LÄN</t>
        </is>
      </c>
      <c r="E1265" t="inlineStr">
        <is>
          <t>KARLSHAMN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62698-2023</t>
        </is>
      </c>
      <c r="B1266" s="1" t="n">
        <v>45268</v>
      </c>
      <c r="C1266" s="1" t="n">
        <v>46196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52696-2023</t>
        </is>
      </c>
      <c r="B1267" s="1" t="n">
        <v>45225</v>
      </c>
      <c r="C1267" s="1" t="n">
        <v>46196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16867-2025</t>
        </is>
      </c>
      <c r="B1268" s="1" t="n">
        <v>45754</v>
      </c>
      <c r="C1268" s="1" t="n">
        <v>46196</v>
      </c>
      <c r="D1268" t="inlineStr">
        <is>
          <t>BLEKINGE LÄN</t>
        </is>
      </c>
      <c r="E1268" t="inlineStr">
        <is>
          <t>RONNEBY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19464-2026</t>
        </is>
      </c>
      <c r="B1269" s="1" t="n">
        <v>46133</v>
      </c>
      <c r="C1269" s="1" t="n">
        <v>46196</v>
      </c>
      <c r="D1269" t="inlineStr">
        <is>
          <t>BLEKINGE LÄN</t>
        </is>
      </c>
      <c r="E1269" t="inlineStr">
        <is>
          <t>RONNEBY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24382-2026</t>
        </is>
      </c>
      <c r="B1270" s="1" t="n">
        <v>46169</v>
      </c>
      <c r="C1270" s="1" t="n">
        <v>46196</v>
      </c>
      <c r="D1270" t="inlineStr">
        <is>
          <t>BLEKINGE LÄN</t>
        </is>
      </c>
      <c r="E1270" t="inlineStr">
        <is>
          <t>KARLSKRONA</t>
        </is>
      </c>
      <c r="F1270" t="inlineStr">
        <is>
          <t>Övriga statliga verk och myndigheter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2197-2024</t>
        </is>
      </c>
      <c r="B1271" s="1" t="n">
        <v>45309</v>
      </c>
      <c r="C1271" s="1" t="n">
        <v>46196</v>
      </c>
      <c r="D1271" t="inlineStr">
        <is>
          <t>BLEKINGE LÄN</t>
        </is>
      </c>
      <c r="E1271" t="inlineStr">
        <is>
          <t>KARLSKRONA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58379-2024</t>
        </is>
      </c>
      <c r="B1272" s="1" t="n">
        <v>45632</v>
      </c>
      <c r="C1272" s="1" t="n">
        <v>46196</v>
      </c>
      <c r="D1272" t="inlineStr">
        <is>
          <t>BLEKINGE LÄN</t>
        </is>
      </c>
      <c r="E1272" t="inlineStr">
        <is>
          <t>KARLSHAMN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65639-2021</t>
        </is>
      </c>
      <c r="B1273" s="1" t="n">
        <v>44516</v>
      </c>
      <c r="C1273" s="1" t="n">
        <v>46196</v>
      </c>
      <c r="D1273" t="inlineStr">
        <is>
          <t>BLEKINGE LÄN</t>
        </is>
      </c>
      <c r="E1273" t="inlineStr">
        <is>
          <t>KARLSKRONA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25434-2026</t>
        </is>
      </c>
      <c r="B1274" s="1" t="n">
        <v>46177</v>
      </c>
      <c r="C1274" s="1" t="n">
        <v>46196</v>
      </c>
      <c r="D1274" t="inlineStr">
        <is>
          <t>BLEKINGE LÄN</t>
        </is>
      </c>
      <c r="E1274" t="inlineStr">
        <is>
          <t>KARLSKRONA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49786-2022</t>
        </is>
      </c>
      <c r="B1275" s="1" t="n">
        <v>44862</v>
      </c>
      <c r="C1275" s="1" t="n">
        <v>46196</v>
      </c>
      <c r="D1275" t="inlineStr">
        <is>
          <t>BLEKINGE LÄN</t>
        </is>
      </c>
      <c r="E1275" t="inlineStr">
        <is>
          <t>OLOFSTRÖM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42431-2023</t>
        </is>
      </c>
      <c r="B1276" s="1" t="n">
        <v>45180</v>
      </c>
      <c r="C1276" s="1" t="n">
        <v>46196</v>
      </c>
      <c r="D1276" t="inlineStr">
        <is>
          <t>BLEKINGE LÄN</t>
        </is>
      </c>
      <c r="E1276" t="inlineStr">
        <is>
          <t>OLOFSTRÖM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25309-2026</t>
        </is>
      </c>
      <c r="B1277" s="1" t="n">
        <v>46176</v>
      </c>
      <c r="C1277" s="1" t="n">
        <v>46196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25312-2026</t>
        </is>
      </c>
      <c r="B1278" s="1" t="n">
        <v>46176</v>
      </c>
      <c r="C1278" s="1" t="n">
        <v>46196</v>
      </c>
      <c r="D1278" t="inlineStr">
        <is>
          <t>BLEKINGE LÄN</t>
        </is>
      </c>
      <c r="E1278" t="inlineStr">
        <is>
          <t>KARLSKRONA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25435-2026</t>
        </is>
      </c>
      <c r="B1279" s="1" t="n">
        <v>46177</v>
      </c>
      <c r="C1279" s="1" t="n">
        <v>46196</v>
      </c>
      <c r="D1279" t="inlineStr">
        <is>
          <t>BLEKINGE LÄN</t>
        </is>
      </c>
      <c r="E1279" t="inlineStr">
        <is>
          <t>KARLSKRONA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42437-2025</t>
        </is>
      </c>
      <c r="B1280" s="1" t="n">
        <v>45905</v>
      </c>
      <c r="C1280" s="1" t="n">
        <v>46196</v>
      </c>
      <c r="D1280" t="inlineStr">
        <is>
          <t>BLEKINGE LÄN</t>
        </is>
      </c>
      <c r="E1280" t="inlineStr">
        <is>
          <t>KARLSKRONA</t>
        </is>
      </c>
      <c r="F1280" t="inlineStr">
        <is>
          <t>Kommuner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38515-2025</t>
        </is>
      </c>
      <c r="B1281" s="1" t="n">
        <v>45884</v>
      </c>
      <c r="C1281" s="1" t="n">
        <v>46196</v>
      </c>
      <c r="D1281" t="inlineStr">
        <is>
          <t>BLEKINGE LÄN</t>
        </is>
      </c>
      <c r="E1281" t="inlineStr">
        <is>
          <t>KARLSHAMN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14816-2025</t>
        </is>
      </c>
      <c r="B1282" s="1" t="n">
        <v>45743</v>
      </c>
      <c r="C1282" s="1" t="n">
        <v>46196</v>
      </c>
      <c r="D1282" t="inlineStr">
        <is>
          <t>BLEKINGE LÄN</t>
        </is>
      </c>
      <c r="E1282" t="inlineStr">
        <is>
          <t>KARLSHAMN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34932-2025</t>
        </is>
      </c>
      <c r="B1283" s="1" t="n">
        <v>45849</v>
      </c>
      <c r="C1283" s="1" t="n">
        <v>46196</v>
      </c>
      <c r="D1283" t="inlineStr">
        <is>
          <t>BLEKINGE LÄN</t>
        </is>
      </c>
      <c r="E1283" t="inlineStr">
        <is>
          <t>OLOFSTRÖM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44173-2025</t>
        </is>
      </c>
      <c r="B1284" s="1" t="n">
        <v>45915</v>
      </c>
      <c r="C1284" s="1" t="n">
        <v>46196</v>
      </c>
      <c r="D1284" t="inlineStr">
        <is>
          <t>BLEKINGE LÄN</t>
        </is>
      </c>
      <c r="E1284" t="inlineStr">
        <is>
          <t>KARLSKRONA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15358-2024</t>
        </is>
      </c>
      <c r="B1285" s="1" t="n">
        <v>45400</v>
      </c>
      <c r="C1285" s="1" t="n">
        <v>46196</v>
      </c>
      <c r="D1285" t="inlineStr">
        <is>
          <t>BLEKINGE LÄN</t>
        </is>
      </c>
      <c r="E1285" t="inlineStr">
        <is>
          <t>KARLSHAMN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47791-2024</t>
        </is>
      </c>
      <c r="B1286" s="1" t="n">
        <v>45588</v>
      </c>
      <c r="C1286" s="1" t="n">
        <v>46196</v>
      </c>
      <c r="D1286" t="inlineStr">
        <is>
          <t>BLEKINGE LÄN</t>
        </is>
      </c>
      <c r="E1286" t="inlineStr">
        <is>
          <t>KARLSHAMN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43595-2025</t>
        </is>
      </c>
      <c r="B1287" s="1" t="n">
        <v>45911</v>
      </c>
      <c r="C1287" s="1" t="n">
        <v>46196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44951-2025</t>
        </is>
      </c>
      <c r="B1288" s="1" t="n">
        <v>45918</v>
      </c>
      <c r="C1288" s="1" t="n">
        <v>46196</v>
      </c>
      <c r="D1288" t="inlineStr">
        <is>
          <t>BLEKINGE LÄN</t>
        </is>
      </c>
      <c r="E1288" t="inlineStr">
        <is>
          <t>KARLSHAMN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7848-2026</t>
        </is>
      </c>
      <c r="B1289" s="1" t="n">
        <v>46062</v>
      </c>
      <c r="C1289" s="1" t="n">
        <v>46196</v>
      </c>
      <c r="D1289" t="inlineStr">
        <is>
          <t>BLEKINGE LÄN</t>
        </is>
      </c>
      <c r="E1289" t="inlineStr">
        <is>
          <t>RONNEBY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38405-2025</t>
        </is>
      </c>
      <c r="B1290" s="1" t="n">
        <v>45883</v>
      </c>
      <c r="C1290" s="1" t="n">
        <v>46196</v>
      </c>
      <c r="D1290" t="inlineStr">
        <is>
          <t>BLEKINGE LÄN</t>
        </is>
      </c>
      <c r="E1290" t="inlineStr">
        <is>
          <t>OLOFSTRÖM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56435-2024</t>
        </is>
      </c>
      <c r="B1291" s="1" t="n">
        <v>45625</v>
      </c>
      <c r="C1291" s="1" t="n">
        <v>46196</v>
      </c>
      <c r="D1291" t="inlineStr">
        <is>
          <t>BLEKINGE LÄN</t>
        </is>
      </c>
      <c r="E1291" t="inlineStr">
        <is>
          <t>RONNEBY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36270-2023</t>
        </is>
      </c>
      <c r="B1292" s="1" t="n">
        <v>45151</v>
      </c>
      <c r="C1292" s="1" t="n">
        <v>46196</v>
      </c>
      <c r="D1292" t="inlineStr">
        <is>
          <t>BLEKINGE LÄN</t>
        </is>
      </c>
      <c r="E1292" t="inlineStr">
        <is>
          <t>KARLSHAMN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48843-2025</t>
        </is>
      </c>
      <c r="B1293" s="1" t="n">
        <v>45937</v>
      </c>
      <c r="C1293" s="1" t="n">
        <v>46196</v>
      </c>
      <c r="D1293" t="inlineStr">
        <is>
          <t>BLEKINGE LÄN</t>
        </is>
      </c>
      <c r="E1293" t="inlineStr">
        <is>
          <t>KARLSHAMN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21589-2025</t>
        </is>
      </c>
      <c r="B1294" s="1" t="n">
        <v>45783</v>
      </c>
      <c r="C1294" s="1" t="n">
        <v>46196</v>
      </c>
      <c r="D1294" t="inlineStr">
        <is>
          <t>BLEKINGE LÄN</t>
        </is>
      </c>
      <c r="E1294" t="inlineStr">
        <is>
          <t>KARLSKRONA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33862-2023</t>
        </is>
      </c>
      <c r="B1295" s="1" t="n">
        <v>45133</v>
      </c>
      <c r="C1295" s="1" t="n">
        <v>46196</v>
      </c>
      <c r="D1295" t="inlineStr">
        <is>
          <t>BLEKINGE LÄN</t>
        </is>
      </c>
      <c r="E1295" t="inlineStr">
        <is>
          <t>OLOFSTRÖM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56512-2025</t>
        </is>
      </c>
      <c r="B1296" s="1" t="n">
        <v>45975</v>
      </c>
      <c r="C1296" s="1" t="n">
        <v>46196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25948-2026</t>
        </is>
      </c>
      <c r="B1297" s="1" t="n">
        <v>46181</v>
      </c>
      <c r="C1297" s="1" t="n">
        <v>46196</v>
      </c>
      <c r="D1297" t="inlineStr">
        <is>
          <t>BLEKINGE LÄN</t>
        </is>
      </c>
      <c r="E1297" t="inlineStr">
        <is>
          <t>RONNEBY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58402-2025</t>
        </is>
      </c>
      <c r="B1298" s="1" t="n">
        <v>45985</v>
      </c>
      <c r="C1298" s="1" t="n">
        <v>46196</v>
      </c>
      <c r="D1298" t="inlineStr">
        <is>
          <t>BLEKINGE LÄN</t>
        </is>
      </c>
      <c r="E1298" t="inlineStr">
        <is>
          <t>KARLSKRONA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45052-2025</t>
        </is>
      </c>
      <c r="B1299" s="1" t="n">
        <v>45919</v>
      </c>
      <c r="C1299" s="1" t="n">
        <v>46196</v>
      </c>
      <c r="D1299" t="inlineStr">
        <is>
          <t>BLEKINGE LÄN</t>
        </is>
      </c>
      <c r="E1299" t="inlineStr">
        <is>
          <t>KARLSHAMN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2899-2025</t>
        </is>
      </c>
      <c r="B1300" s="1" t="n">
        <v>45677</v>
      </c>
      <c r="C1300" s="1" t="n">
        <v>46196</v>
      </c>
      <c r="D1300" t="inlineStr">
        <is>
          <t>BLEKINGE LÄN</t>
        </is>
      </c>
      <c r="E1300" t="inlineStr">
        <is>
          <t>RONNEBY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11257-2023</t>
        </is>
      </c>
      <c r="B1301" s="1" t="n">
        <v>44992</v>
      </c>
      <c r="C1301" s="1" t="n">
        <v>46196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20351-2026</t>
        </is>
      </c>
      <c r="B1302" s="1" t="n">
        <v>46139</v>
      </c>
      <c r="C1302" s="1" t="n">
        <v>46196</v>
      </c>
      <c r="D1302" t="inlineStr">
        <is>
          <t>BLEKINGE LÄN</t>
        </is>
      </c>
      <c r="E1302" t="inlineStr">
        <is>
          <t>RONNEBY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26889-2025</t>
        </is>
      </c>
      <c r="B1303" s="1" t="n">
        <v>45811</v>
      </c>
      <c r="C1303" s="1" t="n">
        <v>46196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20448-2025</t>
        </is>
      </c>
      <c r="B1304" s="1" t="n">
        <v>45775</v>
      </c>
      <c r="C1304" s="1" t="n">
        <v>46196</v>
      </c>
      <c r="D1304" t="inlineStr">
        <is>
          <t>BLEKINGE LÄN</t>
        </is>
      </c>
      <c r="E1304" t="inlineStr">
        <is>
          <t>OLOFSTRÖM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46712-2021</t>
        </is>
      </c>
      <c r="B1305" s="1" t="n">
        <v>44445</v>
      </c>
      <c r="C1305" s="1" t="n">
        <v>46196</v>
      </c>
      <c r="D1305" t="inlineStr">
        <is>
          <t>BLEKINGE LÄN</t>
        </is>
      </c>
      <c r="E1305" t="inlineStr">
        <is>
          <t>KARLSKRONA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38518-2025</t>
        </is>
      </c>
      <c r="B1306" s="1" t="n">
        <v>45884</v>
      </c>
      <c r="C1306" s="1" t="n">
        <v>46196</v>
      </c>
      <c r="D1306" t="inlineStr">
        <is>
          <t>BLEKINGE LÄN</t>
        </is>
      </c>
      <c r="E1306" t="inlineStr">
        <is>
          <t>KARLSHAMN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41660-2024</t>
        </is>
      </c>
      <c r="B1307" s="1" t="n">
        <v>45560</v>
      </c>
      <c r="C1307" s="1" t="n">
        <v>46196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4127-2025</t>
        </is>
      </c>
      <c r="B1308" s="1" t="n">
        <v>45685</v>
      </c>
      <c r="C1308" s="1" t="n">
        <v>46196</v>
      </c>
      <c r="D1308" t="inlineStr">
        <is>
          <t>BLEKINGE LÄN</t>
        </is>
      </c>
      <c r="E1308" t="inlineStr">
        <is>
          <t>KARLSKRONA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40597-2025</t>
        </is>
      </c>
      <c r="B1309" s="1" t="n">
        <v>45896</v>
      </c>
      <c r="C1309" s="1" t="n">
        <v>46196</v>
      </c>
      <c r="D1309" t="inlineStr">
        <is>
          <t>BLEKINGE LÄN</t>
        </is>
      </c>
      <c r="E1309" t="inlineStr">
        <is>
          <t>KARLSKRONA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38317-2025</t>
        </is>
      </c>
      <c r="B1310" s="1" t="n">
        <v>45883</v>
      </c>
      <c r="C1310" s="1" t="n">
        <v>46196</v>
      </c>
      <c r="D1310" t="inlineStr">
        <is>
          <t>BLEKINGE LÄN</t>
        </is>
      </c>
      <c r="E1310" t="inlineStr">
        <is>
          <t>SÖLVESBORG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51460-2023</t>
        </is>
      </c>
      <c r="B1311" s="1" t="n">
        <v>45221</v>
      </c>
      <c r="C1311" s="1" t="n">
        <v>46196</v>
      </c>
      <c r="D1311" t="inlineStr">
        <is>
          <t>BLEKINGE LÄN</t>
        </is>
      </c>
      <c r="E1311" t="inlineStr">
        <is>
          <t>OLOFSTRÖM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1494-2025</t>
        </is>
      </c>
      <c r="B1312" s="1" t="n">
        <v>45670</v>
      </c>
      <c r="C1312" s="1" t="n">
        <v>46196</v>
      </c>
      <c r="D1312" t="inlineStr">
        <is>
          <t>BLEKINGE LÄN</t>
        </is>
      </c>
      <c r="E1312" t="inlineStr">
        <is>
          <t>RONNEBY</t>
        </is>
      </c>
      <c r="G1312" t="n">
        <v>12.6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39901-2024</t>
        </is>
      </c>
      <c r="B1313" s="1" t="n">
        <v>45553</v>
      </c>
      <c r="C1313" s="1" t="n">
        <v>46196</v>
      </c>
      <c r="D1313" t="inlineStr">
        <is>
          <t>BLEKINGE LÄN</t>
        </is>
      </c>
      <c r="E1313" t="inlineStr">
        <is>
          <t>KARLSHAMN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47971-2025</t>
        </is>
      </c>
      <c r="B1314" s="1" t="n">
        <v>45932</v>
      </c>
      <c r="C1314" s="1" t="n">
        <v>46196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47160-2025</t>
        </is>
      </c>
      <c r="B1315" s="1" t="n">
        <v>45929</v>
      </c>
      <c r="C1315" s="1" t="n">
        <v>46196</v>
      </c>
      <c r="D1315" t="inlineStr">
        <is>
          <t>BLEKINGE LÄN</t>
        </is>
      </c>
      <c r="E1315" t="inlineStr">
        <is>
          <t>RONNEBY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45482-2024</t>
        </is>
      </c>
      <c r="B1316" s="1" t="n">
        <v>45576</v>
      </c>
      <c r="C1316" s="1" t="n">
        <v>46196</v>
      </c>
      <c r="D1316" t="inlineStr">
        <is>
          <t>BLEKINGE LÄN</t>
        </is>
      </c>
      <c r="E1316" t="inlineStr">
        <is>
          <t>KARLSKRONA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21833-2025</t>
        </is>
      </c>
      <c r="B1317" s="1" t="n">
        <v>45784</v>
      </c>
      <c r="C1317" s="1" t="n">
        <v>46196</v>
      </c>
      <c r="D1317" t="inlineStr">
        <is>
          <t>BLEKINGE LÄN</t>
        </is>
      </c>
      <c r="E1317" t="inlineStr">
        <is>
          <t>KARLSKRONA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8486-2025</t>
        </is>
      </c>
      <c r="B1318" s="1" t="n">
        <v>45709</v>
      </c>
      <c r="C1318" s="1" t="n">
        <v>46196</v>
      </c>
      <c r="D1318" t="inlineStr">
        <is>
          <t>BLEKINGE LÄN</t>
        </is>
      </c>
      <c r="E1318" t="inlineStr">
        <is>
          <t>OLOFSTRÖM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39838-2025</t>
        </is>
      </c>
      <c r="B1319" s="1" t="n">
        <v>45891</v>
      </c>
      <c r="C1319" s="1" t="n">
        <v>46196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39844-2025</t>
        </is>
      </c>
      <c r="B1320" s="1" t="n">
        <v>45891</v>
      </c>
      <c r="C1320" s="1" t="n">
        <v>46196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46531-2023</t>
        </is>
      </c>
      <c r="B1321" s="1" t="n">
        <v>45197</v>
      </c>
      <c r="C1321" s="1" t="n">
        <v>46196</v>
      </c>
      <c r="D1321" t="inlineStr">
        <is>
          <t>BLEKINGE LÄN</t>
        </is>
      </c>
      <c r="E1321" t="inlineStr">
        <is>
          <t>OLOFSTRÖM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20540-2025</t>
        </is>
      </c>
      <c r="B1322" s="1" t="n">
        <v>45775</v>
      </c>
      <c r="C1322" s="1" t="n">
        <v>46196</v>
      </c>
      <c r="D1322" t="inlineStr">
        <is>
          <t>BLEKINGE LÄN</t>
        </is>
      </c>
      <c r="E1322" t="inlineStr">
        <is>
          <t>KARLSHAMN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25956-2026</t>
        </is>
      </c>
      <c r="B1323" s="1" t="n">
        <v>46181</v>
      </c>
      <c r="C1323" s="1" t="n">
        <v>46196</v>
      </c>
      <c r="D1323" t="inlineStr">
        <is>
          <t>BLEKINGE LÄN</t>
        </is>
      </c>
      <c r="E1323" t="inlineStr">
        <is>
          <t>RONNEBY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2524-2025</t>
        </is>
      </c>
      <c r="B1324" s="1" t="n">
        <v>45673</v>
      </c>
      <c r="C1324" s="1" t="n">
        <v>46196</v>
      </c>
      <c r="D1324" t="inlineStr">
        <is>
          <t>BLEKINGE LÄN</t>
        </is>
      </c>
      <c r="E1324" t="inlineStr">
        <is>
          <t>RONNEBY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40041-2025</t>
        </is>
      </c>
      <c r="B1325" s="1" t="n">
        <v>45894</v>
      </c>
      <c r="C1325" s="1" t="n">
        <v>46196</v>
      </c>
      <c r="D1325" t="inlineStr">
        <is>
          <t>BLEKINGE LÄN</t>
        </is>
      </c>
      <c r="E1325" t="inlineStr">
        <is>
          <t>KARLSKRONA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9775-2025</t>
        </is>
      </c>
      <c r="B1326" s="1" t="n">
        <v>45716</v>
      </c>
      <c r="C1326" s="1" t="n">
        <v>46196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21112-2024</t>
        </is>
      </c>
      <c r="B1327" s="1" t="n">
        <v>45440</v>
      </c>
      <c r="C1327" s="1" t="n">
        <v>46196</v>
      </c>
      <c r="D1327" t="inlineStr">
        <is>
          <t>BLEKINGE LÄN</t>
        </is>
      </c>
      <c r="E1327" t="inlineStr">
        <is>
          <t>RONNEBY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37777-2025</t>
        </is>
      </c>
      <c r="B1328" s="1" t="n">
        <v>45880</v>
      </c>
      <c r="C1328" s="1" t="n">
        <v>46196</v>
      </c>
      <c r="D1328" t="inlineStr">
        <is>
          <t>BLEKINGE LÄN</t>
        </is>
      </c>
      <c r="E1328" t="inlineStr">
        <is>
          <t>KARLSKRONA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25652-2026</t>
        </is>
      </c>
      <c r="B1329" s="1" t="n">
        <v>46177</v>
      </c>
      <c r="C1329" s="1" t="n">
        <v>46196</v>
      </c>
      <c r="D1329" t="inlineStr">
        <is>
          <t>BLEKINGE LÄN</t>
        </is>
      </c>
      <c r="E1329" t="inlineStr">
        <is>
          <t>KARLSKRONA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45711-2025</t>
        </is>
      </c>
      <c r="B1330" s="1" t="n">
        <v>45923</v>
      </c>
      <c r="C1330" s="1" t="n">
        <v>46196</v>
      </c>
      <c r="D1330" t="inlineStr">
        <is>
          <t>BLEKINGE LÄN</t>
        </is>
      </c>
      <c r="E1330" t="inlineStr">
        <is>
          <t>KARLSKRONA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26087-2026</t>
        </is>
      </c>
      <c r="B1331" s="1" t="n">
        <v>46181</v>
      </c>
      <c r="C1331" s="1" t="n">
        <v>46196</v>
      </c>
      <c r="D1331" t="inlineStr">
        <is>
          <t>BLEKINGE LÄN</t>
        </is>
      </c>
      <c r="E1331" t="inlineStr">
        <is>
          <t>KARLSHAMN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20353-2026</t>
        </is>
      </c>
      <c r="B1332" s="1" t="n">
        <v>46139</v>
      </c>
      <c r="C1332" s="1" t="n">
        <v>46196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28328-2025</t>
        </is>
      </c>
      <c r="B1333" s="1" t="n">
        <v>45818</v>
      </c>
      <c r="C1333" s="1" t="n">
        <v>46196</v>
      </c>
      <c r="D1333" t="inlineStr">
        <is>
          <t>BLEKINGE LÄN</t>
        </is>
      </c>
      <c r="E1333" t="inlineStr">
        <is>
          <t>OLOFSTRÖM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26092-2026</t>
        </is>
      </c>
      <c r="B1334" s="1" t="n">
        <v>46181</v>
      </c>
      <c r="C1334" s="1" t="n">
        <v>46196</v>
      </c>
      <c r="D1334" t="inlineStr">
        <is>
          <t>BLEKINGE LÄN</t>
        </is>
      </c>
      <c r="E1334" t="inlineStr">
        <is>
          <t>KARLSKRONA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25988-2026</t>
        </is>
      </c>
      <c r="B1335" s="1" t="n">
        <v>46181</v>
      </c>
      <c r="C1335" s="1" t="n">
        <v>46196</v>
      </c>
      <c r="D1335" t="inlineStr">
        <is>
          <t>BLEKINGE LÄN</t>
        </is>
      </c>
      <c r="E1335" t="inlineStr">
        <is>
          <t>KARLSHAMN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55113-2025</t>
        </is>
      </c>
      <c r="B1336" s="1" t="n">
        <v>45968</v>
      </c>
      <c r="C1336" s="1" t="n">
        <v>46196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26108-2026</t>
        </is>
      </c>
      <c r="B1337" s="1" t="n">
        <v>46181</v>
      </c>
      <c r="C1337" s="1" t="n">
        <v>46196</v>
      </c>
      <c r="D1337" t="inlineStr">
        <is>
          <t>BLEKINGE LÄN</t>
        </is>
      </c>
      <c r="E1337" t="inlineStr">
        <is>
          <t>KARLSKRONA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26111-2026</t>
        </is>
      </c>
      <c r="B1338" s="1" t="n">
        <v>46181</v>
      </c>
      <c r="C1338" s="1" t="n">
        <v>46196</v>
      </c>
      <c r="D1338" t="inlineStr">
        <is>
          <t>BLEKINGE LÄN</t>
        </is>
      </c>
      <c r="E1338" t="inlineStr">
        <is>
          <t>RONNEBY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44580-2025</t>
        </is>
      </c>
      <c r="B1339" s="1" t="n">
        <v>45917</v>
      </c>
      <c r="C1339" s="1" t="n">
        <v>46196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37690-2025</t>
        </is>
      </c>
      <c r="B1340" s="1" t="n">
        <v>45880</v>
      </c>
      <c r="C1340" s="1" t="n">
        <v>46196</v>
      </c>
      <c r="D1340" t="inlineStr">
        <is>
          <t>BLEKINGE LÄN</t>
        </is>
      </c>
      <c r="E1340" t="inlineStr">
        <is>
          <t>KARLSKRONA</t>
        </is>
      </c>
      <c r="G1340" t="n">
        <v>10.4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34470-2025</t>
        </is>
      </c>
      <c r="B1341" s="1" t="n">
        <v>45846</v>
      </c>
      <c r="C1341" s="1" t="n">
        <v>46196</v>
      </c>
      <c r="D1341" t="inlineStr">
        <is>
          <t>BLEKINGE LÄN</t>
        </is>
      </c>
      <c r="E1341" t="inlineStr">
        <is>
          <t>KARLSHAMN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28962-2025</t>
        </is>
      </c>
      <c r="B1342" s="1" t="n">
        <v>45821</v>
      </c>
      <c r="C1342" s="1" t="n">
        <v>46196</v>
      </c>
      <c r="D1342" t="inlineStr">
        <is>
          <t>BLEKINGE LÄN</t>
        </is>
      </c>
      <c r="E1342" t="inlineStr">
        <is>
          <t>RONNEBY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54248-2025</t>
        </is>
      </c>
      <c r="B1343" s="1" t="n">
        <v>45964</v>
      </c>
      <c r="C1343" s="1" t="n">
        <v>46196</v>
      </c>
      <c r="D1343" t="inlineStr">
        <is>
          <t>BLEKINGE LÄN</t>
        </is>
      </c>
      <c r="E1343" t="inlineStr">
        <is>
          <t>RONNEBY</t>
        </is>
      </c>
      <c r="F1343" t="inlineStr">
        <is>
          <t>Kommuner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621-2025</t>
        </is>
      </c>
      <c r="B1344" s="1" t="n">
        <v>45664</v>
      </c>
      <c r="C1344" s="1" t="n">
        <v>46196</v>
      </c>
      <c r="D1344" t="inlineStr">
        <is>
          <t>BLEKINGE LÄN</t>
        </is>
      </c>
      <c r="E1344" t="inlineStr">
        <is>
          <t>KARLSKRONA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22814-2025</t>
        </is>
      </c>
      <c r="B1345" s="1" t="n">
        <v>45789</v>
      </c>
      <c r="C1345" s="1" t="n">
        <v>46196</v>
      </c>
      <c r="D1345" t="inlineStr">
        <is>
          <t>BLEKINGE LÄN</t>
        </is>
      </c>
      <c r="E1345" t="inlineStr">
        <is>
          <t>KARLSHAMN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25650-2026</t>
        </is>
      </c>
      <c r="B1346" s="1" t="n">
        <v>46177</v>
      </c>
      <c r="C1346" s="1" t="n">
        <v>46196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52884-2025</t>
        </is>
      </c>
      <c r="B1347" s="1" t="n">
        <v>45954</v>
      </c>
      <c r="C1347" s="1" t="n">
        <v>46196</v>
      </c>
      <c r="D1347" t="inlineStr">
        <is>
          <t>BLEKINGE LÄN</t>
        </is>
      </c>
      <c r="E1347" t="inlineStr">
        <is>
          <t>RONNEBY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57818-2025</t>
        </is>
      </c>
      <c r="B1348" s="1" t="n">
        <v>45981</v>
      </c>
      <c r="C1348" s="1" t="n">
        <v>46196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38482-2025</t>
        </is>
      </c>
      <c r="B1349" s="1" t="n">
        <v>45884</v>
      </c>
      <c r="C1349" s="1" t="n">
        <v>46196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57525-2025</t>
        </is>
      </c>
      <c r="B1350" s="1" t="n">
        <v>45980</v>
      </c>
      <c r="C1350" s="1" t="n">
        <v>46196</v>
      </c>
      <c r="D1350" t="inlineStr">
        <is>
          <t>BLEKINGE LÄN</t>
        </is>
      </c>
      <c r="E1350" t="inlineStr">
        <is>
          <t>KARLSKRONA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30275-2025</t>
        </is>
      </c>
      <c r="B1351" s="1" t="n">
        <v>45827</v>
      </c>
      <c r="C1351" s="1" t="n">
        <v>46196</v>
      </c>
      <c r="D1351" t="inlineStr">
        <is>
          <t>BLEKINGE LÄN</t>
        </is>
      </c>
      <c r="E1351" t="inlineStr">
        <is>
          <t>KARLSKRONA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39426-2025</t>
        </is>
      </c>
      <c r="B1352" s="1" t="n">
        <v>45889</v>
      </c>
      <c r="C1352" s="1" t="n">
        <v>46196</v>
      </c>
      <c r="D1352" t="inlineStr">
        <is>
          <t>BLEKINGE LÄN</t>
        </is>
      </c>
      <c r="E1352" t="inlineStr">
        <is>
          <t>RONNEBY</t>
        </is>
      </c>
      <c r="F1352" t="inlineStr">
        <is>
          <t>Övriga Aktiebolag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9906-2025</t>
        </is>
      </c>
      <c r="B1353" s="1" t="n">
        <v>45717</v>
      </c>
      <c r="C1353" s="1" t="n">
        <v>46196</v>
      </c>
      <c r="D1353" t="inlineStr">
        <is>
          <t>BLEKINGE LÄN</t>
        </is>
      </c>
      <c r="E1353" t="inlineStr">
        <is>
          <t>KARLSHAMN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26115-2026</t>
        </is>
      </c>
      <c r="B1354" s="1" t="n">
        <v>46181</v>
      </c>
      <c r="C1354" s="1" t="n">
        <v>46196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1909-2024</t>
        </is>
      </c>
      <c r="B1355" s="1" t="n">
        <v>45308</v>
      </c>
      <c r="C1355" s="1" t="n">
        <v>46196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47774-2023</t>
        </is>
      </c>
      <c r="B1356" s="1" t="n">
        <v>45203</v>
      </c>
      <c r="C1356" s="1" t="n">
        <v>46196</v>
      </c>
      <c r="D1356" t="inlineStr">
        <is>
          <t>BLEKINGE LÄN</t>
        </is>
      </c>
      <c r="E1356" t="inlineStr">
        <is>
          <t>OLOFSTRÖM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52084-2023</t>
        </is>
      </c>
      <c r="B1357" s="1" t="n">
        <v>45216</v>
      </c>
      <c r="C1357" s="1" t="n">
        <v>46196</v>
      </c>
      <c r="D1357" t="inlineStr">
        <is>
          <t>BLEKINGE LÄN</t>
        </is>
      </c>
      <c r="E1357" t="inlineStr">
        <is>
          <t>SÖLVESBORG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34673-2025</t>
        </is>
      </c>
      <c r="B1358" s="1" t="n">
        <v>45848</v>
      </c>
      <c r="C1358" s="1" t="n">
        <v>46196</v>
      </c>
      <c r="D1358" t="inlineStr">
        <is>
          <t>BLEKINGE LÄN</t>
        </is>
      </c>
      <c r="E1358" t="inlineStr">
        <is>
          <t>KARLSHAMN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64810-2023</t>
        </is>
      </c>
      <c r="B1359" s="1" t="n">
        <v>45282</v>
      </c>
      <c r="C1359" s="1" t="n">
        <v>46196</v>
      </c>
      <c r="D1359" t="inlineStr">
        <is>
          <t>BLEKINGE LÄN</t>
        </is>
      </c>
      <c r="E1359" t="inlineStr">
        <is>
          <t>OLOFSTRÖM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21832-2025</t>
        </is>
      </c>
      <c r="B1360" s="1" t="n">
        <v>45784</v>
      </c>
      <c r="C1360" s="1" t="n">
        <v>46196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21953-2025</t>
        </is>
      </c>
      <c r="B1361" s="1" t="n">
        <v>45784</v>
      </c>
      <c r="C1361" s="1" t="n">
        <v>46196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26099-2026</t>
        </is>
      </c>
      <c r="B1362" s="1" t="n">
        <v>46181</v>
      </c>
      <c r="C1362" s="1" t="n">
        <v>46196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41863-2025</t>
        </is>
      </c>
      <c r="B1363" s="1" t="n">
        <v>45903</v>
      </c>
      <c r="C1363" s="1" t="n">
        <v>46196</v>
      </c>
      <c r="D1363" t="inlineStr">
        <is>
          <t>BLEKINGE LÄN</t>
        </is>
      </c>
      <c r="E1363" t="inlineStr">
        <is>
          <t>RONNEBY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28762-2025</t>
        </is>
      </c>
      <c r="B1364" s="1" t="n">
        <v>45820</v>
      </c>
      <c r="C1364" s="1" t="n">
        <v>46196</v>
      </c>
      <c r="D1364" t="inlineStr">
        <is>
          <t>BLEKINGE LÄN</t>
        </is>
      </c>
      <c r="E1364" t="inlineStr">
        <is>
          <t>OLOFSTRÖM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22798-2025</t>
        </is>
      </c>
      <c r="B1365" s="1" t="n">
        <v>45789</v>
      </c>
      <c r="C1365" s="1" t="n">
        <v>46196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25648-2026</t>
        </is>
      </c>
      <c r="B1366" s="1" t="n">
        <v>46177</v>
      </c>
      <c r="C1366" s="1" t="n">
        <v>46196</v>
      </c>
      <c r="D1366" t="inlineStr">
        <is>
          <t>BLEKINGE LÄN</t>
        </is>
      </c>
      <c r="E1366" t="inlineStr">
        <is>
          <t>KARLSKRONA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42074-2023</t>
        </is>
      </c>
      <c r="B1367" s="1" t="n">
        <v>45174</v>
      </c>
      <c r="C1367" s="1" t="n">
        <v>46196</v>
      </c>
      <c r="D1367" t="inlineStr">
        <is>
          <t>BLEKINGE LÄN</t>
        </is>
      </c>
      <c r="E1367" t="inlineStr">
        <is>
          <t>KARLSKRONA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9230-2025</t>
        </is>
      </c>
      <c r="B1368" s="1" t="n">
        <v>45714</v>
      </c>
      <c r="C1368" s="1" t="n">
        <v>46196</v>
      </c>
      <c r="D1368" t="inlineStr">
        <is>
          <t>BLEKINGE LÄN</t>
        </is>
      </c>
      <c r="E1368" t="inlineStr">
        <is>
          <t>RONNEBY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56072-2023</t>
        </is>
      </c>
      <c r="B1369" s="1" t="n">
        <v>45233</v>
      </c>
      <c r="C1369" s="1" t="n">
        <v>46196</v>
      </c>
      <c r="D1369" t="inlineStr">
        <is>
          <t>BLEKINGE LÄN</t>
        </is>
      </c>
      <c r="E1369" t="inlineStr">
        <is>
          <t>OLOFSTRÖM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39247-2025</t>
        </is>
      </c>
      <c r="B1370" s="1" t="n">
        <v>45889</v>
      </c>
      <c r="C1370" s="1" t="n">
        <v>46196</v>
      </c>
      <c r="D1370" t="inlineStr">
        <is>
          <t>BLEKINGE LÄN</t>
        </is>
      </c>
      <c r="E1370" t="inlineStr">
        <is>
          <t>RONNEBY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32327-2024</t>
        </is>
      </c>
      <c r="B1371" s="1" t="n">
        <v>45512</v>
      </c>
      <c r="C1371" s="1" t="n">
        <v>46196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20602-2026</t>
        </is>
      </c>
      <c r="B1372" s="1" t="n">
        <v>46140</v>
      </c>
      <c r="C1372" s="1" t="n">
        <v>46196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22096-2024</t>
        </is>
      </c>
      <c r="B1373" s="1" t="n">
        <v>45443</v>
      </c>
      <c r="C1373" s="1" t="n">
        <v>46196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45364-2023</t>
        </is>
      </c>
      <c r="B1374" s="1" t="n">
        <v>45192</v>
      </c>
      <c r="C1374" s="1" t="n">
        <v>46196</v>
      </c>
      <c r="D1374" t="inlineStr">
        <is>
          <t>BLEKINGE LÄN</t>
        </is>
      </c>
      <c r="E1374" t="inlineStr">
        <is>
          <t>RONNEBY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6618-2023</t>
        </is>
      </c>
      <c r="B1375" s="1" t="n">
        <v>44966</v>
      </c>
      <c r="C1375" s="1" t="n">
        <v>46196</v>
      </c>
      <c r="D1375" t="inlineStr">
        <is>
          <t>BLEKINGE LÄN</t>
        </is>
      </c>
      <c r="E1375" t="inlineStr">
        <is>
          <t>RONNEBY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48535-2025</t>
        </is>
      </c>
      <c r="B1376" s="1" t="n">
        <v>45936</v>
      </c>
      <c r="C1376" s="1" t="n">
        <v>46196</v>
      </c>
      <c r="D1376" t="inlineStr">
        <is>
          <t>BLEKINGE LÄN</t>
        </is>
      </c>
      <c r="E1376" t="inlineStr">
        <is>
          <t>OLOFSTRÖM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26412-2026</t>
        </is>
      </c>
      <c r="B1377" s="1" t="n">
        <v>46183</v>
      </c>
      <c r="C1377" s="1" t="n">
        <v>46196</v>
      </c>
      <c r="D1377" t="inlineStr">
        <is>
          <t>BLEKINGE LÄN</t>
        </is>
      </c>
      <c r="E1377" t="inlineStr">
        <is>
          <t>KARLSKRONA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13140-2026</t>
        </is>
      </c>
      <c r="B1378" s="1" t="n">
        <v>46093</v>
      </c>
      <c r="C1378" s="1" t="n">
        <v>46196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21543-2025</t>
        </is>
      </c>
      <c r="B1379" s="1" t="n">
        <v>45782</v>
      </c>
      <c r="C1379" s="1" t="n">
        <v>46196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10692-2022</t>
        </is>
      </c>
      <c r="B1380" s="1" t="n">
        <v>44624</v>
      </c>
      <c r="C1380" s="1" t="n">
        <v>46196</v>
      </c>
      <c r="D1380" t="inlineStr">
        <is>
          <t>BLEKINGE LÄN</t>
        </is>
      </c>
      <c r="E1380" t="inlineStr">
        <is>
          <t>KARLSHAMN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41310-2025</t>
        </is>
      </c>
      <c r="B1381" s="1" t="n">
        <v>45898</v>
      </c>
      <c r="C1381" s="1" t="n">
        <v>46196</v>
      </c>
      <c r="D1381" t="inlineStr">
        <is>
          <t>BLEKINGE LÄN</t>
        </is>
      </c>
      <c r="E1381" t="inlineStr">
        <is>
          <t>KARLSHAMN</t>
        </is>
      </c>
      <c r="F1381" t="inlineStr">
        <is>
          <t>Sveaskog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26274-2024</t>
        </is>
      </c>
      <c r="B1382" s="1" t="n">
        <v>45468</v>
      </c>
      <c r="C1382" s="1" t="n">
        <v>46196</v>
      </c>
      <c r="D1382" t="inlineStr">
        <is>
          <t>BLEKINGE LÄN</t>
        </is>
      </c>
      <c r="E1382" t="inlineStr">
        <is>
          <t>KARLSHAMN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13765-2026</t>
        </is>
      </c>
      <c r="B1383" s="1" t="n">
        <v>46097</v>
      </c>
      <c r="C1383" s="1" t="n">
        <v>46196</v>
      </c>
      <c r="D1383" t="inlineStr">
        <is>
          <t>BLEKINGE LÄN</t>
        </is>
      </c>
      <c r="E1383" t="inlineStr">
        <is>
          <t>OLOFSTRÖM</t>
        </is>
      </c>
      <c r="F1383" t="inlineStr">
        <is>
          <t>Övriga Aktiebolag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20546-2026</t>
        </is>
      </c>
      <c r="B1384" s="1" t="n">
        <v>46140</v>
      </c>
      <c r="C1384" s="1" t="n">
        <v>46196</v>
      </c>
      <c r="D1384" t="inlineStr">
        <is>
          <t>BLEKINGE LÄN</t>
        </is>
      </c>
      <c r="E1384" t="inlineStr">
        <is>
          <t>RONNEBY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26190-2026</t>
        </is>
      </c>
      <c r="B1385" s="1" t="n">
        <v>46182</v>
      </c>
      <c r="C1385" s="1" t="n">
        <v>46196</v>
      </c>
      <c r="D1385" t="inlineStr">
        <is>
          <t>BLEKINGE LÄN</t>
        </is>
      </c>
      <c r="E1385" t="inlineStr">
        <is>
          <t>KARLSKRONA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20551-2026</t>
        </is>
      </c>
      <c r="B1386" s="1" t="n">
        <v>46140</v>
      </c>
      <c r="C1386" s="1" t="n">
        <v>46196</v>
      </c>
      <c r="D1386" t="inlineStr">
        <is>
          <t>BLEKINGE LÄN</t>
        </is>
      </c>
      <c r="E1386" t="inlineStr">
        <is>
          <t>RONNEBY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20549-2026</t>
        </is>
      </c>
      <c r="B1387" s="1" t="n">
        <v>46140</v>
      </c>
      <c r="C1387" s="1" t="n">
        <v>46196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30823-2024</t>
        </is>
      </c>
      <c r="B1388" s="1" t="n">
        <v>45497</v>
      </c>
      <c r="C1388" s="1" t="n">
        <v>46196</v>
      </c>
      <c r="D1388" t="inlineStr">
        <is>
          <t>BLEKINGE LÄN</t>
        </is>
      </c>
      <c r="E1388" t="inlineStr">
        <is>
          <t>OLOFSTRÖM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20544-2026</t>
        </is>
      </c>
      <c r="B1389" s="1" t="n">
        <v>46140</v>
      </c>
      <c r="C1389" s="1" t="n">
        <v>46196</v>
      </c>
      <c r="D1389" t="inlineStr">
        <is>
          <t>BLEKINGE LÄN</t>
        </is>
      </c>
      <c r="E1389" t="inlineStr">
        <is>
          <t>RONNEBY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23782-2025</t>
        </is>
      </c>
      <c r="B1390" s="1" t="n">
        <v>45793</v>
      </c>
      <c r="C1390" s="1" t="n">
        <v>46196</v>
      </c>
      <c r="D1390" t="inlineStr">
        <is>
          <t>BLEKINGE LÄN</t>
        </is>
      </c>
      <c r="E1390" t="inlineStr">
        <is>
          <t>OLOFSTRÖM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39058-2024</t>
        </is>
      </c>
      <c r="B1391" s="1" t="n">
        <v>45548</v>
      </c>
      <c r="C1391" s="1" t="n">
        <v>46196</v>
      </c>
      <c r="D1391" t="inlineStr">
        <is>
          <t>BLEKINGE LÄN</t>
        </is>
      </c>
      <c r="E1391" t="inlineStr">
        <is>
          <t>OLOFSTRÖM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28249-2025</t>
        </is>
      </c>
      <c r="B1392" s="1" t="n">
        <v>45818</v>
      </c>
      <c r="C1392" s="1" t="n">
        <v>46196</v>
      </c>
      <c r="D1392" t="inlineStr">
        <is>
          <t>BLEKINGE LÄN</t>
        </is>
      </c>
      <c r="E1392" t="inlineStr">
        <is>
          <t>OLOFSTRÖM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8046-2025</t>
        </is>
      </c>
      <c r="B1393" s="1" t="n">
        <v>45706</v>
      </c>
      <c r="C1393" s="1" t="n">
        <v>46196</v>
      </c>
      <c r="D1393" t="inlineStr">
        <is>
          <t>BLEKINGE LÄN</t>
        </is>
      </c>
      <c r="E1393" t="inlineStr">
        <is>
          <t>RONNEBY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26290-2026</t>
        </is>
      </c>
      <c r="B1394" s="1" t="n">
        <v>46182</v>
      </c>
      <c r="C1394" s="1" t="n">
        <v>46196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4359-2026</t>
        </is>
      </c>
      <c r="B1395" s="1" t="n">
        <v>46045</v>
      </c>
      <c r="C1395" s="1" t="n">
        <v>46196</v>
      </c>
      <c r="D1395" t="inlineStr">
        <is>
          <t>BLEKINGE LÄN</t>
        </is>
      </c>
      <c r="E1395" t="inlineStr">
        <is>
          <t>KARLSHAMN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26287-2026</t>
        </is>
      </c>
      <c r="B1396" s="1" t="n">
        <v>46182</v>
      </c>
      <c r="C1396" s="1" t="n">
        <v>46196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52611-2023</t>
        </is>
      </c>
      <c r="B1397" s="1" t="n">
        <v>45225</v>
      </c>
      <c r="C1397" s="1" t="n">
        <v>46196</v>
      </c>
      <c r="D1397" t="inlineStr">
        <is>
          <t>BLEKINGE LÄN</t>
        </is>
      </c>
      <c r="E1397" t="inlineStr">
        <is>
          <t>RONNEBY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52614-2023</t>
        </is>
      </c>
      <c r="B1398" s="1" t="n">
        <v>45225</v>
      </c>
      <c r="C1398" s="1" t="n">
        <v>46196</v>
      </c>
      <c r="D1398" t="inlineStr">
        <is>
          <t>BLEKINGE LÄN</t>
        </is>
      </c>
      <c r="E1398" t="inlineStr">
        <is>
          <t>RONNEBY</t>
        </is>
      </c>
      <c r="G1398" t="n">
        <v>10.2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61934-2025</t>
        </is>
      </c>
      <c r="B1399" s="1" t="n">
        <v>46003</v>
      </c>
      <c r="C1399" s="1" t="n">
        <v>46196</v>
      </c>
      <c r="D1399" t="inlineStr">
        <is>
          <t>BLEKINGE LÄN</t>
        </is>
      </c>
      <c r="E1399" t="inlineStr">
        <is>
          <t>OLOFSTRÖM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56612-2025</t>
        </is>
      </c>
      <c r="B1400" s="1" t="n">
        <v>45975</v>
      </c>
      <c r="C1400" s="1" t="n">
        <v>46196</v>
      </c>
      <c r="D1400" t="inlineStr">
        <is>
          <t>BLEKINGE LÄN</t>
        </is>
      </c>
      <c r="E1400" t="inlineStr">
        <is>
          <t>OLOFSTRÖM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26779-2026</t>
        </is>
      </c>
      <c r="B1401" s="1" t="n">
        <v>46184</v>
      </c>
      <c r="C1401" s="1" t="n">
        <v>46196</v>
      </c>
      <c r="D1401" t="inlineStr">
        <is>
          <t>BLEKINGE LÄN</t>
        </is>
      </c>
      <c r="E1401" t="inlineStr">
        <is>
          <t>RONNEBY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21013-2026</t>
        </is>
      </c>
      <c r="B1402" s="1" t="n">
        <v>46143</v>
      </c>
      <c r="C1402" s="1" t="n">
        <v>46196</v>
      </c>
      <c r="D1402" t="inlineStr">
        <is>
          <t>BLEKINGE LÄN</t>
        </is>
      </c>
      <c r="E1402" t="inlineStr">
        <is>
          <t>OLOFSTRÖM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50150-2025</t>
        </is>
      </c>
      <c r="B1403" s="1" t="n">
        <v>45943</v>
      </c>
      <c r="C1403" s="1" t="n">
        <v>46196</v>
      </c>
      <c r="D1403" t="inlineStr">
        <is>
          <t>BLEKINGE LÄN</t>
        </is>
      </c>
      <c r="E1403" t="inlineStr">
        <is>
          <t>KARLSHAMN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27010-2026</t>
        </is>
      </c>
      <c r="B1404" s="1" t="n">
        <v>46185</v>
      </c>
      <c r="C1404" s="1" t="n">
        <v>46196</v>
      </c>
      <c r="D1404" t="inlineStr">
        <is>
          <t>BLEKINGE LÄN</t>
        </is>
      </c>
      <c r="E1404" t="inlineStr">
        <is>
          <t>KARLSKRONA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26744-2026</t>
        </is>
      </c>
      <c r="B1405" s="1" t="n">
        <v>46184</v>
      </c>
      <c r="C1405" s="1" t="n">
        <v>46196</v>
      </c>
      <c r="D1405" t="inlineStr">
        <is>
          <t>BLEKINGE LÄN</t>
        </is>
      </c>
      <c r="E1405" t="inlineStr">
        <is>
          <t>SÖLVESBORG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26706-2026</t>
        </is>
      </c>
      <c r="B1406" s="1" t="n">
        <v>46184</v>
      </c>
      <c r="C1406" s="1" t="n">
        <v>46196</v>
      </c>
      <c r="D1406" t="inlineStr">
        <is>
          <t>BLEKINGE LÄN</t>
        </is>
      </c>
      <c r="E1406" t="inlineStr">
        <is>
          <t>RONNEBY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67336-2021</t>
        </is>
      </c>
      <c r="B1407" s="1" t="n">
        <v>44523</v>
      </c>
      <c r="C1407" s="1" t="n">
        <v>46196</v>
      </c>
      <c r="D1407" t="inlineStr">
        <is>
          <t>BLEKINGE LÄN</t>
        </is>
      </c>
      <c r="E1407" t="inlineStr">
        <is>
          <t>KARLSKRONA</t>
        </is>
      </c>
      <c r="G1407" t="n">
        <v>13.4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61564-2024</t>
        </is>
      </c>
      <c r="B1408" s="1" t="n">
        <v>45646</v>
      </c>
      <c r="C1408" s="1" t="n">
        <v>46196</v>
      </c>
      <c r="D1408" t="inlineStr">
        <is>
          <t>BLEKINGE LÄN</t>
        </is>
      </c>
      <c r="E1408" t="inlineStr">
        <is>
          <t>RONNEBY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29971-2023</t>
        </is>
      </c>
      <c r="B1409" s="1" t="n">
        <v>45108</v>
      </c>
      <c r="C1409" s="1" t="n">
        <v>46196</v>
      </c>
      <c r="D1409" t="inlineStr">
        <is>
          <t>BLEKINGE LÄN</t>
        </is>
      </c>
      <c r="E1409" t="inlineStr">
        <is>
          <t>KARLSHAMN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50129-2025</t>
        </is>
      </c>
      <c r="B1410" s="1" t="n">
        <v>45943</v>
      </c>
      <c r="C1410" s="1" t="n">
        <v>46196</v>
      </c>
      <c r="D1410" t="inlineStr">
        <is>
          <t>BLEKINGE LÄN</t>
        </is>
      </c>
      <c r="E1410" t="inlineStr">
        <is>
          <t>KARLSHAMN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27209-2026</t>
        </is>
      </c>
      <c r="B1411" s="1" t="n">
        <v>46188</v>
      </c>
      <c r="C1411" s="1" t="n">
        <v>46196</v>
      </c>
      <c r="D1411" t="inlineStr">
        <is>
          <t>BLEKINGE LÄN</t>
        </is>
      </c>
      <c r="E1411" t="inlineStr">
        <is>
          <t>KARLSKRONA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27277-2026</t>
        </is>
      </c>
      <c r="B1412" s="1" t="n">
        <v>46188</v>
      </c>
      <c r="C1412" s="1" t="n">
        <v>46196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27230-2026</t>
        </is>
      </c>
      <c r="B1413" s="1" t="n">
        <v>46188</v>
      </c>
      <c r="C1413" s="1" t="n">
        <v>46196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13694-2026</t>
        </is>
      </c>
      <c r="B1414" s="1" t="n">
        <v>46097</v>
      </c>
      <c r="C1414" s="1" t="n">
        <v>46196</v>
      </c>
      <c r="D1414" t="inlineStr">
        <is>
          <t>BLEKINGE LÄN</t>
        </is>
      </c>
      <c r="E1414" t="inlineStr">
        <is>
          <t>KARLSKRONA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21272-2026</t>
        </is>
      </c>
      <c r="B1415" s="1" t="n">
        <v>46147</v>
      </c>
      <c r="C1415" s="1" t="n">
        <v>46196</v>
      </c>
      <c r="D1415" t="inlineStr">
        <is>
          <t>BLEKINGE LÄN</t>
        </is>
      </c>
      <c r="E1415" t="inlineStr">
        <is>
          <t>RONNEBY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27151-2026</t>
        </is>
      </c>
      <c r="B1416" s="1" t="n">
        <v>46188</v>
      </c>
      <c r="C1416" s="1" t="n">
        <v>46196</v>
      </c>
      <c r="D1416" t="inlineStr">
        <is>
          <t>BLEKINGE LÄN</t>
        </is>
      </c>
      <c r="E1416" t="inlineStr">
        <is>
          <t>SÖLVESBORG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5736-2026</t>
        </is>
      </c>
      <c r="B1417" s="1" t="n">
        <v>46051</v>
      </c>
      <c r="C1417" s="1" t="n">
        <v>46196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27712-2026</t>
        </is>
      </c>
      <c r="B1418" s="1" t="n">
        <v>46190</v>
      </c>
      <c r="C1418" s="1" t="n">
        <v>46196</v>
      </c>
      <c r="D1418" t="inlineStr">
        <is>
          <t>BLEKINGE LÄN</t>
        </is>
      </c>
      <c r="E1418" t="inlineStr">
        <is>
          <t>KARLSHAMN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22800-2026</t>
        </is>
      </c>
      <c r="B1419" s="1" t="n">
        <v>46158</v>
      </c>
      <c r="C1419" s="1" t="n">
        <v>46196</v>
      </c>
      <c r="D1419" t="inlineStr">
        <is>
          <t>BLEKINGE LÄN</t>
        </is>
      </c>
      <c r="E1419" t="inlineStr">
        <is>
          <t>KARLSKRONA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27754-2026</t>
        </is>
      </c>
      <c r="B1420" s="1" t="n">
        <v>46191</v>
      </c>
      <c r="C1420" s="1" t="n">
        <v>46196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21709-2026</t>
        </is>
      </c>
      <c r="B1421" s="1" t="n">
        <v>46149</v>
      </c>
      <c r="C1421" s="1" t="n">
        <v>46196</v>
      </c>
      <c r="D1421" t="inlineStr">
        <is>
          <t>BLEKINGE LÄN</t>
        </is>
      </c>
      <c r="E1421" t="inlineStr">
        <is>
          <t>RONNEBY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21586-2026</t>
        </is>
      </c>
      <c r="B1422" s="1" t="n">
        <v>46149</v>
      </c>
      <c r="C1422" s="1" t="n">
        <v>46196</v>
      </c>
      <c r="D1422" t="inlineStr">
        <is>
          <t>BLEKINGE LÄN</t>
        </is>
      </c>
      <c r="E1422" t="inlineStr">
        <is>
          <t>KARLSHAMN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51169-2025</t>
        </is>
      </c>
      <c r="B1423" s="1" t="n">
        <v>45947</v>
      </c>
      <c r="C1423" s="1" t="n">
        <v>46196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21678-2026</t>
        </is>
      </c>
      <c r="B1424" s="1" t="n">
        <v>46149</v>
      </c>
      <c r="C1424" s="1" t="n">
        <v>46196</v>
      </c>
      <c r="D1424" t="inlineStr">
        <is>
          <t>BLEKINGE LÄN</t>
        </is>
      </c>
      <c r="E1424" t="inlineStr">
        <is>
          <t>RONNEBY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21464-2026</t>
        </is>
      </c>
      <c r="B1425" s="1" t="n">
        <v>46148</v>
      </c>
      <c r="C1425" s="1" t="n">
        <v>46196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12517-2022</t>
        </is>
      </c>
      <c r="B1426" s="1" t="n">
        <v>44638</v>
      </c>
      <c r="C1426" s="1" t="n">
        <v>46196</v>
      </c>
      <c r="D1426" t="inlineStr">
        <is>
          <t>BLEKINGE LÄN</t>
        </is>
      </c>
      <c r="E1426" t="inlineStr">
        <is>
          <t>KARLSKRONA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53605-2024</t>
        </is>
      </c>
      <c r="B1427" s="1" t="n">
        <v>45614</v>
      </c>
      <c r="C1427" s="1" t="n">
        <v>46196</v>
      </c>
      <c r="D1427" t="inlineStr">
        <is>
          <t>BLEKINGE LÄN</t>
        </is>
      </c>
      <c r="E1427" t="inlineStr">
        <is>
          <t>OLOFSTRÖM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21816-2026</t>
        </is>
      </c>
      <c r="B1428" s="1" t="n">
        <v>46150</v>
      </c>
      <c r="C1428" s="1" t="n">
        <v>46196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28082-2026</t>
        </is>
      </c>
      <c r="B1429" s="1" t="n">
        <v>46195</v>
      </c>
      <c r="C1429" s="1" t="n">
        <v>46196</v>
      </c>
      <c r="D1429" t="inlineStr">
        <is>
          <t>BLEKINGE LÄN</t>
        </is>
      </c>
      <c r="E1429" t="inlineStr">
        <is>
          <t>SÖLVESBORG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9153-2026</t>
        </is>
      </c>
      <c r="B1430" s="1" t="n">
        <v>46070</v>
      </c>
      <c r="C1430" s="1" t="n">
        <v>46196</v>
      </c>
      <c r="D1430" t="inlineStr">
        <is>
          <t>BLEKINGE LÄN</t>
        </is>
      </c>
      <c r="E1430" t="inlineStr">
        <is>
          <t>KARLSKRONA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28040-2026</t>
        </is>
      </c>
      <c r="B1431" s="1" t="n">
        <v>46195</v>
      </c>
      <c r="C1431" s="1" t="n">
        <v>46196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21803-2026</t>
        </is>
      </c>
      <c r="B1432" s="1" t="n">
        <v>46150</v>
      </c>
      <c r="C1432" s="1" t="n">
        <v>46196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64465-2023</t>
        </is>
      </c>
      <c r="B1433" s="1" t="n">
        <v>45280</v>
      </c>
      <c r="C1433" s="1" t="n">
        <v>46196</v>
      </c>
      <c r="D1433" t="inlineStr">
        <is>
          <t>BLEKINGE LÄN</t>
        </is>
      </c>
      <c r="E1433" t="inlineStr">
        <is>
          <t>RONNEBY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56191-2023</t>
        </is>
      </c>
      <c r="B1434" s="1" t="n">
        <v>45240</v>
      </c>
      <c r="C1434" s="1" t="n">
        <v>46196</v>
      </c>
      <c r="D1434" t="inlineStr">
        <is>
          <t>BLEKINGE LÄN</t>
        </is>
      </c>
      <c r="E1434" t="inlineStr">
        <is>
          <t>KARLSHAMN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2369-2024</t>
        </is>
      </c>
      <c r="B1435" s="1" t="n">
        <v>45310</v>
      </c>
      <c r="C1435" s="1" t="n">
        <v>46196</v>
      </c>
      <c r="D1435" t="inlineStr">
        <is>
          <t>BLEKINGE LÄN</t>
        </is>
      </c>
      <c r="E1435" t="inlineStr">
        <is>
          <t>KARLSHAMN</t>
        </is>
      </c>
      <c r="F1435" t="inlineStr">
        <is>
          <t>Kommuner</t>
        </is>
      </c>
      <c r="G1435" t="n">
        <v>7.3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14554-2023</t>
        </is>
      </c>
      <c r="B1436" s="1" t="n">
        <v>45013</v>
      </c>
      <c r="C1436" s="1" t="n">
        <v>46196</v>
      </c>
      <c r="D1436" t="inlineStr">
        <is>
          <t>BLEKINGE LÄN</t>
        </is>
      </c>
      <c r="E1436" t="inlineStr">
        <is>
          <t>KARLSKRONA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14557-2023</t>
        </is>
      </c>
      <c r="B1437" s="1" t="n">
        <v>45013</v>
      </c>
      <c r="C1437" s="1" t="n">
        <v>46196</v>
      </c>
      <c r="D1437" t="inlineStr">
        <is>
          <t>BLEKINGE LÄN</t>
        </is>
      </c>
      <c r="E1437" t="inlineStr">
        <is>
          <t>KARLSKRONA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21808-2026</t>
        </is>
      </c>
      <c r="B1438" s="1" t="n">
        <v>46150</v>
      </c>
      <c r="C1438" s="1" t="n">
        <v>46196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21811-2026</t>
        </is>
      </c>
      <c r="B1439" s="1" t="n">
        <v>46150</v>
      </c>
      <c r="C1439" s="1" t="n">
        <v>46196</v>
      </c>
      <c r="D1439" t="inlineStr">
        <is>
          <t>BLEKINGE LÄN</t>
        </is>
      </c>
      <c r="E1439" t="inlineStr">
        <is>
          <t>KARLSKRONA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31288-2023</t>
        </is>
      </c>
      <c r="B1440" s="1" t="n">
        <v>45114</v>
      </c>
      <c r="C1440" s="1" t="n">
        <v>46196</v>
      </c>
      <c r="D1440" t="inlineStr">
        <is>
          <t>BLEKINGE LÄN</t>
        </is>
      </c>
      <c r="E1440" t="inlineStr">
        <is>
          <t>KARLSHAMN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9583-2024</t>
        </is>
      </c>
      <c r="B1441" s="1" t="n">
        <v>45360</v>
      </c>
      <c r="C1441" s="1" t="n">
        <v>46196</v>
      </c>
      <c r="D1441" t="inlineStr">
        <is>
          <t>BLEKINGE LÄN</t>
        </is>
      </c>
      <c r="E1441" t="inlineStr">
        <is>
          <t>RONNEBY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9620-2024</t>
        </is>
      </c>
      <c r="B1442" s="1" t="n">
        <v>45361</v>
      </c>
      <c r="C1442" s="1" t="n">
        <v>46196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41000-2024</t>
        </is>
      </c>
      <c r="B1443" s="1" t="n">
        <v>45558</v>
      </c>
      <c r="C1443" s="1" t="n">
        <v>46196</v>
      </c>
      <c r="D1443" t="inlineStr">
        <is>
          <t>BLEKINGE LÄN</t>
        </is>
      </c>
      <c r="E1443" t="inlineStr">
        <is>
          <t>KARLSKRONA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41040-2024</t>
        </is>
      </c>
      <c r="B1444" s="1" t="n">
        <v>45559</v>
      </c>
      <c r="C1444" s="1" t="n">
        <v>46196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41063-2024</t>
        </is>
      </c>
      <c r="B1445" s="1" t="n">
        <v>45559</v>
      </c>
      <c r="C1445" s="1" t="n">
        <v>46196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42736-2022</t>
        </is>
      </c>
      <c r="B1446" s="1" t="n">
        <v>44832</v>
      </c>
      <c r="C1446" s="1" t="n">
        <v>46196</v>
      </c>
      <c r="D1446" t="inlineStr">
        <is>
          <t>BLEKINGE LÄN</t>
        </is>
      </c>
      <c r="E1446" t="inlineStr">
        <is>
          <t>OLOFSTRÖM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2327-2025</t>
        </is>
      </c>
      <c r="B1447" s="1" t="n">
        <v>45673</v>
      </c>
      <c r="C1447" s="1" t="n">
        <v>46196</v>
      </c>
      <c r="D1447" t="inlineStr">
        <is>
          <t>BLEKINGE LÄN</t>
        </is>
      </c>
      <c r="E1447" t="inlineStr">
        <is>
          <t>SÖLVESBORG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38526-2023</t>
        </is>
      </c>
      <c r="B1448" s="1" t="n">
        <v>45162</v>
      </c>
      <c r="C1448" s="1" t="n">
        <v>46196</v>
      </c>
      <c r="D1448" t="inlineStr">
        <is>
          <t>BLEKINGE LÄN</t>
        </is>
      </c>
      <c r="E1448" t="inlineStr">
        <is>
          <t>KARLSKRONA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2325-2025</t>
        </is>
      </c>
      <c r="B1449" s="1" t="n">
        <v>45673</v>
      </c>
      <c r="C1449" s="1" t="n">
        <v>46196</v>
      </c>
      <c r="D1449" t="inlineStr">
        <is>
          <t>BLEKINGE LÄN</t>
        </is>
      </c>
      <c r="E1449" t="inlineStr">
        <is>
          <t>SÖLVESBORG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687-2022</t>
        </is>
      </c>
      <c r="B1450" s="1" t="n">
        <v>44568</v>
      </c>
      <c r="C1450" s="1" t="n">
        <v>46196</v>
      </c>
      <c r="D1450" t="inlineStr">
        <is>
          <t>BLEKINGE LÄN</t>
        </is>
      </c>
      <c r="E1450" t="inlineStr">
        <is>
          <t>KARLSHAMN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2300-2023</t>
        </is>
      </c>
      <c r="B1451" s="1" t="n">
        <v>44942</v>
      </c>
      <c r="C1451" s="1" t="n">
        <v>46196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12030-2022</t>
        </is>
      </c>
      <c r="B1452" s="1" t="n">
        <v>44636</v>
      </c>
      <c r="C1452" s="1" t="n">
        <v>46196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12572-2025</t>
        </is>
      </c>
      <c r="B1453" s="1" t="n">
        <v>45732</v>
      </c>
      <c r="C1453" s="1" t="n">
        <v>46196</v>
      </c>
      <c r="D1453" t="inlineStr">
        <is>
          <t>BLEKINGE LÄN</t>
        </is>
      </c>
      <c r="E1453" t="inlineStr">
        <is>
          <t>KARLSHAMN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14893-2025</t>
        </is>
      </c>
      <c r="B1454" s="1" t="n">
        <v>45743</v>
      </c>
      <c r="C1454" s="1" t="n">
        <v>46196</v>
      </c>
      <c r="D1454" t="inlineStr">
        <is>
          <t>BLEKINGE LÄN</t>
        </is>
      </c>
      <c r="E1454" t="inlineStr">
        <is>
          <t>RONNEBY</t>
        </is>
      </c>
      <c r="F1454" t="inlineStr">
        <is>
          <t>Kommuner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6852-2024</t>
        </is>
      </c>
      <c r="B1455" s="1" t="n">
        <v>45342</v>
      </c>
      <c r="C1455" s="1" t="n">
        <v>46196</v>
      </c>
      <c r="D1455" t="inlineStr">
        <is>
          <t>BLEKINGE LÄN</t>
        </is>
      </c>
      <c r="E1455" t="inlineStr">
        <is>
          <t>KARLSKRONA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3735-2023</t>
        </is>
      </c>
      <c r="B1456" s="1" t="n">
        <v>44951</v>
      </c>
      <c r="C1456" s="1" t="n">
        <v>46196</v>
      </c>
      <c r="D1456" t="inlineStr">
        <is>
          <t>BLEKINGE LÄN</t>
        </is>
      </c>
      <c r="E1456" t="inlineStr">
        <is>
          <t>OLOFSTRÖM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7997-2025</t>
        </is>
      </c>
      <c r="B1457" s="1" t="n">
        <v>45707</v>
      </c>
      <c r="C1457" s="1" t="n">
        <v>46196</v>
      </c>
      <c r="D1457" t="inlineStr">
        <is>
          <t>BLEKINGE LÄN</t>
        </is>
      </c>
      <c r="E1457" t="inlineStr">
        <is>
          <t>KARLSKRONA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8043-2025</t>
        </is>
      </c>
      <c r="B1458" s="1" t="n">
        <v>45707</v>
      </c>
      <c r="C1458" s="1" t="n">
        <v>46196</v>
      </c>
      <c r="D1458" t="inlineStr">
        <is>
          <t>BLEKINGE LÄN</t>
        </is>
      </c>
      <c r="E1458" t="inlineStr">
        <is>
          <t>OLOFSTRÖM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24629-2024</t>
        </is>
      </c>
      <c r="B1459" s="1" t="n">
        <v>45460</v>
      </c>
      <c r="C1459" s="1" t="n">
        <v>46196</v>
      </c>
      <c r="D1459" t="inlineStr">
        <is>
          <t>BLEKINGE LÄN</t>
        </is>
      </c>
      <c r="E1459" t="inlineStr">
        <is>
          <t>RONNEBY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27025-2023</t>
        </is>
      </c>
      <c r="B1460" s="1" t="n">
        <v>45095</v>
      </c>
      <c r="C1460" s="1" t="n">
        <v>46196</v>
      </c>
      <c r="D1460" t="inlineStr">
        <is>
          <t>BLEKINGE LÄN</t>
        </is>
      </c>
      <c r="E1460" t="inlineStr">
        <is>
          <t>KARLSKRONA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56010-2022</t>
        </is>
      </c>
      <c r="B1461" s="1" t="n">
        <v>44889</v>
      </c>
      <c r="C1461" s="1" t="n">
        <v>46196</v>
      </c>
      <c r="D1461" t="inlineStr">
        <is>
          <t>BLEKINGE LÄN</t>
        </is>
      </c>
      <c r="E1461" t="inlineStr">
        <is>
          <t>OLOFSTRÖM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34394-2024</t>
        </is>
      </c>
      <c r="B1462" s="1" t="n">
        <v>45525</v>
      </c>
      <c r="C1462" s="1" t="n">
        <v>46196</v>
      </c>
      <c r="D1462" t="inlineStr">
        <is>
          <t>BLEKINGE LÄN</t>
        </is>
      </c>
      <c r="E1462" t="inlineStr">
        <is>
          <t>SÖLVESBORG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51552-2021</t>
        </is>
      </c>
      <c r="B1463" s="1" t="n">
        <v>44462</v>
      </c>
      <c r="C1463" s="1" t="n">
        <v>46196</v>
      </c>
      <c r="D1463" t="inlineStr">
        <is>
          <t>BLEKINGE LÄN</t>
        </is>
      </c>
      <c r="E1463" t="inlineStr">
        <is>
          <t>KARLSHAMN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34813-2024</t>
        </is>
      </c>
      <c r="B1464" s="1" t="n">
        <v>45526</v>
      </c>
      <c r="C1464" s="1" t="n">
        <v>46196</v>
      </c>
      <c r="D1464" t="inlineStr">
        <is>
          <t>BLEKINGE LÄN</t>
        </is>
      </c>
      <c r="E1464" t="inlineStr">
        <is>
          <t>KARLSKRONA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48999-2022</t>
        </is>
      </c>
      <c r="B1465" s="1" t="n">
        <v>44860</v>
      </c>
      <c r="C1465" s="1" t="n">
        <v>46196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22879-2023</t>
        </is>
      </c>
      <c r="B1466" s="1" t="n">
        <v>45072</v>
      </c>
      <c r="C1466" s="1" t="n">
        <v>46196</v>
      </c>
      <c r="D1466" t="inlineStr">
        <is>
          <t>BLEKINGE LÄN</t>
        </is>
      </c>
      <c r="E1466" t="inlineStr">
        <is>
          <t>KARLSHAMN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12298-2022</t>
        </is>
      </c>
      <c r="B1467" s="1" t="n">
        <v>44641</v>
      </c>
      <c r="C1467" s="1" t="n">
        <v>46196</v>
      </c>
      <c r="D1467" t="inlineStr">
        <is>
          <t>BLEKINGE LÄN</t>
        </is>
      </c>
      <c r="E1467" t="inlineStr">
        <is>
          <t>SÖLVESBORG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29079-2023</t>
        </is>
      </c>
      <c r="B1468" s="1" t="n">
        <v>45104</v>
      </c>
      <c r="C1468" s="1" t="n">
        <v>46196</v>
      </c>
      <c r="D1468" t="inlineStr">
        <is>
          <t>BLEKINGE LÄN</t>
        </is>
      </c>
      <c r="E1468" t="inlineStr">
        <is>
          <t>RONNEBY</t>
        </is>
      </c>
      <c r="F1468" t="inlineStr">
        <is>
          <t>Övriga Aktiebolag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31266-2023</t>
        </is>
      </c>
      <c r="B1469" s="1" t="n">
        <v>45114</v>
      </c>
      <c r="C1469" s="1" t="n">
        <v>46196</v>
      </c>
      <c r="D1469" t="inlineStr">
        <is>
          <t>BLEKINGE LÄN</t>
        </is>
      </c>
      <c r="E1469" t="inlineStr">
        <is>
          <t>KARLSHAMN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19604-2023</t>
        </is>
      </c>
      <c r="B1470" s="1" t="n">
        <v>45050</v>
      </c>
      <c r="C1470" s="1" t="n">
        <v>46196</v>
      </c>
      <c r="D1470" t="inlineStr">
        <is>
          <t>BLEKINGE LÄN</t>
        </is>
      </c>
      <c r="E1470" t="inlineStr">
        <is>
          <t>KARLSKRONA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31294-2023</t>
        </is>
      </c>
      <c r="B1471" s="1" t="n">
        <v>45114</v>
      </c>
      <c r="C1471" s="1" t="n">
        <v>46196</v>
      </c>
      <c r="D1471" t="inlineStr">
        <is>
          <t>BLEKINGE LÄN</t>
        </is>
      </c>
      <c r="E1471" t="inlineStr">
        <is>
          <t>OLOFSTRÖM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31296-2023</t>
        </is>
      </c>
      <c r="B1472" s="1" t="n">
        <v>45104</v>
      </c>
      <c r="C1472" s="1" t="n">
        <v>46196</v>
      </c>
      <c r="D1472" t="inlineStr">
        <is>
          <t>BLEKINGE LÄN</t>
        </is>
      </c>
      <c r="E1472" t="inlineStr">
        <is>
          <t>KARLSKRONA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58727-2023</t>
        </is>
      </c>
      <c r="B1473" s="1" t="n">
        <v>45251</v>
      </c>
      <c r="C1473" s="1" t="n">
        <v>46196</v>
      </c>
      <c r="D1473" t="inlineStr">
        <is>
          <t>BLEKINGE LÄN</t>
        </is>
      </c>
      <c r="E1473" t="inlineStr">
        <is>
          <t>KARLSKRONA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3315-2024</t>
        </is>
      </c>
      <c r="B1474" s="1" t="n">
        <v>45316</v>
      </c>
      <c r="C1474" s="1" t="n">
        <v>46196</v>
      </c>
      <c r="D1474" t="inlineStr">
        <is>
          <t>BLEKINGE LÄN</t>
        </is>
      </c>
      <c r="E1474" t="inlineStr">
        <is>
          <t>KARLSKRONA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9415-2025</t>
        </is>
      </c>
      <c r="B1475" s="1" t="n">
        <v>45715</v>
      </c>
      <c r="C1475" s="1" t="n">
        <v>46196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38292-2022</t>
        </is>
      </c>
      <c r="B1476" s="1" t="n">
        <v>44812</v>
      </c>
      <c r="C1476" s="1" t="n">
        <v>46196</v>
      </c>
      <c r="D1476" t="inlineStr">
        <is>
          <t>BLEKINGE LÄN</t>
        </is>
      </c>
      <c r="E1476" t="inlineStr">
        <is>
          <t>KARLSHAMN</t>
        </is>
      </c>
      <c r="G1476" t="n">
        <v>14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58159-2023</t>
        </is>
      </c>
      <c r="B1477" s="1" t="n">
        <v>45250</v>
      </c>
      <c r="C1477" s="1" t="n">
        <v>46196</v>
      </c>
      <c r="D1477" t="inlineStr">
        <is>
          <t>BLEKINGE LÄN</t>
        </is>
      </c>
      <c r="E1477" t="inlineStr">
        <is>
          <t>KARLSKRONA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5407-2024</t>
        </is>
      </c>
      <c r="B1478" s="1" t="n">
        <v>45331</v>
      </c>
      <c r="C1478" s="1" t="n">
        <v>46196</v>
      </c>
      <c r="D1478" t="inlineStr">
        <is>
          <t>BLEKINGE LÄN</t>
        </is>
      </c>
      <c r="E1478" t="inlineStr">
        <is>
          <t>SÖLVESBORG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1015-2023</t>
        </is>
      </c>
      <c r="B1479" s="1" t="n">
        <v>44935</v>
      </c>
      <c r="C1479" s="1" t="n">
        <v>46196</v>
      </c>
      <c r="D1479" t="inlineStr">
        <is>
          <t>BLEKINGE LÄN</t>
        </is>
      </c>
      <c r="E1479" t="inlineStr">
        <is>
          <t>OLOFSTRÖM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64459-2023</t>
        </is>
      </c>
      <c r="B1480" s="1" t="n">
        <v>45280</v>
      </c>
      <c r="C1480" s="1" t="n">
        <v>46196</v>
      </c>
      <c r="D1480" t="inlineStr">
        <is>
          <t>BLEKINGE LÄN</t>
        </is>
      </c>
      <c r="E1480" t="inlineStr">
        <is>
          <t>RONNEBY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30509-2023</t>
        </is>
      </c>
      <c r="B1481" s="1" t="n">
        <v>45111</v>
      </c>
      <c r="C1481" s="1" t="n">
        <v>46196</v>
      </c>
      <c r="D1481" t="inlineStr">
        <is>
          <t>BLEKINGE LÄN</t>
        </is>
      </c>
      <c r="E1481" t="inlineStr">
        <is>
          <t>OLOFSTRÖM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64466-2023</t>
        </is>
      </c>
      <c r="B1482" s="1" t="n">
        <v>45280</v>
      </c>
      <c r="C1482" s="1" t="n">
        <v>46196</v>
      </c>
      <c r="D1482" t="inlineStr">
        <is>
          <t>BLEKINGE LÄN</t>
        </is>
      </c>
      <c r="E1482" t="inlineStr">
        <is>
          <t>RONNEBY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24668-2023</t>
        </is>
      </c>
      <c r="B1483" s="1" t="n">
        <v>45084</v>
      </c>
      <c r="C1483" s="1" t="n">
        <v>46196</v>
      </c>
      <c r="D1483" t="inlineStr">
        <is>
          <t>BLEKINGE LÄN</t>
        </is>
      </c>
      <c r="E1483" t="inlineStr">
        <is>
          <t>KARLSKRONA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55147-2021</t>
        </is>
      </c>
      <c r="B1484" s="1" t="n">
        <v>44474</v>
      </c>
      <c r="C1484" s="1" t="n">
        <v>46196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60924-2024</t>
        </is>
      </c>
      <c r="B1485" s="1" t="n">
        <v>45645</v>
      </c>
      <c r="C1485" s="1" t="n">
        <v>46196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47892-2023</t>
        </is>
      </c>
      <c r="B1486" s="1" t="n">
        <v>45198</v>
      </c>
      <c r="C1486" s="1" t="n">
        <v>46196</v>
      </c>
      <c r="D1486" t="inlineStr">
        <is>
          <t>BLEKINGE LÄN</t>
        </is>
      </c>
      <c r="E1486" t="inlineStr">
        <is>
          <t>OLOFSTRÖM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51270-2021</t>
        </is>
      </c>
      <c r="B1487" s="1" t="n">
        <v>44461</v>
      </c>
      <c r="C1487" s="1" t="n">
        <v>46196</v>
      </c>
      <c r="D1487" t="inlineStr">
        <is>
          <t>BLEKINGE LÄN</t>
        </is>
      </c>
      <c r="E1487" t="inlineStr">
        <is>
          <t>KARLSKRONA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8799-2024</t>
        </is>
      </c>
      <c r="B1488" s="1" t="n">
        <v>45335</v>
      </c>
      <c r="C1488" s="1" t="n">
        <v>46196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28975-2023</t>
        </is>
      </c>
      <c r="B1489" s="1" t="n">
        <v>45104</v>
      </c>
      <c r="C1489" s="1" t="n">
        <v>46196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47242-2023</t>
        </is>
      </c>
      <c r="B1490" s="1" t="n">
        <v>45197</v>
      </c>
      <c r="C1490" s="1" t="n">
        <v>46196</v>
      </c>
      <c r="D1490" t="inlineStr">
        <is>
          <t>BLEKINGE LÄN</t>
        </is>
      </c>
      <c r="E1490" t="inlineStr">
        <is>
          <t>SÖLVESBORG</t>
        </is>
      </c>
      <c r="G1490" t="n">
        <v>11.6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31038-2024</t>
        </is>
      </c>
      <c r="B1491" s="1" t="n">
        <v>45501</v>
      </c>
      <c r="C1491" s="1" t="n">
        <v>46196</v>
      </c>
      <c r="D1491" t="inlineStr">
        <is>
          <t>BLEKINGE LÄN</t>
        </is>
      </c>
      <c r="E1491" t="inlineStr">
        <is>
          <t>KARLSHAMN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30992-2022</t>
        </is>
      </c>
      <c r="B1492" s="1" t="n">
        <v>44768</v>
      </c>
      <c r="C1492" s="1" t="n">
        <v>46196</v>
      </c>
      <c r="D1492" t="inlineStr">
        <is>
          <t>BLEKINGE LÄN</t>
        </is>
      </c>
      <c r="E1492" t="inlineStr">
        <is>
          <t>SÖLVESBORG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5649-2024</t>
        </is>
      </c>
      <c r="B1493" s="1" t="n">
        <v>45334</v>
      </c>
      <c r="C1493" s="1" t="n">
        <v>46196</v>
      </c>
      <c r="D1493" t="inlineStr">
        <is>
          <t>BLEKINGE LÄN</t>
        </is>
      </c>
      <c r="E1493" t="inlineStr">
        <is>
          <t>KARLSKRONA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57238-2024</t>
        </is>
      </c>
      <c r="B1494" s="1" t="n">
        <v>45629</v>
      </c>
      <c r="C1494" s="1" t="n">
        <v>46196</v>
      </c>
      <c r="D1494" t="inlineStr">
        <is>
          <t>BLEKINGE LÄN</t>
        </is>
      </c>
      <c r="E1494" t="inlineStr">
        <is>
          <t>OLOFSTRÖM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30536-2023</t>
        </is>
      </c>
      <c r="B1495" s="1" t="n">
        <v>45111</v>
      </c>
      <c r="C1495" s="1" t="n">
        <v>46196</v>
      </c>
      <c r="D1495" t="inlineStr">
        <is>
          <t>BLEKINGE LÄN</t>
        </is>
      </c>
      <c r="E1495" t="inlineStr">
        <is>
          <t>RONNEBY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59573-2023</t>
        </is>
      </c>
      <c r="B1496" s="1" t="n">
        <v>45254</v>
      </c>
      <c r="C1496" s="1" t="n">
        <v>46196</v>
      </c>
      <c r="D1496" t="inlineStr">
        <is>
          <t>BLEKINGE LÄN</t>
        </is>
      </c>
      <c r="E1496" t="inlineStr">
        <is>
          <t>KARLSHAMN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10390-2024</t>
        </is>
      </c>
      <c r="B1497" s="1" t="n">
        <v>45365</v>
      </c>
      <c r="C1497" s="1" t="n">
        <v>46196</v>
      </c>
      <c r="D1497" t="inlineStr">
        <is>
          <t>BLEKINGE LÄN</t>
        </is>
      </c>
      <c r="E1497" t="inlineStr">
        <is>
          <t>SÖLVESBORG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46542-2022</t>
        </is>
      </c>
      <c r="B1498" s="1" t="n">
        <v>44848</v>
      </c>
      <c r="C1498" s="1" t="n">
        <v>46196</v>
      </c>
      <c r="D1498" t="inlineStr">
        <is>
          <t>BLEKINGE LÄN</t>
        </is>
      </c>
      <c r="E1498" t="inlineStr">
        <is>
          <t>RONNEBY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11024-2024</t>
        </is>
      </c>
      <c r="B1499" s="1" t="n">
        <v>45370</v>
      </c>
      <c r="C1499" s="1" t="n">
        <v>46196</v>
      </c>
      <c r="D1499" t="inlineStr">
        <is>
          <t>BLEKINGE LÄN</t>
        </is>
      </c>
      <c r="E1499" t="inlineStr">
        <is>
          <t>KARLSKRONA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40219-2023</t>
        </is>
      </c>
      <c r="B1500" s="1" t="n">
        <v>45169</v>
      </c>
      <c r="C1500" s="1" t="n">
        <v>46196</v>
      </c>
      <c r="D1500" t="inlineStr">
        <is>
          <t>BLEKINGE LÄN</t>
        </is>
      </c>
      <c r="E1500" t="inlineStr">
        <is>
          <t>KARLSKRONA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26796-2023</t>
        </is>
      </c>
      <c r="B1501" s="1" t="n">
        <v>45093</v>
      </c>
      <c r="C1501" s="1" t="n">
        <v>46196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62278-2022</t>
        </is>
      </c>
      <c r="B1502" s="1" t="n">
        <v>44916</v>
      </c>
      <c r="C1502" s="1" t="n">
        <v>46196</v>
      </c>
      <c r="D1502" t="inlineStr">
        <is>
          <t>BLEKINGE LÄN</t>
        </is>
      </c>
      <c r="E1502" t="inlineStr">
        <is>
          <t>RONNEBY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17017-2025</t>
        </is>
      </c>
      <c r="B1503" s="1" t="n">
        <v>45755</v>
      </c>
      <c r="C1503" s="1" t="n">
        <v>46196</v>
      </c>
      <c r="D1503" t="inlineStr">
        <is>
          <t>BLEKINGE LÄN</t>
        </is>
      </c>
      <c r="E1503" t="inlineStr">
        <is>
          <t>OLOFSTRÖM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35271-2022</t>
        </is>
      </c>
      <c r="B1504" s="1" t="n">
        <v>44797</v>
      </c>
      <c r="C1504" s="1" t="n">
        <v>46196</v>
      </c>
      <c r="D1504" t="inlineStr">
        <is>
          <t>BLEKINGE LÄN</t>
        </is>
      </c>
      <c r="E1504" t="inlineStr">
        <is>
          <t>KARLSHAMN</t>
        </is>
      </c>
      <c r="G1504" t="n">
        <v>7.9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17440-2023</t>
        </is>
      </c>
      <c r="B1505" s="1" t="n">
        <v>45035</v>
      </c>
      <c r="C1505" s="1" t="n">
        <v>46196</v>
      </c>
      <c r="D1505" t="inlineStr">
        <is>
          <t>BLEKINGE LÄN</t>
        </is>
      </c>
      <c r="E1505" t="inlineStr">
        <is>
          <t>KARLSHAMN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33855-2023</t>
        </is>
      </c>
      <c r="B1506" s="1" t="n">
        <v>45133</v>
      </c>
      <c r="C1506" s="1" t="n">
        <v>46196</v>
      </c>
      <c r="D1506" t="inlineStr">
        <is>
          <t>BLEKINGE LÄN</t>
        </is>
      </c>
      <c r="E1506" t="inlineStr">
        <is>
          <t>KARLSKRONA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58729-2023</t>
        </is>
      </c>
      <c r="B1507" s="1" t="n">
        <v>45251</v>
      </c>
      <c r="C1507" s="1" t="n">
        <v>46196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13502-2024</t>
        </is>
      </c>
      <c r="B1508" s="1" t="n">
        <v>45387</v>
      </c>
      <c r="C1508" s="1" t="n">
        <v>46196</v>
      </c>
      <c r="D1508" t="inlineStr">
        <is>
          <t>BLEKINGE LÄN</t>
        </is>
      </c>
      <c r="E1508" t="inlineStr">
        <is>
          <t>RONNEBY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73356-2021</t>
        </is>
      </c>
      <c r="B1509" s="1" t="n">
        <v>44551</v>
      </c>
      <c r="C1509" s="1" t="n">
        <v>46196</v>
      </c>
      <c r="D1509" t="inlineStr">
        <is>
          <t>BLEKINGE LÄN</t>
        </is>
      </c>
      <c r="E1509" t="inlineStr">
        <is>
          <t>KARLSKRONA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15208-2025</t>
        </is>
      </c>
      <c r="B1510" s="1" t="n">
        <v>45744</v>
      </c>
      <c r="C1510" s="1" t="n">
        <v>46196</v>
      </c>
      <c r="D1510" t="inlineStr">
        <is>
          <t>BLEKINGE LÄN</t>
        </is>
      </c>
      <c r="E1510" t="inlineStr">
        <is>
          <t>KARLSHAMN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2200-2025</t>
        </is>
      </c>
      <c r="B1511" s="1" t="n">
        <v>45673</v>
      </c>
      <c r="C1511" s="1" t="n">
        <v>46196</v>
      </c>
      <c r="D1511" t="inlineStr">
        <is>
          <t>BLEKINGE LÄN</t>
        </is>
      </c>
      <c r="E1511" t="inlineStr">
        <is>
          <t>SÖLVESBORG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2210-2025</t>
        </is>
      </c>
      <c r="B1512" s="1" t="n">
        <v>45673</v>
      </c>
      <c r="C1512" s="1" t="n">
        <v>46196</v>
      </c>
      <c r="D1512" t="inlineStr">
        <is>
          <t>BLEKINGE LÄN</t>
        </is>
      </c>
      <c r="E1512" t="inlineStr">
        <is>
          <t>SÖLVESBORG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8041-2025</t>
        </is>
      </c>
      <c r="B1513" s="1" t="n">
        <v>45707</v>
      </c>
      <c r="C1513" s="1" t="n">
        <v>46196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8060-2025</t>
        </is>
      </c>
      <c r="B1514" s="1" t="n">
        <v>45707</v>
      </c>
      <c r="C1514" s="1" t="n">
        <v>46196</v>
      </c>
      <c r="D1514" t="inlineStr">
        <is>
          <t>BLEKINGE LÄN</t>
        </is>
      </c>
      <c r="E1514" t="inlineStr">
        <is>
          <t>OLOFSTRÖM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57996-2024</t>
        </is>
      </c>
      <c r="B1515" s="1" t="n">
        <v>45631</v>
      </c>
      <c r="C1515" s="1" t="n">
        <v>46196</v>
      </c>
      <c r="D1515" t="inlineStr">
        <is>
          <t>BLEKINGE LÄN</t>
        </is>
      </c>
      <c r="E1515" t="inlineStr">
        <is>
          <t>KARLSKRONA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5651-2024</t>
        </is>
      </c>
      <c r="B1516" s="1" t="n">
        <v>45334</v>
      </c>
      <c r="C1516" s="1" t="n">
        <v>46196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9281-2024</t>
        </is>
      </c>
      <c r="B1517" s="1" t="n">
        <v>45358</v>
      </c>
      <c r="C1517" s="1" t="n">
        <v>46196</v>
      </c>
      <c r="D1517" t="inlineStr">
        <is>
          <t>BLEKINGE LÄN</t>
        </is>
      </c>
      <c r="E1517" t="inlineStr">
        <is>
          <t>KARLSKRONA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31413-2024</t>
        </is>
      </c>
      <c r="B1518" s="1" t="n">
        <v>45505</v>
      </c>
      <c r="C1518" s="1" t="n">
        <v>46196</v>
      </c>
      <c r="D1518" t="inlineStr">
        <is>
          <t>BLEKINGE LÄN</t>
        </is>
      </c>
      <c r="E1518" t="inlineStr">
        <is>
          <t>RONNEBY</t>
        </is>
      </c>
      <c r="F1518" t="inlineStr">
        <is>
          <t>Kommuner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33854-2023</t>
        </is>
      </c>
      <c r="B1519" s="1" t="n">
        <v>45133</v>
      </c>
      <c r="C1519" s="1" t="n">
        <v>46196</v>
      </c>
      <c r="D1519" t="inlineStr">
        <is>
          <t>BLEKINGE LÄN</t>
        </is>
      </c>
      <c r="E1519" t="inlineStr">
        <is>
          <t>KARLSKRONA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26572-2023</t>
        </is>
      </c>
      <c r="B1520" s="1" t="n">
        <v>45092</v>
      </c>
      <c r="C1520" s="1" t="n">
        <v>46196</v>
      </c>
      <c r="D1520" t="inlineStr">
        <is>
          <t>BLEKINGE LÄN</t>
        </is>
      </c>
      <c r="E1520" t="inlineStr">
        <is>
          <t>KARLSKRONA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53552-2022</t>
        </is>
      </c>
      <c r="B1521" s="1" t="n">
        <v>44874</v>
      </c>
      <c r="C1521" s="1" t="n">
        <v>46196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57796-2022</t>
        </is>
      </c>
      <c r="B1522" s="1" t="n">
        <v>44897</v>
      </c>
      <c r="C1522" s="1" t="n">
        <v>46196</v>
      </c>
      <c r="D1522" t="inlineStr">
        <is>
          <t>BLEKINGE LÄN</t>
        </is>
      </c>
      <c r="E1522" t="inlineStr">
        <is>
          <t>KARLSHAMN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61802-2023</t>
        </is>
      </c>
      <c r="B1523" s="1" t="n">
        <v>45265</v>
      </c>
      <c r="C1523" s="1" t="n">
        <v>46196</v>
      </c>
      <c r="D1523" t="inlineStr">
        <is>
          <t>BLEKINGE LÄN</t>
        </is>
      </c>
      <c r="E1523" t="inlineStr">
        <is>
          <t>OLOFSTRÖM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61840-2023</t>
        </is>
      </c>
      <c r="B1524" s="1" t="n">
        <v>45266</v>
      </c>
      <c r="C1524" s="1" t="n">
        <v>46196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51370-2023</t>
        </is>
      </c>
      <c r="B1525" s="1" t="n">
        <v>45219</v>
      </c>
      <c r="C1525" s="1" t="n">
        <v>46196</v>
      </c>
      <c r="D1525" t="inlineStr">
        <is>
          <t>BLEKINGE LÄN</t>
        </is>
      </c>
      <c r="E1525" t="inlineStr">
        <is>
          <t>KARLSHAMN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45473-2024</t>
        </is>
      </c>
      <c r="B1526" s="1" t="n">
        <v>45576</v>
      </c>
      <c r="C1526" s="1" t="n">
        <v>46196</v>
      </c>
      <c r="D1526" t="inlineStr">
        <is>
          <t>BLEKINGE LÄN</t>
        </is>
      </c>
      <c r="E1526" t="inlineStr">
        <is>
          <t>OLOFSTRÖM</t>
        </is>
      </c>
      <c r="F1526" t="inlineStr">
        <is>
          <t>Sveaskog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54065-2024</t>
        </is>
      </c>
      <c r="B1527" s="1" t="n">
        <v>45616</v>
      </c>
      <c r="C1527" s="1" t="n">
        <v>46196</v>
      </c>
      <c r="D1527" t="inlineStr">
        <is>
          <t>BLEKINGE LÄN</t>
        </is>
      </c>
      <c r="E1527" t="inlineStr">
        <is>
          <t>RONNEBY</t>
        </is>
      </c>
      <c r="F1527" t="inlineStr">
        <is>
          <t>Kommuner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19841-2023</t>
        </is>
      </c>
      <c r="B1528" s="1" t="n">
        <v>45053</v>
      </c>
      <c r="C1528" s="1" t="n">
        <v>46196</v>
      </c>
      <c r="D1528" t="inlineStr">
        <is>
          <t>BLEKINGE LÄN</t>
        </is>
      </c>
      <c r="E1528" t="inlineStr">
        <is>
          <t>RONNEBY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42430-2023</t>
        </is>
      </c>
      <c r="B1529" s="1" t="n">
        <v>45180</v>
      </c>
      <c r="C1529" s="1" t="n">
        <v>46196</v>
      </c>
      <c r="D1529" t="inlineStr">
        <is>
          <t>BLEKINGE LÄN</t>
        </is>
      </c>
      <c r="E1529" t="inlineStr">
        <is>
          <t>KARLSKRONA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39236-2023</t>
        </is>
      </c>
      <c r="B1530" s="1" t="n">
        <v>45166</v>
      </c>
      <c r="C1530" s="1" t="n">
        <v>46196</v>
      </c>
      <c r="D1530" t="inlineStr">
        <is>
          <t>BLEKINGE LÄN</t>
        </is>
      </c>
      <c r="E1530" t="inlineStr">
        <is>
          <t>KARLSKRONA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39273-2023</t>
        </is>
      </c>
      <c r="B1531" s="1" t="n">
        <v>45166</v>
      </c>
      <c r="C1531" s="1" t="n">
        <v>46196</v>
      </c>
      <c r="D1531" t="inlineStr">
        <is>
          <t>BLEKINGE LÄN</t>
        </is>
      </c>
      <c r="E1531" t="inlineStr">
        <is>
          <t>KARLSKRONA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49093-2023</t>
        </is>
      </c>
      <c r="B1532" s="1" t="n">
        <v>45210</v>
      </c>
      <c r="C1532" s="1" t="n">
        <v>46196</v>
      </c>
      <c r="D1532" t="inlineStr">
        <is>
          <t>BLEKINGE LÄN</t>
        </is>
      </c>
      <c r="E1532" t="inlineStr">
        <is>
          <t>KARLSKRONA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19438-2024</t>
        </is>
      </c>
      <c r="B1533" s="1" t="n">
        <v>45429</v>
      </c>
      <c r="C1533" s="1" t="n">
        <v>46196</v>
      </c>
      <c r="D1533" t="inlineStr">
        <is>
          <t>BLEKINGE LÄN</t>
        </is>
      </c>
      <c r="E1533" t="inlineStr">
        <is>
          <t>RONNEBY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21024-2024</t>
        </is>
      </c>
      <c r="B1534" s="1" t="n">
        <v>45439</v>
      </c>
      <c r="C1534" s="1" t="n">
        <v>46196</v>
      </c>
      <c r="D1534" t="inlineStr">
        <is>
          <t>BLEKINGE LÄN</t>
        </is>
      </c>
      <c r="E1534" t="inlineStr">
        <is>
          <t>KARLSHAMN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36302-2023</t>
        </is>
      </c>
      <c r="B1535" s="1" t="n">
        <v>45152</v>
      </c>
      <c r="C1535" s="1" t="n">
        <v>46196</v>
      </c>
      <c r="D1535" t="inlineStr">
        <is>
          <t>BLEKINGE LÄN</t>
        </is>
      </c>
      <c r="E1535" t="inlineStr">
        <is>
          <t>KARLSHAMN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61679-2024</t>
        </is>
      </c>
      <c r="B1536" s="1" t="n">
        <v>45647</v>
      </c>
      <c r="C1536" s="1" t="n">
        <v>46196</v>
      </c>
      <c r="D1536" t="inlineStr">
        <is>
          <t>BLEKINGE LÄN</t>
        </is>
      </c>
      <c r="E1536" t="inlineStr">
        <is>
          <t>KARLSKRONA</t>
        </is>
      </c>
      <c r="G1536" t="n">
        <v>20.2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20585-2025</t>
        </is>
      </c>
      <c r="B1537" s="1" t="n">
        <v>45775</v>
      </c>
      <c r="C1537" s="1" t="n">
        <v>46196</v>
      </c>
      <c r="D1537" t="inlineStr">
        <is>
          <t>BLEKINGE LÄN</t>
        </is>
      </c>
      <c r="E1537" t="inlineStr">
        <is>
          <t>RONNEBY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17552-2024</t>
        </is>
      </c>
      <c r="B1538" s="1" t="n">
        <v>45415</v>
      </c>
      <c r="C1538" s="1" t="n">
        <v>46196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61346-2024</t>
        </is>
      </c>
      <c r="B1539" s="1" t="n">
        <v>45646</v>
      </c>
      <c r="C1539" s="1" t="n">
        <v>46196</v>
      </c>
      <c r="D1539" t="inlineStr">
        <is>
          <t>BLEKINGE LÄN</t>
        </is>
      </c>
      <c r="E1539" t="inlineStr">
        <is>
          <t>RONNEBY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10717-2022</t>
        </is>
      </c>
      <c r="B1540" s="1" t="n">
        <v>44626</v>
      </c>
      <c r="C1540" s="1" t="n">
        <v>46196</v>
      </c>
      <c r="D1540" t="inlineStr">
        <is>
          <t>BLEKINGE LÄN</t>
        </is>
      </c>
      <c r="E1540" t="inlineStr">
        <is>
          <t>OLOFSTRÖM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49833-2024</t>
        </is>
      </c>
      <c r="B1541" s="1" t="n">
        <v>45597</v>
      </c>
      <c r="C1541" s="1" t="n">
        <v>46196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26277-2023</t>
        </is>
      </c>
      <c r="B1542" s="1" t="n">
        <v>45091</v>
      </c>
      <c r="C1542" s="1" t="n">
        <v>46196</v>
      </c>
      <c r="D1542" t="inlineStr">
        <is>
          <t>BLEKINGE LÄN</t>
        </is>
      </c>
      <c r="E1542" t="inlineStr">
        <is>
          <t>KARLSKRONA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37430-2023</t>
        </is>
      </c>
      <c r="B1543" s="1" t="n">
        <v>45156</v>
      </c>
      <c r="C1543" s="1" t="n">
        <v>46196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37454-2024</t>
        </is>
      </c>
      <c r="B1544" s="1" t="n">
        <v>45540</v>
      </c>
      <c r="C1544" s="1" t="n">
        <v>46196</v>
      </c>
      <c r="D1544" t="inlineStr">
        <is>
          <t>BLEKINGE LÄN</t>
        </is>
      </c>
      <c r="E1544" t="inlineStr">
        <is>
          <t>KARLSHAMN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63441-2023</t>
        </is>
      </c>
      <c r="B1545" s="1" t="n">
        <v>45274</v>
      </c>
      <c r="C1545" s="1" t="n">
        <v>46196</v>
      </c>
      <c r="D1545" t="inlineStr">
        <is>
          <t>BLEKINGE LÄN</t>
        </is>
      </c>
      <c r="E1545" t="inlineStr">
        <is>
          <t>OLOFSTRÖM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57771-2024</t>
        </is>
      </c>
      <c r="B1546" s="1" t="n">
        <v>45630</v>
      </c>
      <c r="C1546" s="1" t="n">
        <v>46196</v>
      </c>
      <c r="D1546" t="inlineStr">
        <is>
          <t>BLEKINGE LÄN</t>
        </is>
      </c>
      <c r="E1546" t="inlineStr">
        <is>
          <t>RONNEBY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57773-2024</t>
        </is>
      </c>
      <c r="B1547" s="1" t="n">
        <v>45630</v>
      </c>
      <c r="C1547" s="1" t="n">
        <v>46196</v>
      </c>
      <c r="D1547" t="inlineStr">
        <is>
          <t>BLEKINGE LÄN</t>
        </is>
      </c>
      <c r="E1547" t="inlineStr">
        <is>
          <t>RONNEBY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49704-2021</t>
        </is>
      </c>
      <c r="B1548" s="1" t="n">
        <v>44455</v>
      </c>
      <c r="C1548" s="1" t="n">
        <v>46196</v>
      </c>
      <c r="D1548" t="inlineStr">
        <is>
          <t>BLEKINGE LÄN</t>
        </is>
      </c>
      <c r="E1548" t="inlineStr">
        <is>
          <t>OLOFSTRÖM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2656-2023</t>
        </is>
      </c>
      <c r="B1549" s="1" t="n">
        <v>44944</v>
      </c>
      <c r="C1549" s="1" t="n">
        <v>46196</v>
      </c>
      <c r="D1549" t="inlineStr">
        <is>
          <t>BLEKINGE LÄN</t>
        </is>
      </c>
      <c r="E1549" t="inlineStr">
        <is>
          <t>RONNEBY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5437-2023</t>
        </is>
      </c>
      <c r="B1550" s="1" t="n">
        <v>44959</v>
      </c>
      <c r="C1550" s="1" t="n">
        <v>46196</v>
      </c>
      <c r="D1550" t="inlineStr">
        <is>
          <t>BLEKINGE LÄN</t>
        </is>
      </c>
      <c r="E1550" t="inlineStr">
        <is>
          <t>KARLSHAMN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39876-2023</t>
        </is>
      </c>
      <c r="B1551" s="1" t="n">
        <v>45166</v>
      </c>
      <c r="C1551" s="1" t="n">
        <v>46196</v>
      </c>
      <c r="D1551" t="inlineStr">
        <is>
          <t>BLEKINGE LÄN</t>
        </is>
      </c>
      <c r="E1551" t="inlineStr">
        <is>
          <t>OLOFSTRÖM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15264-2023</t>
        </is>
      </c>
      <c r="B1552" s="1" t="n">
        <v>45019</v>
      </c>
      <c r="C1552" s="1" t="n">
        <v>46196</v>
      </c>
      <c r="D1552" t="inlineStr">
        <is>
          <t>BLEKINGE LÄN</t>
        </is>
      </c>
      <c r="E1552" t="inlineStr">
        <is>
          <t>RONNEBY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14415-2023</t>
        </is>
      </c>
      <c r="B1553" s="1" t="n">
        <v>45012</v>
      </c>
      <c r="C1553" s="1" t="n">
        <v>46196</v>
      </c>
      <c r="D1553" t="inlineStr">
        <is>
          <t>BLEKINGE LÄN</t>
        </is>
      </c>
      <c r="E1553" t="inlineStr">
        <is>
          <t>KARLSKRONA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50412-2022</t>
        </is>
      </c>
      <c r="B1554" s="1" t="n">
        <v>44866</v>
      </c>
      <c r="C1554" s="1" t="n">
        <v>46196</v>
      </c>
      <c r="D1554" t="inlineStr">
        <is>
          <t>BLEKINGE LÄN</t>
        </is>
      </c>
      <c r="E1554" t="inlineStr">
        <is>
          <t>OLOFSTRÖM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14437-2023</t>
        </is>
      </c>
      <c r="B1555" s="1" t="n">
        <v>45012</v>
      </c>
      <c r="C1555" s="1" t="n">
        <v>46196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21048-2022</t>
        </is>
      </c>
      <c r="B1556" s="1" t="n">
        <v>44704</v>
      </c>
      <c r="C1556" s="1" t="n">
        <v>46196</v>
      </c>
      <c r="D1556" t="inlineStr">
        <is>
          <t>BLEKINGE LÄN</t>
        </is>
      </c>
      <c r="E1556" t="inlineStr">
        <is>
          <t>OLOFSTRÖM</t>
        </is>
      </c>
      <c r="F1556" t="inlineStr">
        <is>
          <t>Övriga Aktiebolag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23888-2022</t>
        </is>
      </c>
      <c r="B1557" s="1" t="n">
        <v>44722</v>
      </c>
      <c r="C1557" s="1" t="n">
        <v>46196</v>
      </c>
      <c r="D1557" t="inlineStr">
        <is>
          <t>BLEKINGE LÄN</t>
        </is>
      </c>
      <c r="E1557" t="inlineStr">
        <is>
          <t>RONNEBY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15967-2024</t>
        </is>
      </c>
      <c r="B1558" s="1" t="n">
        <v>45405</v>
      </c>
      <c r="C1558" s="1" t="n">
        <v>46196</v>
      </c>
      <c r="D1558" t="inlineStr">
        <is>
          <t>BLEKINGE LÄN</t>
        </is>
      </c>
      <c r="E1558" t="inlineStr">
        <is>
          <t>KARLSHAMN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62590-2023</t>
        </is>
      </c>
      <c r="B1559" s="1" t="n">
        <v>45270</v>
      </c>
      <c r="C1559" s="1" t="n">
        <v>46196</v>
      </c>
      <c r="D1559" t="inlineStr">
        <is>
          <t>BLEKINGE LÄN</t>
        </is>
      </c>
      <c r="E1559" t="inlineStr">
        <is>
          <t>KARLSHAMN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32162-2022</t>
        </is>
      </c>
      <c r="B1560" s="1" t="n">
        <v>44756</v>
      </c>
      <c r="C1560" s="1" t="n">
        <v>46196</v>
      </c>
      <c r="D1560" t="inlineStr">
        <is>
          <t>BLEKINGE LÄN</t>
        </is>
      </c>
      <c r="E1560" t="inlineStr">
        <is>
          <t>RONNEBY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37627-2023</t>
        </is>
      </c>
      <c r="B1561" s="1" t="n">
        <v>45159</v>
      </c>
      <c r="C1561" s="1" t="n">
        <v>46196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24841-2023</t>
        </is>
      </c>
      <c r="B1562" s="1" t="n">
        <v>45085</v>
      </c>
      <c r="C1562" s="1" t="n">
        <v>46196</v>
      </c>
      <c r="D1562" t="inlineStr">
        <is>
          <t>BLEKINGE LÄN</t>
        </is>
      </c>
      <c r="E1562" t="inlineStr">
        <is>
          <t>RONNEBY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12059-2025</t>
        </is>
      </c>
      <c r="B1563" s="1" t="n">
        <v>45728</v>
      </c>
      <c r="C1563" s="1" t="n">
        <v>46196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14329-2023</t>
        </is>
      </c>
      <c r="B1564" s="1" t="n">
        <v>45012</v>
      </c>
      <c r="C1564" s="1" t="n">
        <v>46196</v>
      </c>
      <c r="D1564" t="inlineStr">
        <is>
          <t>BLEKINGE LÄN</t>
        </is>
      </c>
      <c r="E1564" t="inlineStr">
        <is>
          <t>RONNEBY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25287-2024</t>
        </is>
      </c>
      <c r="B1565" s="1" t="n">
        <v>45462</v>
      </c>
      <c r="C1565" s="1" t="n">
        <v>46196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7889-2024</t>
        </is>
      </c>
      <c r="B1566" s="1" t="n">
        <v>45350</v>
      </c>
      <c r="C1566" s="1" t="n">
        <v>46196</v>
      </c>
      <c r="D1566" t="inlineStr">
        <is>
          <t>BLEKINGE LÄN</t>
        </is>
      </c>
      <c r="E1566" t="inlineStr">
        <is>
          <t>KARLSKRONA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52637-2023</t>
        </is>
      </c>
      <c r="B1567" s="1" t="n">
        <v>45225</v>
      </c>
      <c r="C1567" s="1" t="n">
        <v>46196</v>
      </c>
      <c r="D1567" t="inlineStr">
        <is>
          <t>BLEKINGE LÄN</t>
        </is>
      </c>
      <c r="E1567" t="inlineStr">
        <is>
          <t>KARLSHAMN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17273-2023</t>
        </is>
      </c>
      <c r="B1568" s="1" t="n">
        <v>45035</v>
      </c>
      <c r="C1568" s="1" t="n">
        <v>46196</v>
      </c>
      <c r="D1568" t="inlineStr">
        <is>
          <t>BLEKINGE LÄN</t>
        </is>
      </c>
      <c r="E1568" t="inlineStr">
        <is>
          <t>KARLSKRONA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17275-2023</t>
        </is>
      </c>
      <c r="B1569" s="1" t="n">
        <v>45035</v>
      </c>
      <c r="C1569" s="1" t="n">
        <v>46196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11062-2025</t>
        </is>
      </c>
      <c r="B1570" s="1" t="n">
        <v>45723</v>
      </c>
      <c r="C1570" s="1" t="n">
        <v>46196</v>
      </c>
      <c r="D1570" t="inlineStr">
        <is>
          <t>BLEKINGE LÄN</t>
        </is>
      </c>
      <c r="E1570" t="inlineStr">
        <is>
          <t>OLOFSTRÖM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27481-2022</t>
        </is>
      </c>
      <c r="B1571" s="1" t="n">
        <v>44742</v>
      </c>
      <c r="C1571" s="1" t="n">
        <v>46196</v>
      </c>
      <c r="D1571" t="inlineStr">
        <is>
          <t>BLEKINGE LÄN</t>
        </is>
      </c>
      <c r="E1571" t="inlineStr">
        <is>
          <t>KARLSKRONA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39520-2024</t>
        </is>
      </c>
      <c r="B1572" s="1" t="n">
        <v>45551</v>
      </c>
      <c r="C1572" s="1" t="n">
        <v>46196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1028-2023</t>
        </is>
      </c>
      <c r="B1573" s="1" t="n">
        <v>44935</v>
      </c>
      <c r="C1573" s="1" t="n">
        <v>46196</v>
      </c>
      <c r="D1573" t="inlineStr">
        <is>
          <t>BLEKINGE LÄN</t>
        </is>
      </c>
      <c r="E1573" t="inlineStr">
        <is>
          <t>OLOFSTRÖM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7014-2024</t>
        </is>
      </c>
      <c r="B1574" s="1" t="n">
        <v>45343</v>
      </c>
      <c r="C1574" s="1" t="n">
        <v>46196</v>
      </c>
      <c r="D1574" t="inlineStr">
        <is>
          <t>BLEKINGE LÄN</t>
        </is>
      </c>
      <c r="E1574" t="inlineStr">
        <is>
          <t>KARLSKRONA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6543-2023</t>
        </is>
      </c>
      <c r="B1575" s="1" t="n">
        <v>44966</v>
      </c>
      <c r="C1575" s="1" t="n">
        <v>46196</v>
      </c>
      <c r="D1575" t="inlineStr">
        <is>
          <t>BLEKINGE LÄN</t>
        </is>
      </c>
      <c r="E1575" t="inlineStr">
        <is>
          <t>RONNEBY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29367-2023</t>
        </is>
      </c>
      <c r="B1576" s="1" t="n">
        <v>45106</v>
      </c>
      <c r="C1576" s="1" t="n">
        <v>46196</v>
      </c>
      <c r="D1576" t="inlineStr">
        <is>
          <t>BLEKINGE LÄN</t>
        </is>
      </c>
      <c r="E1576" t="inlineStr">
        <is>
          <t>KARLSKRONA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62932-2023</t>
        </is>
      </c>
      <c r="B1577" s="1" t="n">
        <v>45272</v>
      </c>
      <c r="C1577" s="1" t="n">
        <v>46196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11122-2024</t>
        </is>
      </c>
      <c r="B1578" s="1" t="n">
        <v>45371</v>
      </c>
      <c r="C1578" s="1" t="n">
        <v>46196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46196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26605-2023</t>
        </is>
      </c>
      <c r="B1580" s="1" t="n">
        <v>45092</v>
      </c>
      <c r="C1580" s="1" t="n">
        <v>46196</v>
      </c>
      <c r="D1580" t="inlineStr">
        <is>
          <t>BLEKINGE LÄN</t>
        </is>
      </c>
      <c r="E1580" t="inlineStr">
        <is>
          <t>KARLSKRONA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25450-2023</t>
        </is>
      </c>
      <c r="B1581" s="1" t="n">
        <v>45089</v>
      </c>
      <c r="C1581" s="1" t="n">
        <v>46196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5172-2024</t>
        </is>
      </c>
      <c r="B1582" s="1" t="n">
        <v>45330</v>
      </c>
      <c r="C1582" s="1" t="n">
        <v>46196</v>
      </c>
      <c r="D1582" t="inlineStr">
        <is>
          <t>BLEKINGE LÄN</t>
        </is>
      </c>
      <c r="E1582" t="inlineStr">
        <is>
          <t>KARLSHAMN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55439-2023</t>
        </is>
      </c>
      <c r="B1583" s="1" t="n">
        <v>45238</v>
      </c>
      <c r="C1583" s="1" t="n">
        <v>46196</v>
      </c>
      <c r="D1583" t="inlineStr">
        <is>
          <t>BLEKINGE LÄN</t>
        </is>
      </c>
      <c r="E1583" t="inlineStr">
        <is>
          <t>KARLSHAMN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542-2024</t>
        </is>
      </c>
      <c r="B1584" s="1" t="n">
        <v>45299</v>
      </c>
      <c r="C1584" s="1" t="n">
        <v>46196</v>
      </c>
      <c r="D1584" t="inlineStr">
        <is>
          <t>BLEKINGE LÄN</t>
        </is>
      </c>
      <c r="E1584" t="inlineStr">
        <is>
          <t>RONNEBY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46196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35807-2023</t>
        </is>
      </c>
      <c r="B1586" s="1" t="n">
        <v>45148</v>
      </c>
      <c r="C1586" s="1" t="n">
        <v>46196</v>
      </c>
      <c r="D1586" t="inlineStr">
        <is>
          <t>BLEKINGE LÄN</t>
        </is>
      </c>
      <c r="E1586" t="inlineStr">
        <is>
          <t>KARLSKRONA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35828-2023</t>
        </is>
      </c>
      <c r="B1587" s="1" t="n">
        <v>45148</v>
      </c>
      <c r="C1587" s="1" t="n">
        <v>46196</v>
      </c>
      <c r="D1587" t="inlineStr">
        <is>
          <t>BLEKINGE LÄN</t>
        </is>
      </c>
      <c r="E1587" t="inlineStr">
        <is>
          <t>KARLSHAMN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19609-2024</t>
        </is>
      </c>
      <c r="B1588" s="1" t="n">
        <v>45432</v>
      </c>
      <c r="C1588" s="1" t="n">
        <v>46196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6507-2023</t>
        </is>
      </c>
      <c r="B1589" s="1" t="n">
        <v>44966</v>
      </c>
      <c r="C1589" s="1" t="n">
        <v>46196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12767-2023</t>
        </is>
      </c>
      <c r="B1590" s="1" t="n">
        <v>45001</v>
      </c>
      <c r="C1590" s="1" t="n">
        <v>46196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12768-2023</t>
        </is>
      </c>
      <c r="B1591" s="1" t="n">
        <v>45001</v>
      </c>
      <c r="C1591" s="1" t="n">
        <v>46196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7862-2025</t>
        </is>
      </c>
      <c r="B1592" s="1" t="n">
        <v>45706</v>
      </c>
      <c r="C1592" s="1" t="n">
        <v>46196</v>
      </c>
      <c r="D1592" t="inlineStr">
        <is>
          <t>BLEKINGE LÄN</t>
        </is>
      </c>
      <c r="E1592" t="inlineStr">
        <is>
          <t>OLOFSTRÖM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31418-2024</t>
        </is>
      </c>
      <c r="B1593" s="1" t="n">
        <v>45505</v>
      </c>
      <c r="C1593" s="1" t="n">
        <v>46196</v>
      </c>
      <c r="D1593" t="inlineStr">
        <is>
          <t>BLEKINGE LÄN</t>
        </is>
      </c>
      <c r="E1593" t="inlineStr">
        <is>
          <t>RONNEBY</t>
        </is>
      </c>
      <c r="F1593" t="inlineStr">
        <is>
          <t>Kommuner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9493-2024</t>
        </is>
      </c>
      <c r="B1594" s="1" t="n">
        <v>45359</v>
      </c>
      <c r="C1594" s="1" t="n">
        <v>46196</v>
      </c>
      <c r="D1594" t="inlineStr">
        <is>
          <t>BLEKINGE LÄN</t>
        </is>
      </c>
      <c r="E1594" t="inlineStr">
        <is>
          <t>RONNEBY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29352-2023</t>
        </is>
      </c>
      <c r="B1595" s="1" t="n">
        <v>45106</v>
      </c>
      <c r="C1595" s="1" t="n">
        <v>46196</v>
      </c>
      <c r="D1595" t="inlineStr">
        <is>
          <t>BLEKINGE LÄN</t>
        </is>
      </c>
      <c r="E1595" t="inlineStr">
        <is>
          <t>KARLSKRONA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25973-2023</t>
        </is>
      </c>
      <c r="B1596" s="1" t="n">
        <v>45090</v>
      </c>
      <c r="C1596" s="1" t="n">
        <v>46196</v>
      </c>
      <c r="D1596" t="inlineStr">
        <is>
          <t>BLEKINGE LÄN</t>
        </is>
      </c>
      <c r="E1596" t="inlineStr">
        <is>
          <t>RONNEBY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8523-2025</t>
        </is>
      </c>
      <c r="B1597" s="1" t="n">
        <v>45709</v>
      </c>
      <c r="C1597" s="1" t="n">
        <v>46196</v>
      </c>
      <c r="D1597" t="inlineStr">
        <is>
          <t>BLEKINGE LÄN</t>
        </is>
      </c>
      <c r="E1597" t="inlineStr">
        <is>
          <t>SÖLVESBORG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48183-2024</t>
        </is>
      </c>
      <c r="B1598" s="1" t="n">
        <v>45589</v>
      </c>
      <c r="C1598" s="1" t="n">
        <v>46196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45415-2023</t>
        </is>
      </c>
      <c r="B1599" s="1" t="n">
        <v>45194</v>
      </c>
      <c r="C1599" s="1" t="n">
        <v>46196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33664-2024</t>
        </is>
      </c>
      <c r="B1600" s="1" t="n">
        <v>45520</v>
      </c>
      <c r="C1600" s="1" t="n">
        <v>46196</v>
      </c>
      <c r="D1600" t="inlineStr">
        <is>
          <t>BLEKINGE LÄN</t>
        </is>
      </c>
      <c r="E1600" t="inlineStr">
        <is>
          <t>OLOFSTRÖM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33673-2024</t>
        </is>
      </c>
      <c r="B1601" s="1" t="n">
        <v>45520</v>
      </c>
      <c r="C1601" s="1" t="n">
        <v>46196</v>
      </c>
      <c r="D1601" t="inlineStr">
        <is>
          <t>BLEKINGE LÄN</t>
        </is>
      </c>
      <c r="E1601" t="inlineStr">
        <is>
          <t>OLOFSTRÖM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61730-2022</t>
        </is>
      </c>
      <c r="B1602" s="1" t="n">
        <v>44917</v>
      </c>
      <c r="C1602" s="1" t="n">
        <v>46196</v>
      </c>
      <c r="D1602" t="inlineStr">
        <is>
          <t>BLEKINGE LÄN</t>
        </is>
      </c>
      <c r="E1602" t="inlineStr">
        <is>
          <t>RONNEBY</t>
        </is>
      </c>
      <c r="G1602" t="n">
        <v>9.6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61296-2024</t>
        </is>
      </c>
      <c r="B1603" s="1" t="n">
        <v>45645</v>
      </c>
      <c r="C1603" s="1" t="n">
        <v>46196</v>
      </c>
      <c r="D1603" t="inlineStr">
        <is>
          <t>BLEKINGE LÄN</t>
        </is>
      </c>
      <c r="E1603" t="inlineStr">
        <is>
          <t>KARLSKRONA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40068-2023</t>
        </is>
      </c>
      <c r="B1604" s="1" t="n">
        <v>45168</v>
      </c>
      <c r="C1604" s="1" t="n">
        <v>46196</v>
      </c>
      <c r="D1604" t="inlineStr">
        <is>
          <t>BLEKINGE LÄN</t>
        </is>
      </c>
      <c r="E1604" t="inlineStr">
        <is>
          <t>RONNEBY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49056-2024</t>
        </is>
      </c>
      <c r="B1605" s="1" t="n">
        <v>45594</v>
      </c>
      <c r="C1605" s="1" t="n">
        <v>46196</v>
      </c>
      <c r="D1605" t="inlineStr">
        <is>
          <t>BLEKINGE LÄN</t>
        </is>
      </c>
      <c r="E1605" t="inlineStr">
        <is>
          <t>OLOFSTRÖM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22542-2023</t>
        </is>
      </c>
      <c r="B1606" s="1" t="n">
        <v>45071</v>
      </c>
      <c r="C1606" s="1" t="n">
        <v>46196</v>
      </c>
      <c r="D1606" t="inlineStr">
        <is>
          <t>BLEKINGE LÄN</t>
        </is>
      </c>
      <c r="E1606" t="inlineStr">
        <is>
          <t>RONNEBY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32844-2021</t>
        </is>
      </c>
      <c r="B1607" s="1" t="n">
        <v>44375</v>
      </c>
      <c r="C1607" s="1" t="n">
        <v>46196</v>
      </c>
      <c r="D1607" t="inlineStr">
        <is>
          <t>BLEKINGE LÄN</t>
        </is>
      </c>
      <c r="E1607" t="inlineStr">
        <is>
          <t>RONNEBY</t>
        </is>
      </c>
      <c r="G1607" t="n">
        <v>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46035-2024</t>
        </is>
      </c>
      <c r="B1608" s="1" t="n">
        <v>45580</v>
      </c>
      <c r="C1608" s="1" t="n">
        <v>46196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49832-2024</t>
        </is>
      </c>
      <c r="B1609" s="1" t="n">
        <v>45597</v>
      </c>
      <c r="C1609" s="1" t="n">
        <v>46196</v>
      </c>
      <c r="D1609" t="inlineStr">
        <is>
          <t>BLEKINGE LÄN</t>
        </is>
      </c>
      <c r="E1609" t="inlineStr">
        <is>
          <t>RONNEBY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50546-2023</t>
        </is>
      </c>
      <c r="B1610" s="1" t="n">
        <v>45217</v>
      </c>
      <c r="C1610" s="1" t="n">
        <v>46196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8837-2025</t>
        </is>
      </c>
      <c r="B1611" s="1" t="n">
        <v>45713</v>
      </c>
      <c r="C1611" s="1" t="n">
        <v>46196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45772-2023</t>
        </is>
      </c>
      <c r="B1612" s="1" t="n">
        <v>45195</v>
      </c>
      <c r="C1612" s="1" t="n">
        <v>46196</v>
      </c>
      <c r="D1612" t="inlineStr">
        <is>
          <t>BLEKINGE LÄN</t>
        </is>
      </c>
      <c r="E1612" t="inlineStr">
        <is>
          <t>OLOFSTRÖM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46434-2023</t>
        </is>
      </c>
      <c r="B1613" s="1" t="n">
        <v>45197</v>
      </c>
      <c r="C1613" s="1" t="n">
        <v>46196</v>
      </c>
      <c r="D1613" t="inlineStr">
        <is>
          <t>BLEKINGE LÄN</t>
        </is>
      </c>
      <c r="E1613" t="inlineStr">
        <is>
          <t>RONNEBY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49736-2023</t>
        </is>
      </c>
      <c r="B1614" s="1" t="n">
        <v>45212</v>
      </c>
      <c r="C1614" s="1" t="n">
        <v>46196</v>
      </c>
      <c r="D1614" t="inlineStr">
        <is>
          <t>BLEKINGE LÄN</t>
        </is>
      </c>
      <c r="E1614" t="inlineStr">
        <is>
          <t>KARLSKRONA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57982-2024</t>
        </is>
      </c>
      <c r="B1615" s="1" t="n">
        <v>45631</v>
      </c>
      <c r="C1615" s="1" t="n">
        <v>46196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64195-2023</t>
        </is>
      </c>
      <c r="B1616" s="1" t="n">
        <v>45279</v>
      </c>
      <c r="C1616" s="1" t="n">
        <v>46196</v>
      </c>
      <c r="D1616" t="inlineStr">
        <is>
          <t>BLEKINGE LÄN</t>
        </is>
      </c>
      <c r="E1616" t="inlineStr">
        <is>
          <t>KARLSHAMN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60922-2024</t>
        </is>
      </c>
      <c r="B1617" s="1" t="n">
        <v>45645</v>
      </c>
      <c r="C1617" s="1" t="n">
        <v>46196</v>
      </c>
      <c r="D1617" t="inlineStr">
        <is>
          <t>BLEKINGE LÄN</t>
        </is>
      </c>
      <c r="E1617" t="inlineStr">
        <is>
          <t>KARLSKRONA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28122-2023</t>
        </is>
      </c>
      <c r="B1618" s="1" t="n">
        <v>45099</v>
      </c>
      <c r="C1618" s="1" t="n">
        <v>46196</v>
      </c>
      <c r="D1618" t="inlineStr">
        <is>
          <t>BLEKINGE LÄN</t>
        </is>
      </c>
      <c r="E1618" t="inlineStr">
        <is>
          <t>RONNEBY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49052-2024</t>
        </is>
      </c>
      <c r="B1619" s="1" t="n">
        <v>45594</v>
      </c>
      <c r="C1619" s="1" t="n">
        <v>46196</v>
      </c>
      <c r="D1619" t="inlineStr">
        <is>
          <t>BLEKINGE LÄN</t>
        </is>
      </c>
      <c r="E1619" t="inlineStr">
        <is>
          <t>OLOFSTRÖM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40936-2023</t>
        </is>
      </c>
      <c r="B1620" s="1" t="n">
        <v>45173</v>
      </c>
      <c r="C1620" s="1" t="n">
        <v>46196</v>
      </c>
      <c r="D1620" t="inlineStr">
        <is>
          <t>BLEKINGE LÄN</t>
        </is>
      </c>
      <c r="E1620" t="inlineStr">
        <is>
          <t>KARLSKRONA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34163-2022</t>
        </is>
      </c>
      <c r="B1621" s="1" t="n">
        <v>44791</v>
      </c>
      <c r="C1621" s="1" t="n">
        <v>46196</v>
      </c>
      <c r="D1621" t="inlineStr">
        <is>
          <t>BLEKINGE LÄN</t>
        </is>
      </c>
      <c r="E1621" t="inlineStr">
        <is>
          <t>OLOFSTRÖM</t>
        </is>
      </c>
      <c r="F1621" t="inlineStr">
        <is>
          <t>Kommuner</t>
        </is>
      </c>
      <c r="G1621" t="n">
        <v>8.300000000000001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9569-2024</t>
        </is>
      </c>
      <c r="B1622" s="1" t="n">
        <v>45360</v>
      </c>
      <c r="C1622" s="1" t="n">
        <v>46196</v>
      </c>
      <c r="D1622" t="inlineStr">
        <is>
          <t>BLEKINGE LÄN</t>
        </is>
      </c>
      <c r="E1622" t="inlineStr">
        <is>
          <t>RONNEBY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45832-2024</t>
        </is>
      </c>
      <c r="B1623" s="1" t="n">
        <v>45579</v>
      </c>
      <c r="C1623" s="1" t="n">
        <v>46196</v>
      </c>
      <c r="D1623" t="inlineStr">
        <is>
          <t>BLEKINGE LÄN</t>
        </is>
      </c>
      <c r="E1623" t="inlineStr">
        <is>
          <t>KARLSKRONA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253-2022</t>
        </is>
      </c>
      <c r="B1624" s="1" t="n">
        <v>44565</v>
      </c>
      <c r="C1624" s="1" t="n">
        <v>46196</v>
      </c>
      <c r="D1624" t="inlineStr">
        <is>
          <t>BLEKINGE LÄN</t>
        </is>
      </c>
      <c r="E1624" t="inlineStr">
        <is>
          <t>RONNEBY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6509-2024</t>
        </is>
      </c>
      <c r="B1625" s="1" t="n">
        <v>45340</v>
      </c>
      <c r="C1625" s="1" t="n">
        <v>46196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61749-2022</t>
        </is>
      </c>
      <c r="B1626" s="1" t="n">
        <v>44911</v>
      </c>
      <c r="C1626" s="1" t="n">
        <v>46196</v>
      </c>
      <c r="D1626" t="inlineStr">
        <is>
          <t>BLEKINGE LÄN</t>
        </is>
      </c>
      <c r="E1626" t="inlineStr">
        <is>
          <t>KARLSKRONA</t>
        </is>
      </c>
      <c r="G1626" t="n">
        <v>14.2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61767-2022</t>
        </is>
      </c>
      <c r="B1627" s="1" t="n">
        <v>44917</v>
      </c>
      <c r="C1627" s="1" t="n">
        <v>46196</v>
      </c>
      <c r="D1627" t="inlineStr">
        <is>
          <t>BLEKINGE LÄN</t>
        </is>
      </c>
      <c r="E1627" t="inlineStr">
        <is>
          <t>SÖLVESBORG</t>
        </is>
      </c>
      <c r="F1627" t="inlineStr">
        <is>
          <t>Kyrkan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16318-2024</t>
        </is>
      </c>
      <c r="B1628" s="1" t="n">
        <v>45407</v>
      </c>
      <c r="C1628" s="1" t="n">
        <v>46196</v>
      </c>
      <c r="D1628" t="inlineStr">
        <is>
          <t>BLEKINGE LÄN</t>
        </is>
      </c>
      <c r="E1628" t="inlineStr">
        <is>
          <t>OLOFSTRÖM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14559-2023</t>
        </is>
      </c>
      <c r="B1629" s="1" t="n">
        <v>45013</v>
      </c>
      <c r="C1629" s="1" t="n">
        <v>46196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9310-2023</t>
        </is>
      </c>
      <c r="B1630" s="1" t="n">
        <v>44980</v>
      </c>
      <c r="C1630" s="1" t="n">
        <v>46196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50870-2024</t>
        </is>
      </c>
      <c r="B1631" s="1" t="n">
        <v>45602</v>
      </c>
      <c r="C1631" s="1" t="n">
        <v>46196</v>
      </c>
      <c r="D1631" t="inlineStr">
        <is>
          <t>BLEKINGE LÄN</t>
        </is>
      </c>
      <c r="E1631" t="inlineStr">
        <is>
          <t>OLOFSTRÖM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36843-2024</t>
        </is>
      </c>
      <c r="B1632" s="1" t="n">
        <v>45538</v>
      </c>
      <c r="C1632" s="1" t="n">
        <v>46196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3649-2022</t>
        </is>
      </c>
      <c r="B1633" s="1" t="n">
        <v>44586</v>
      </c>
      <c r="C1633" s="1" t="n">
        <v>46196</v>
      </c>
      <c r="D1633" t="inlineStr">
        <is>
          <t>BLEKINGE LÄN</t>
        </is>
      </c>
      <c r="E1633" t="inlineStr">
        <is>
          <t>RONNEBY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11676-2025</t>
        </is>
      </c>
      <c r="B1634" s="1" t="n">
        <v>45727</v>
      </c>
      <c r="C1634" s="1" t="n">
        <v>46196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16380-2024</t>
        </is>
      </c>
      <c r="B1635" s="1" t="n">
        <v>45407</v>
      </c>
      <c r="C1635" s="1" t="n">
        <v>46196</v>
      </c>
      <c r="D1635" t="inlineStr">
        <is>
          <t>BLEKINGE LÄN</t>
        </is>
      </c>
      <c r="E1635" t="inlineStr">
        <is>
          <t>KARLSKRONA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13395-2025</t>
        </is>
      </c>
      <c r="B1636" s="1" t="n">
        <v>45735</v>
      </c>
      <c r="C1636" s="1" t="n">
        <v>46196</v>
      </c>
      <c r="D1636" t="inlineStr">
        <is>
          <t>BLEKINGE LÄN</t>
        </is>
      </c>
      <c r="E1636" t="inlineStr">
        <is>
          <t>KARLSKRONA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38088-2022</t>
        </is>
      </c>
      <c r="B1637" s="1" t="n">
        <v>44811</v>
      </c>
      <c r="C1637" s="1" t="n">
        <v>46196</v>
      </c>
      <c r="D1637" t="inlineStr">
        <is>
          <t>BLEKINGE LÄN</t>
        </is>
      </c>
      <c r="E1637" t="inlineStr">
        <is>
          <t>OLOFSTRÖM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52817-2024</t>
        </is>
      </c>
      <c r="B1638" s="1" t="n">
        <v>45610</v>
      </c>
      <c r="C1638" s="1" t="n">
        <v>46196</v>
      </c>
      <c r="D1638" t="inlineStr">
        <is>
          <t>BLEKINGE LÄN</t>
        </is>
      </c>
      <c r="E1638" t="inlineStr">
        <is>
          <t>RONNEBY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13660-2023</t>
        </is>
      </c>
      <c r="B1639" s="1" t="n">
        <v>45006</v>
      </c>
      <c r="C1639" s="1" t="n">
        <v>46196</v>
      </c>
      <c r="D1639" t="inlineStr">
        <is>
          <t>BLEKINGE LÄN</t>
        </is>
      </c>
      <c r="E1639" t="inlineStr">
        <is>
          <t>OLOFSTRÖM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5502-2022</t>
        </is>
      </c>
      <c r="B1640" s="1" t="n">
        <v>44595</v>
      </c>
      <c r="C1640" s="1" t="n">
        <v>46196</v>
      </c>
      <c r="D1640" t="inlineStr">
        <is>
          <t>BLEKINGE LÄN</t>
        </is>
      </c>
      <c r="E1640" t="inlineStr">
        <is>
          <t>RONNEBY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30657-2024</t>
        </is>
      </c>
      <c r="B1641" s="1" t="n">
        <v>45495</v>
      </c>
      <c r="C1641" s="1" t="n">
        <v>46196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29552-2022</t>
        </is>
      </c>
      <c r="B1642" s="1" t="n">
        <v>44754</v>
      </c>
      <c r="C1642" s="1" t="n">
        <v>46196</v>
      </c>
      <c r="D1642" t="inlineStr">
        <is>
          <t>BLEKINGE LÄN</t>
        </is>
      </c>
      <c r="E1642" t="inlineStr">
        <is>
          <t>RONNEBY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29434-2022</t>
        </is>
      </c>
      <c r="B1643" s="1" t="n">
        <v>44753</v>
      </c>
      <c r="C1643" s="1" t="n">
        <v>46196</v>
      </c>
      <c r="D1643" t="inlineStr">
        <is>
          <t>BLEKINGE LÄN</t>
        </is>
      </c>
      <c r="E1643" t="inlineStr">
        <is>
          <t>RONNEBY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39466-2023</t>
        </is>
      </c>
      <c r="B1644" s="1" t="n">
        <v>45166</v>
      </c>
      <c r="C1644" s="1" t="n">
        <v>46196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12964-2023</t>
        </is>
      </c>
      <c r="B1645" s="1" t="n">
        <v>45001</v>
      </c>
      <c r="C1645" s="1" t="n">
        <v>46196</v>
      </c>
      <c r="D1645" t="inlineStr">
        <is>
          <t>BLEKINGE LÄN</t>
        </is>
      </c>
      <c r="E1645" t="inlineStr">
        <is>
          <t>RONNEBY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30657-2023</t>
        </is>
      </c>
      <c r="B1646" s="1" t="n">
        <v>45112</v>
      </c>
      <c r="C1646" s="1" t="n">
        <v>46196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33552-2023</t>
        </is>
      </c>
      <c r="B1647" s="1" t="n">
        <v>45118</v>
      </c>
      <c r="C1647" s="1" t="n">
        <v>46196</v>
      </c>
      <c r="D1647" t="inlineStr">
        <is>
          <t>BLEKINGE LÄN</t>
        </is>
      </c>
      <c r="E1647" t="inlineStr">
        <is>
          <t>KARLSHAMN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33555-2023</t>
        </is>
      </c>
      <c r="B1648" s="1" t="n">
        <v>45118</v>
      </c>
      <c r="C1648" s="1" t="n">
        <v>46196</v>
      </c>
      <c r="D1648" t="inlineStr">
        <is>
          <t>BLEKINGE LÄN</t>
        </is>
      </c>
      <c r="E1648" t="inlineStr">
        <is>
          <t>KARLSKRONA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62728-2023</t>
        </is>
      </c>
      <c r="B1649" s="1" t="n">
        <v>45268</v>
      </c>
      <c r="C1649" s="1" t="n">
        <v>46196</v>
      </c>
      <c r="D1649" t="inlineStr">
        <is>
          <t>BLEKINGE LÄN</t>
        </is>
      </c>
      <c r="E1649" t="inlineStr">
        <is>
          <t>OLOFSTRÖM</t>
        </is>
      </c>
      <c r="F1649" t="inlineStr">
        <is>
          <t>Övriga Aktiebolag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29365-2023</t>
        </is>
      </c>
      <c r="B1650" s="1" t="n">
        <v>45106</v>
      </c>
      <c r="C1650" s="1" t="n">
        <v>46196</v>
      </c>
      <c r="D1650" t="inlineStr">
        <is>
          <t>BLEKINGE LÄN</t>
        </is>
      </c>
      <c r="E1650" t="inlineStr">
        <is>
          <t>KARLSKRONA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444-2023</t>
        </is>
      </c>
      <c r="B1651" s="1" t="n">
        <v>44929</v>
      </c>
      <c r="C1651" s="1" t="n">
        <v>46196</v>
      </c>
      <c r="D1651" t="inlineStr">
        <is>
          <t>BLEKINGE LÄN</t>
        </is>
      </c>
      <c r="E1651" t="inlineStr">
        <is>
          <t>OLOFSTRÖM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62377-2022</t>
        </is>
      </c>
      <c r="B1652" s="1" t="n">
        <v>44923</v>
      </c>
      <c r="C1652" s="1" t="n">
        <v>46196</v>
      </c>
      <c r="D1652" t="inlineStr">
        <is>
          <t>BLEKINGE LÄN</t>
        </is>
      </c>
      <c r="E1652" t="inlineStr">
        <is>
          <t>KARLSHAMN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61529-2024</t>
        </is>
      </c>
      <c r="B1653" s="1" t="n">
        <v>45646</v>
      </c>
      <c r="C1653" s="1" t="n">
        <v>46196</v>
      </c>
      <c r="D1653" t="inlineStr">
        <is>
          <t>BLEKINGE LÄN</t>
        </is>
      </c>
      <c r="E1653" t="inlineStr">
        <is>
          <t>RONNEBY</t>
        </is>
      </c>
      <c r="G1653" t="n">
        <v>8.300000000000001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13160-2023</t>
        </is>
      </c>
      <c r="B1654" s="1" t="n">
        <v>45002</v>
      </c>
      <c r="C1654" s="1" t="n">
        <v>46196</v>
      </c>
      <c r="D1654" t="inlineStr">
        <is>
          <t>BLEKINGE LÄN</t>
        </is>
      </c>
      <c r="E1654" t="inlineStr">
        <is>
          <t>KARLSKRONA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13224-2023</t>
        </is>
      </c>
      <c r="B1655" s="1" t="n">
        <v>45002</v>
      </c>
      <c r="C1655" s="1" t="n">
        <v>46196</v>
      </c>
      <c r="D1655" t="inlineStr">
        <is>
          <t>BLEKINGE LÄN</t>
        </is>
      </c>
      <c r="E1655" t="inlineStr">
        <is>
          <t>RONNEBY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16188-2022</t>
        </is>
      </c>
      <c r="B1656" s="1" t="n">
        <v>44669</v>
      </c>
      <c r="C1656" s="1" t="n">
        <v>46196</v>
      </c>
      <c r="D1656" t="inlineStr">
        <is>
          <t>BLEKINGE LÄN</t>
        </is>
      </c>
      <c r="E1656" t="inlineStr">
        <is>
          <t>SÖLVESBORG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6523-2024</t>
        </is>
      </c>
      <c r="B1657" s="1" t="n">
        <v>45341</v>
      </c>
      <c r="C1657" s="1" t="n">
        <v>46196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24547-2024</t>
        </is>
      </c>
      <c r="B1658" s="1" t="n">
        <v>45460</v>
      </c>
      <c r="C1658" s="1" t="n">
        <v>46196</v>
      </c>
      <c r="D1658" t="inlineStr">
        <is>
          <t>BLEKINGE LÄN</t>
        </is>
      </c>
      <c r="E1658" t="inlineStr">
        <is>
          <t>RONNEBY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45885-2024</t>
        </is>
      </c>
      <c r="B1659" s="1" t="n">
        <v>45580</v>
      </c>
      <c r="C1659" s="1" t="n">
        <v>46196</v>
      </c>
      <c r="D1659" t="inlineStr">
        <is>
          <t>BLEKINGE LÄN</t>
        </is>
      </c>
      <c r="E1659" t="inlineStr">
        <is>
          <t>KARLSHAMN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1243-2023</t>
        </is>
      </c>
      <c r="B1660" s="1" t="n">
        <v>44936</v>
      </c>
      <c r="C1660" s="1" t="n">
        <v>46196</v>
      </c>
      <c r="D1660" t="inlineStr">
        <is>
          <t>BLEKINGE LÄN</t>
        </is>
      </c>
      <c r="E1660" t="inlineStr">
        <is>
          <t>KARLSKRONA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29481-2022</t>
        </is>
      </c>
      <c r="B1661" s="1" t="n">
        <v>44753</v>
      </c>
      <c r="C1661" s="1" t="n">
        <v>46196</v>
      </c>
      <c r="D1661" t="inlineStr">
        <is>
          <t>BLEKINGE LÄN</t>
        </is>
      </c>
      <c r="E1661" t="inlineStr">
        <is>
          <t>KARLSKRONA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57427-2023</t>
        </is>
      </c>
      <c r="B1662" s="1" t="n">
        <v>45246</v>
      </c>
      <c r="C1662" s="1" t="n">
        <v>46196</v>
      </c>
      <c r="D1662" t="inlineStr">
        <is>
          <t>BLEKINGE LÄN</t>
        </is>
      </c>
      <c r="E1662" t="inlineStr">
        <is>
          <t>RONNEBY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45440-2023</t>
        </is>
      </c>
      <c r="B1663" s="1" t="n">
        <v>45194</v>
      </c>
      <c r="C1663" s="1" t="n">
        <v>46196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49693-2022</t>
        </is>
      </c>
      <c r="B1664" s="1" t="n">
        <v>44862</v>
      </c>
      <c r="C1664" s="1" t="n">
        <v>46196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29394-2023</t>
        </is>
      </c>
      <c r="B1665" s="1" t="n">
        <v>45106</v>
      </c>
      <c r="C1665" s="1" t="n">
        <v>46196</v>
      </c>
      <c r="D1665" t="inlineStr">
        <is>
          <t>BLEKINGE LÄN</t>
        </is>
      </c>
      <c r="E1665" t="inlineStr">
        <is>
          <t>KARLSKRONA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29443-2023</t>
        </is>
      </c>
      <c r="B1666" s="1" t="n">
        <v>45106</v>
      </c>
      <c r="C1666" s="1" t="n">
        <v>46196</v>
      </c>
      <c r="D1666" t="inlineStr">
        <is>
          <t>BLEKINGE LÄN</t>
        </is>
      </c>
      <c r="E1666" t="inlineStr">
        <is>
          <t>KARLSHAMN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609-2024</t>
        </is>
      </c>
      <c r="B1667" s="1" t="n">
        <v>45299</v>
      </c>
      <c r="C1667" s="1" t="n">
        <v>46196</v>
      </c>
      <c r="D1667" t="inlineStr">
        <is>
          <t>BLEKINGE LÄN</t>
        </is>
      </c>
      <c r="E1667" t="inlineStr">
        <is>
          <t>RONNEBY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57646-2024</t>
        </is>
      </c>
      <c r="B1668" s="1" t="n">
        <v>45630</v>
      </c>
      <c r="C1668" s="1" t="n">
        <v>46196</v>
      </c>
      <c r="D1668" t="inlineStr">
        <is>
          <t>BLEKINGE LÄN</t>
        </is>
      </c>
      <c r="E1668" t="inlineStr">
        <is>
          <t>KARLSKRONA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2089-2024</t>
        </is>
      </c>
      <c r="B1669" s="1" t="n">
        <v>45309</v>
      </c>
      <c r="C1669" s="1" t="n">
        <v>46196</v>
      </c>
      <c r="D1669" t="inlineStr">
        <is>
          <t>BLEKINGE LÄN</t>
        </is>
      </c>
      <c r="E1669" t="inlineStr">
        <is>
          <t>SÖLVESBORG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13034-2023</t>
        </is>
      </c>
      <c r="B1670" s="1" t="n">
        <v>45001</v>
      </c>
      <c r="C1670" s="1" t="n">
        <v>46196</v>
      </c>
      <c r="D1670" t="inlineStr">
        <is>
          <t>BLEKINGE LÄN</t>
        </is>
      </c>
      <c r="E1670" t="inlineStr">
        <is>
          <t>RONNEBY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17563-2023</t>
        </is>
      </c>
      <c r="B1671" s="1" t="n">
        <v>45036</v>
      </c>
      <c r="C1671" s="1" t="n">
        <v>46196</v>
      </c>
      <c r="D1671" t="inlineStr">
        <is>
          <t>BLEKINGE LÄN</t>
        </is>
      </c>
      <c r="E1671" t="inlineStr">
        <is>
          <t>RONNEBY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10245-2022</t>
        </is>
      </c>
      <c r="B1672" s="1" t="n">
        <v>44622</v>
      </c>
      <c r="C1672" s="1" t="n">
        <v>46196</v>
      </c>
      <c r="D1672" t="inlineStr">
        <is>
          <t>BLEKINGE LÄN</t>
        </is>
      </c>
      <c r="E1672" t="inlineStr">
        <is>
          <t>KARLSHAMN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66267-2021</t>
        </is>
      </c>
      <c r="B1673" s="1" t="n">
        <v>44518</v>
      </c>
      <c r="C1673" s="1" t="n">
        <v>46196</v>
      </c>
      <c r="D1673" t="inlineStr">
        <is>
          <t>BLEKINGE LÄN</t>
        </is>
      </c>
      <c r="E1673" t="inlineStr">
        <is>
          <t>KARLSHAMN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39537-2024</t>
        </is>
      </c>
      <c r="B1674" s="1" t="n">
        <v>45551</v>
      </c>
      <c r="C1674" s="1" t="n">
        <v>46196</v>
      </c>
      <c r="D1674" t="inlineStr">
        <is>
          <t>BLEKINGE LÄN</t>
        </is>
      </c>
      <c r="E1674" t="inlineStr">
        <is>
          <t>KARLSKRONA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25860-2023</t>
        </is>
      </c>
      <c r="B1675" s="1" t="n">
        <v>45090</v>
      </c>
      <c r="C1675" s="1" t="n">
        <v>46196</v>
      </c>
      <c r="D1675" t="inlineStr">
        <is>
          <t>BLEKINGE LÄN</t>
        </is>
      </c>
      <c r="E1675" t="inlineStr">
        <is>
          <t>KARLSHAMN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9057-2024</t>
        </is>
      </c>
      <c r="B1676" s="1" t="n">
        <v>45357</v>
      </c>
      <c r="C1676" s="1" t="n">
        <v>46196</v>
      </c>
      <c r="D1676" t="inlineStr">
        <is>
          <t>BLEKINGE LÄN</t>
        </is>
      </c>
      <c r="E1676" t="inlineStr">
        <is>
          <t>RONNEBY</t>
        </is>
      </c>
      <c r="F1676" t="inlineStr">
        <is>
          <t>Kommuner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19948-2023</t>
        </is>
      </c>
      <c r="B1677" s="1" t="n">
        <v>45054</v>
      </c>
      <c r="C1677" s="1" t="n">
        <v>46196</v>
      </c>
      <c r="D1677" t="inlineStr">
        <is>
          <t>BLEKINGE LÄN</t>
        </is>
      </c>
      <c r="E1677" t="inlineStr">
        <is>
          <t>RONNEBY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33350-2023</t>
        </is>
      </c>
      <c r="B1678" s="1" t="n">
        <v>45117</v>
      </c>
      <c r="C1678" s="1" t="n">
        <v>46196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39050-2024</t>
        </is>
      </c>
      <c r="B1679" s="1" t="n">
        <v>45548</v>
      </c>
      <c r="C1679" s="1" t="n">
        <v>46196</v>
      </c>
      <c r="D1679" t="inlineStr">
        <is>
          <t>BLEKINGE LÄN</t>
        </is>
      </c>
      <c r="E1679" t="inlineStr">
        <is>
          <t>OLOFSTRÖM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39077-2024</t>
        </is>
      </c>
      <c r="B1680" s="1" t="n">
        <v>45548</v>
      </c>
      <c r="C1680" s="1" t="n">
        <v>46196</v>
      </c>
      <c r="D1680" t="inlineStr">
        <is>
          <t>BLEKINGE LÄN</t>
        </is>
      </c>
      <c r="E1680" t="inlineStr">
        <is>
          <t>OLOFSTRÖM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40082-2023</t>
        </is>
      </c>
      <c r="B1681" s="1" t="n">
        <v>45168</v>
      </c>
      <c r="C1681" s="1" t="n">
        <v>46196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40501-2024</t>
        </is>
      </c>
      <c r="B1682" s="1" t="n">
        <v>45555</v>
      </c>
      <c r="C1682" s="1" t="n">
        <v>46196</v>
      </c>
      <c r="D1682" t="inlineStr">
        <is>
          <t>BLEKINGE LÄN</t>
        </is>
      </c>
      <c r="E1682" t="inlineStr">
        <is>
          <t>RONNEBY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8197-2024</t>
        </is>
      </c>
      <c r="B1683" s="1" t="n">
        <v>45351</v>
      </c>
      <c r="C1683" s="1" t="n">
        <v>46196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14428-2024</t>
        </is>
      </c>
      <c r="B1684" s="1" t="n">
        <v>45394</v>
      </c>
      <c r="C1684" s="1" t="n">
        <v>46196</v>
      </c>
      <c r="D1684" t="inlineStr">
        <is>
          <t>BLEKINGE LÄN</t>
        </is>
      </c>
      <c r="E1684" t="inlineStr">
        <is>
          <t>RONNEBY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46079-2024</t>
        </is>
      </c>
      <c r="B1685" s="1" t="n">
        <v>45581</v>
      </c>
      <c r="C1685" s="1" t="n">
        <v>46196</v>
      </c>
      <c r="D1685" t="inlineStr">
        <is>
          <t>BLEKINGE LÄN</t>
        </is>
      </c>
      <c r="E1685" t="inlineStr">
        <is>
          <t>RONNEBY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14311-2023</t>
        </is>
      </c>
      <c r="B1686" s="1" t="n">
        <v>45011</v>
      </c>
      <c r="C1686" s="1" t="n">
        <v>46196</v>
      </c>
      <c r="D1686" t="inlineStr">
        <is>
          <t>BLEKINGE LÄN</t>
        </is>
      </c>
      <c r="E1686" t="inlineStr">
        <is>
          <t>OLOFSTRÖM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15624-2024</t>
        </is>
      </c>
      <c r="B1687" s="1" t="n">
        <v>45402</v>
      </c>
      <c r="C1687" s="1" t="n">
        <v>46196</v>
      </c>
      <c r="D1687" t="inlineStr">
        <is>
          <t>BLEKINGE LÄN</t>
        </is>
      </c>
      <c r="E1687" t="inlineStr">
        <is>
          <t>RONNEBY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8837-2024</t>
        </is>
      </c>
      <c r="B1688" s="1" t="n">
        <v>45356</v>
      </c>
      <c r="C1688" s="1" t="n">
        <v>46196</v>
      </c>
      <c r="D1688" t="inlineStr">
        <is>
          <t>BLEKINGE LÄN</t>
        </is>
      </c>
      <c r="E1688" t="inlineStr">
        <is>
          <t>SÖLVESBORG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12601-2024</t>
        </is>
      </c>
      <c r="B1689" s="1" t="n">
        <v>45381</v>
      </c>
      <c r="C1689" s="1" t="n">
        <v>46196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24380-2024</t>
        </is>
      </c>
      <c r="B1690" s="1" t="n">
        <v>45457</v>
      </c>
      <c r="C1690" s="1" t="n">
        <v>46196</v>
      </c>
      <c r="D1690" t="inlineStr">
        <is>
          <t>BLEKINGE LÄN</t>
        </is>
      </c>
      <c r="E1690" t="inlineStr">
        <is>
          <t>KARLSHAMN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38721-2023</t>
        </is>
      </c>
      <c r="B1691" s="1" t="n">
        <v>45163</v>
      </c>
      <c r="C1691" s="1" t="n">
        <v>46196</v>
      </c>
      <c r="D1691" t="inlineStr">
        <is>
          <t>BLEKINGE LÄN</t>
        </is>
      </c>
      <c r="E1691" t="inlineStr">
        <is>
          <t>KARLSHAMN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42635-2024</t>
        </is>
      </c>
      <c r="B1692" s="1" t="n">
        <v>45565</v>
      </c>
      <c r="C1692" s="1" t="n">
        <v>46196</v>
      </c>
      <c r="D1692" t="inlineStr">
        <is>
          <t>BLEKINGE LÄN</t>
        </is>
      </c>
      <c r="E1692" t="inlineStr">
        <is>
          <t>OLOFSTRÖM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54956-2024</t>
        </is>
      </c>
      <c r="B1693" s="1" t="n">
        <v>45619</v>
      </c>
      <c r="C1693" s="1" t="n">
        <v>46196</v>
      </c>
      <c r="D1693" t="inlineStr">
        <is>
          <t>BLEKINGE LÄN</t>
        </is>
      </c>
      <c r="E1693" t="inlineStr">
        <is>
          <t>KARLSKRONA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36964-2023</t>
        </is>
      </c>
      <c r="B1694" s="1" t="n">
        <v>45154</v>
      </c>
      <c r="C1694" s="1" t="n">
        <v>46196</v>
      </c>
      <c r="D1694" t="inlineStr">
        <is>
          <t>BLEKINGE LÄN</t>
        </is>
      </c>
      <c r="E1694" t="inlineStr">
        <is>
          <t>KARLSKRONA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33557-2024</t>
        </is>
      </c>
      <c r="B1695" s="1" t="n">
        <v>45519</v>
      </c>
      <c r="C1695" s="1" t="n">
        <v>46196</v>
      </c>
      <c r="D1695" t="inlineStr">
        <is>
          <t>BLEKINGE LÄN</t>
        </is>
      </c>
      <c r="E1695" t="inlineStr">
        <is>
          <t>KARLSHAMN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40309-2023</t>
        </is>
      </c>
      <c r="B1696" s="1" t="n">
        <v>45169</v>
      </c>
      <c r="C1696" s="1" t="n">
        <v>46196</v>
      </c>
      <c r="D1696" t="inlineStr">
        <is>
          <t>BLEKINGE LÄN</t>
        </is>
      </c>
      <c r="E1696" t="inlineStr">
        <is>
          <t>RONNEBY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8452-2024</t>
        </is>
      </c>
      <c r="B1697" s="1" t="n">
        <v>45354</v>
      </c>
      <c r="C1697" s="1" t="n">
        <v>46196</v>
      </c>
      <c r="D1697" t="inlineStr">
        <is>
          <t>BLEKINGE LÄN</t>
        </is>
      </c>
      <c r="E1697" t="inlineStr">
        <is>
          <t>RONNEBY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68972-2021</t>
        </is>
      </c>
      <c r="B1698" s="1" t="n">
        <v>44530</v>
      </c>
      <c r="C1698" s="1" t="n">
        <v>46196</v>
      </c>
      <c r="D1698" t="inlineStr">
        <is>
          <t>BLEKINGE LÄN</t>
        </is>
      </c>
      <c r="E1698" t="inlineStr">
        <is>
          <t>KARLSKRONA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55421-2023</t>
        </is>
      </c>
      <c r="B1699" s="1" t="n">
        <v>45238</v>
      </c>
      <c r="C1699" s="1" t="n">
        <v>46196</v>
      </c>
      <c r="D1699" t="inlineStr">
        <is>
          <t>BLEKINGE LÄN</t>
        </is>
      </c>
      <c r="E1699" t="inlineStr">
        <is>
          <t>OLOFSTRÖM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14101-2023</t>
        </is>
      </c>
      <c r="B1700" s="1" t="n">
        <v>45009</v>
      </c>
      <c r="C1700" s="1" t="n">
        <v>46196</v>
      </c>
      <c r="D1700" t="inlineStr">
        <is>
          <t>BLEKINGE LÄN</t>
        </is>
      </c>
      <c r="E1700" t="inlineStr">
        <is>
          <t>RONNEBY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14102-2023</t>
        </is>
      </c>
      <c r="B1701" s="1" t="n">
        <v>45009</v>
      </c>
      <c r="C1701" s="1" t="n">
        <v>46196</v>
      </c>
      <c r="D1701" t="inlineStr">
        <is>
          <t>BLEKINGE LÄN</t>
        </is>
      </c>
      <c r="E1701" t="inlineStr">
        <is>
          <t>RONNEBY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54942-2021</t>
        </is>
      </c>
      <c r="B1702" s="1" t="n">
        <v>44473</v>
      </c>
      <c r="C1702" s="1" t="n">
        <v>46196</v>
      </c>
      <c r="D1702" t="inlineStr">
        <is>
          <t>BLEKINGE LÄN</t>
        </is>
      </c>
      <c r="E1702" t="inlineStr">
        <is>
          <t>KARLSKRONA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26041-2023</t>
        </is>
      </c>
      <c r="B1703" s="1" t="n">
        <v>45091</v>
      </c>
      <c r="C1703" s="1" t="n">
        <v>46196</v>
      </c>
      <c r="D1703" t="inlineStr">
        <is>
          <t>BLEKINGE LÄN</t>
        </is>
      </c>
      <c r="E1703" t="inlineStr">
        <is>
          <t>KARLSHAMN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29528-2024</t>
        </is>
      </c>
      <c r="B1704" s="1" t="n">
        <v>45484</v>
      </c>
      <c r="C1704" s="1" t="n">
        <v>46196</v>
      </c>
      <c r="D1704" t="inlineStr">
        <is>
          <t>BLEKINGE LÄN</t>
        </is>
      </c>
      <c r="E1704" t="inlineStr">
        <is>
          <t>OLOFSTRÖM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10902-2025</t>
        </is>
      </c>
      <c r="B1705" s="1" t="n">
        <v>45722</v>
      </c>
      <c r="C1705" s="1" t="n">
        <v>46196</v>
      </c>
      <c r="D1705" t="inlineStr">
        <is>
          <t>BLEKINGE LÄN</t>
        </is>
      </c>
      <c r="E1705" t="inlineStr">
        <is>
          <t>KARLSHAMN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18095-2023</t>
        </is>
      </c>
      <c r="B1706" s="1" t="n">
        <v>45037</v>
      </c>
      <c r="C1706" s="1" t="n">
        <v>46196</v>
      </c>
      <c r="D1706" t="inlineStr">
        <is>
          <t>BLEKINGE LÄN</t>
        </is>
      </c>
      <c r="E1706" t="inlineStr">
        <is>
          <t>KARLSHAMN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56489-2021</t>
        </is>
      </c>
      <c r="B1707" s="1" t="n">
        <v>44480</v>
      </c>
      <c r="C1707" s="1" t="n">
        <v>46196</v>
      </c>
      <c r="D1707" t="inlineStr">
        <is>
          <t>BLEKINGE LÄN</t>
        </is>
      </c>
      <c r="E1707" t="inlineStr">
        <is>
          <t>KARLSHAMN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7255-2025</t>
        </is>
      </c>
      <c r="B1708" s="1" t="n">
        <v>45702</v>
      </c>
      <c r="C1708" s="1" t="n">
        <v>46196</v>
      </c>
      <c r="D1708" t="inlineStr">
        <is>
          <t>BLEKINGE LÄN</t>
        </is>
      </c>
      <c r="E1708" t="inlineStr">
        <is>
          <t>RONNEBY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36730-2024</t>
        </is>
      </c>
      <c r="B1709" s="1" t="n">
        <v>45537</v>
      </c>
      <c r="C1709" s="1" t="n">
        <v>46196</v>
      </c>
      <c r="D1709" t="inlineStr">
        <is>
          <t>BLEKINGE LÄN</t>
        </is>
      </c>
      <c r="E1709" t="inlineStr">
        <is>
          <t>KARLSKRONA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53418-2022</t>
        </is>
      </c>
      <c r="B1710" s="1" t="n">
        <v>44879</v>
      </c>
      <c r="C1710" s="1" t="n">
        <v>46196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48984-2023</t>
        </is>
      </c>
      <c r="B1711" s="1" t="n">
        <v>45204</v>
      </c>
      <c r="C1711" s="1" t="n">
        <v>46196</v>
      </c>
      <c r="D1711" t="inlineStr">
        <is>
          <t>BLEKINGE LÄN</t>
        </is>
      </c>
      <c r="E1711" t="inlineStr">
        <is>
          <t>KARLSHAMN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58305-2023</t>
        </is>
      </c>
      <c r="B1712" s="1" t="n">
        <v>45245</v>
      </c>
      <c r="C1712" s="1" t="n">
        <v>46196</v>
      </c>
      <c r="D1712" t="inlineStr">
        <is>
          <t>BLEKINGE LÄN</t>
        </is>
      </c>
      <c r="E1712" t="inlineStr">
        <is>
          <t>OLOFSTRÖM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14448-2023</t>
        </is>
      </c>
      <c r="B1713" s="1" t="n">
        <v>45012</v>
      </c>
      <c r="C1713" s="1" t="n">
        <v>46196</v>
      </c>
      <c r="D1713" t="inlineStr">
        <is>
          <t>BLEKINGE LÄN</t>
        </is>
      </c>
      <c r="E1713" t="inlineStr">
        <is>
          <t>KARLSKRONA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9391-2023</t>
        </is>
      </c>
      <c r="B1714" s="1" t="n">
        <v>44981</v>
      </c>
      <c r="C1714" s="1" t="n">
        <v>46196</v>
      </c>
      <c r="D1714" t="inlineStr">
        <is>
          <t>BLEKINGE LÄN</t>
        </is>
      </c>
      <c r="E1714" t="inlineStr">
        <is>
          <t>KARLSHAMN</t>
        </is>
      </c>
      <c r="F1714" t="inlineStr">
        <is>
          <t>Sveaskog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37394-2022</t>
        </is>
      </c>
      <c r="B1715" s="1" t="n">
        <v>44809</v>
      </c>
      <c r="C1715" s="1" t="n">
        <v>46196</v>
      </c>
      <c r="D1715" t="inlineStr">
        <is>
          <t>BLEKINGE LÄN</t>
        </is>
      </c>
      <c r="E1715" t="inlineStr">
        <is>
          <t>KARLSKRONA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46196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10327-2025</t>
        </is>
      </c>
      <c r="B1717" s="1" t="n">
        <v>45720</v>
      </c>
      <c r="C1717" s="1" t="n">
        <v>46196</v>
      </c>
      <c r="D1717" t="inlineStr">
        <is>
          <t>BLEKINGE LÄN</t>
        </is>
      </c>
      <c r="E1717" t="inlineStr">
        <is>
          <t>OLOFSTRÖM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23679-2023</t>
        </is>
      </c>
      <c r="B1718" s="1" t="n">
        <v>45077</v>
      </c>
      <c r="C1718" s="1" t="n">
        <v>46196</v>
      </c>
      <c r="D1718" t="inlineStr">
        <is>
          <t>BLEKINGE LÄN</t>
        </is>
      </c>
      <c r="E1718" t="inlineStr">
        <is>
          <t>KARLSKRONA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2832-2023</t>
        </is>
      </c>
      <c r="B1719" s="1" t="n">
        <v>44945</v>
      </c>
      <c r="C1719" s="1" t="n">
        <v>46196</v>
      </c>
      <c r="D1719" t="inlineStr">
        <is>
          <t>BLEKINGE LÄN</t>
        </is>
      </c>
      <c r="E1719" t="inlineStr">
        <is>
          <t>SÖLVESBORG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2711-2023</t>
        </is>
      </c>
      <c r="B1720" s="1" t="n">
        <v>44942</v>
      </c>
      <c r="C1720" s="1" t="n">
        <v>46196</v>
      </c>
      <c r="D1720" t="inlineStr">
        <is>
          <t>BLEKINGE LÄN</t>
        </is>
      </c>
      <c r="E1720" t="inlineStr">
        <is>
          <t>KARLSKRONA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51455-2024</t>
        </is>
      </c>
      <c r="B1721" s="1" t="n">
        <v>45604</v>
      </c>
      <c r="C1721" s="1" t="n">
        <v>46196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29913-2023</t>
        </is>
      </c>
      <c r="B1722" s="1" t="n">
        <v>45107</v>
      </c>
      <c r="C1722" s="1" t="n">
        <v>46196</v>
      </c>
      <c r="D1722" t="inlineStr">
        <is>
          <t>BLEKINGE LÄN</t>
        </is>
      </c>
      <c r="E1722" t="inlineStr">
        <is>
          <t>KARLSKRONA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24969-2022</t>
        </is>
      </c>
      <c r="B1723" s="1" t="n">
        <v>44728</v>
      </c>
      <c r="C1723" s="1" t="n">
        <v>46196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47823-2024</t>
        </is>
      </c>
      <c r="B1724" s="1" t="n">
        <v>45588</v>
      </c>
      <c r="C1724" s="1" t="n">
        <v>46196</v>
      </c>
      <c r="D1724" t="inlineStr">
        <is>
          <t>BLEKINGE LÄN</t>
        </is>
      </c>
      <c r="E1724" t="inlineStr">
        <is>
          <t>RONNEBY</t>
        </is>
      </c>
      <c r="F1724" t="inlineStr">
        <is>
          <t>Kommuner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5885-2025</t>
        </is>
      </c>
      <c r="B1725" s="1" t="n">
        <v>45695</v>
      </c>
      <c r="C1725" s="1" t="n">
        <v>46196</v>
      </c>
      <c r="D1725" t="inlineStr">
        <is>
          <t>BLEKINGE LÄN</t>
        </is>
      </c>
      <c r="E1725" t="inlineStr">
        <is>
          <t>KARLSKRONA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26356-2024</t>
        </is>
      </c>
      <c r="B1726" s="1" t="n">
        <v>45469</v>
      </c>
      <c r="C1726" s="1" t="n">
        <v>46196</v>
      </c>
      <c r="D1726" t="inlineStr">
        <is>
          <t>BLEKINGE LÄN</t>
        </is>
      </c>
      <c r="E1726" t="inlineStr">
        <is>
          <t>KARLSKRONA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62666-2023</t>
        </is>
      </c>
      <c r="B1727" s="1" t="n">
        <v>45271</v>
      </c>
      <c r="C1727" s="1" t="n">
        <v>46196</v>
      </c>
      <c r="D1727" t="inlineStr">
        <is>
          <t>BLEKINGE LÄN</t>
        </is>
      </c>
      <c r="E1727" t="inlineStr">
        <is>
          <t>OLOFSTRÖM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62672-2023</t>
        </is>
      </c>
      <c r="B1728" s="1" t="n">
        <v>45271</v>
      </c>
      <c r="C1728" s="1" t="n">
        <v>46196</v>
      </c>
      <c r="D1728" t="inlineStr">
        <is>
          <t>BLEKINGE LÄN</t>
        </is>
      </c>
      <c r="E1728" t="inlineStr">
        <is>
          <t>OLOFSTRÖM</t>
        </is>
      </c>
      <c r="G1728" t="n">
        <v>8.199999999999999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62744-2023</t>
        </is>
      </c>
      <c r="B1729" s="1" t="n">
        <v>45268</v>
      </c>
      <c r="C1729" s="1" t="n">
        <v>46196</v>
      </c>
      <c r="D1729" t="inlineStr">
        <is>
          <t>BLEKINGE LÄN</t>
        </is>
      </c>
      <c r="E1729" t="inlineStr">
        <is>
          <t>OLOFSTRÖM</t>
        </is>
      </c>
      <c r="F1729" t="inlineStr">
        <is>
          <t>Övriga Aktiebolag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62758-2023</t>
        </is>
      </c>
      <c r="B1730" s="1" t="n">
        <v>45268</v>
      </c>
      <c r="C1730" s="1" t="n">
        <v>46196</v>
      </c>
      <c r="D1730" t="inlineStr">
        <is>
          <t>BLEKINGE LÄN</t>
        </is>
      </c>
      <c r="E1730" t="inlineStr">
        <is>
          <t>OLOFSTRÖM</t>
        </is>
      </c>
      <c r="F1730" t="inlineStr">
        <is>
          <t>Övriga Aktiebolag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6649-2025</t>
        </is>
      </c>
      <c r="B1731" s="1" t="n">
        <v>45700</v>
      </c>
      <c r="C1731" s="1" t="n">
        <v>46196</v>
      </c>
      <c r="D1731" t="inlineStr">
        <is>
          <t>BLEKINGE LÄN</t>
        </is>
      </c>
      <c r="E1731" t="inlineStr">
        <is>
          <t>OLOFSTRÖM</t>
        </is>
      </c>
      <c r="F1731" t="inlineStr">
        <is>
          <t>Kommuner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682-2022</t>
        </is>
      </c>
      <c r="B1732" s="1" t="n">
        <v>44568</v>
      </c>
      <c r="C1732" s="1" t="n">
        <v>46196</v>
      </c>
      <c r="D1732" t="inlineStr">
        <is>
          <t>BLEKINGE LÄN</t>
        </is>
      </c>
      <c r="E1732" t="inlineStr">
        <is>
          <t>KARLSHAMN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63881-2023</t>
        </is>
      </c>
      <c r="B1733" s="1" t="n">
        <v>45278</v>
      </c>
      <c r="C1733" s="1" t="n">
        <v>46196</v>
      </c>
      <c r="D1733" t="inlineStr">
        <is>
          <t>BLEKINGE LÄN</t>
        </is>
      </c>
      <c r="E1733" t="inlineStr">
        <is>
          <t>RONNEBY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7658-2022</t>
        </is>
      </c>
      <c r="B1734" s="1" t="n">
        <v>44607</v>
      </c>
      <c r="C1734" s="1" t="n">
        <v>46196</v>
      </c>
      <c r="D1734" t="inlineStr">
        <is>
          <t>BLEKINGE LÄN</t>
        </is>
      </c>
      <c r="E1734" t="inlineStr">
        <is>
          <t>KARLSHAMN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17394-2025</t>
        </is>
      </c>
      <c r="B1735" s="1" t="n">
        <v>45757</v>
      </c>
      <c r="C1735" s="1" t="n">
        <v>46196</v>
      </c>
      <c r="D1735" t="inlineStr">
        <is>
          <t>BLEKINGE LÄN</t>
        </is>
      </c>
      <c r="E1735" t="inlineStr">
        <is>
          <t>KARLSHAMN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9384-2023</t>
        </is>
      </c>
      <c r="B1736" s="1" t="n">
        <v>44981</v>
      </c>
      <c r="C1736" s="1" t="n">
        <v>46196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50808-2024</t>
        </is>
      </c>
      <c r="B1737" s="1" t="n">
        <v>45602</v>
      </c>
      <c r="C1737" s="1" t="n">
        <v>46196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16866-2025</t>
        </is>
      </c>
      <c r="B1738" s="1" t="n">
        <v>45754</v>
      </c>
      <c r="C1738" s="1" t="n">
        <v>46196</v>
      </c>
      <c r="D1738" t="inlineStr">
        <is>
          <t>BLEKINGE LÄN</t>
        </is>
      </c>
      <c r="E1738" t="inlineStr">
        <is>
          <t>RONNEBY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10365-2023</t>
        </is>
      </c>
      <c r="B1739" s="1" t="n">
        <v>44987</v>
      </c>
      <c r="C1739" s="1" t="n">
        <v>46196</v>
      </c>
      <c r="D1739" t="inlineStr">
        <is>
          <t>BLEKINGE LÄN</t>
        </is>
      </c>
      <c r="E1739" t="inlineStr">
        <is>
          <t>RONNEBY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52682-2024</t>
        </is>
      </c>
      <c r="B1740" s="1" t="n">
        <v>45610</v>
      </c>
      <c r="C1740" s="1" t="n">
        <v>46196</v>
      </c>
      <c r="D1740" t="inlineStr">
        <is>
          <t>BLEKINGE LÄN</t>
        </is>
      </c>
      <c r="E1740" t="inlineStr">
        <is>
          <t>KARLSKRONA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31687-2023</t>
        </is>
      </c>
      <c r="B1741" s="1" t="n">
        <v>45117</v>
      </c>
      <c r="C1741" s="1" t="n">
        <v>46196</v>
      </c>
      <c r="D1741" t="inlineStr">
        <is>
          <t>BLEKINGE LÄN</t>
        </is>
      </c>
      <c r="E1741" t="inlineStr">
        <is>
          <t>RONNEBY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47844-2021</t>
        </is>
      </c>
      <c r="B1742" s="1" t="n">
        <v>44448</v>
      </c>
      <c r="C1742" s="1" t="n">
        <v>46196</v>
      </c>
      <c r="D1742" t="inlineStr">
        <is>
          <t>BLEKINGE LÄN</t>
        </is>
      </c>
      <c r="E1742" t="inlineStr">
        <is>
          <t>KARLSHAMN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5880-2022</t>
        </is>
      </c>
      <c r="B1743" s="1" t="n">
        <v>44596</v>
      </c>
      <c r="C1743" s="1" t="n">
        <v>46196</v>
      </c>
      <c r="D1743" t="inlineStr">
        <is>
          <t>BLEKINGE LÄN</t>
        </is>
      </c>
      <c r="E1743" t="inlineStr">
        <is>
          <t>KARLSKRONA</t>
        </is>
      </c>
      <c r="F1743" t="inlineStr">
        <is>
          <t>Kommuner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67970-2021</t>
        </is>
      </c>
      <c r="B1744" s="1" t="n">
        <v>44525</v>
      </c>
      <c r="C1744" s="1" t="n">
        <v>46196</v>
      </c>
      <c r="D1744" t="inlineStr">
        <is>
          <t>BLEKINGE LÄN</t>
        </is>
      </c>
      <c r="E1744" t="inlineStr">
        <is>
          <t>KARLSHAMN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28896-2024</t>
        </is>
      </c>
      <c r="B1745" s="1" t="n">
        <v>45480</v>
      </c>
      <c r="C1745" s="1" t="n">
        <v>46196</v>
      </c>
      <c r="D1745" t="inlineStr">
        <is>
          <t>BLEKINGE LÄN</t>
        </is>
      </c>
      <c r="E1745" t="inlineStr">
        <is>
          <t>RONNEBY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1067-2024</t>
        </is>
      </c>
      <c r="B1746" s="1" t="n">
        <v>45302</v>
      </c>
      <c r="C1746" s="1" t="n">
        <v>46196</v>
      </c>
      <c r="D1746" t="inlineStr">
        <is>
          <t>BLEKINGE LÄN</t>
        </is>
      </c>
      <c r="E1746" t="inlineStr">
        <is>
          <t>RONNEBY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69498-2021</t>
        </is>
      </c>
      <c r="B1747" s="1" t="n">
        <v>44531</v>
      </c>
      <c r="C1747" s="1" t="n">
        <v>46196</v>
      </c>
      <c r="D1747" t="inlineStr">
        <is>
          <t>BLEKINGE LÄN</t>
        </is>
      </c>
      <c r="E1747" t="inlineStr">
        <is>
          <t>OLOFSTRÖM</t>
        </is>
      </c>
      <c r="F1747" t="inlineStr">
        <is>
          <t>Kommuner</t>
        </is>
      </c>
      <c r="G1747" t="n">
        <v>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69511-2021</t>
        </is>
      </c>
      <c r="B1748" s="1" t="n">
        <v>44531</v>
      </c>
      <c r="C1748" s="1" t="n">
        <v>46196</v>
      </c>
      <c r="D1748" t="inlineStr">
        <is>
          <t>BLEKINGE LÄN</t>
        </is>
      </c>
      <c r="E1748" t="inlineStr">
        <is>
          <t>KARLSHAMN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4411-2024</t>
        </is>
      </c>
      <c r="B1749" s="1" t="n">
        <v>45327</v>
      </c>
      <c r="C1749" s="1" t="n">
        <v>46196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52810-2024</t>
        </is>
      </c>
      <c r="B1750" s="1" t="n">
        <v>45610</v>
      </c>
      <c r="C1750" s="1" t="n">
        <v>46196</v>
      </c>
      <c r="D1750" t="inlineStr">
        <is>
          <t>BLEKINGE LÄN</t>
        </is>
      </c>
      <c r="E1750" t="inlineStr">
        <is>
          <t>KARLSKRONA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25077-2022</t>
        </is>
      </c>
      <c r="B1751" s="1" t="n">
        <v>44729</v>
      </c>
      <c r="C1751" s="1" t="n">
        <v>46196</v>
      </c>
      <c r="D1751" t="inlineStr">
        <is>
          <t>BLEKINGE LÄN</t>
        </is>
      </c>
      <c r="E1751" t="inlineStr">
        <is>
          <t>RONNEBY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53061-2022</t>
        </is>
      </c>
      <c r="B1752" s="1" t="n">
        <v>44876</v>
      </c>
      <c r="C1752" s="1" t="n">
        <v>46196</v>
      </c>
      <c r="D1752" t="inlineStr">
        <is>
          <t>BLEKINGE LÄN</t>
        </is>
      </c>
      <c r="E1752" t="inlineStr">
        <is>
          <t>KARLSKRONA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39361-2024</t>
        </is>
      </c>
      <c r="B1753" s="1" t="n">
        <v>45551</v>
      </c>
      <c r="C1753" s="1" t="n">
        <v>46196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34283-2023</t>
        </is>
      </c>
      <c r="B1754" s="1" t="n">
        <v>45127</v>
      </c>
      <c r="C1754" s="1" t="n">
        <v>46196</v>
      </c>
      <c r="D1754" t="inlineStr">
        <is>
          <t>BLEKINGE LÄN</t>
        </is>
      </c>
      <c r="E1754" t="inlineStr">
        <is>
          <t>KARLSKRONA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54943-2024</t>
        </is>
      </c>
      <c r="B1755" s="1" t="n">
        <v>45619</v>
      </c>
      <c r="C1755" s="1" t="n">
        <v>46196</v>
      </c>
      <c r="D1755" t="inlineStr">
        <is>
          <t>BLEKINGE LÄN</t>
        </is>
      </c>
      <c r="E1755" t="inlineStr">
        <is>
          <t>RONNEBY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32362-2024</t>
        </is>
      </c>
      <c r="B1756" s="1" t="n">
        <v>45512</v>
      </c>
      <c r="C1756" s="1" t="n">
        <v>46196</v>
      </c>
      <c r="D1756" t="inlineStr">
        <is>
          <t>BLEKINGE LÄN</t>
        </is>
      </c>
      <c r="E1756" t="inlineStr">
        <is>
          <t>KARLSKRONA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39381-2023</t>
        </is>
      </c>
      <c r="B1757" s="1" t="n">
        <v>45166</v>
      </c>
      <c r="C1757" s="1" t="n">
        <v>46196</v>
      </c>
      <c r="D1757" t="inlineStr">
        <is>
          <t>BLEKINGE LÄN</t>
        </is>
      </c>
      <c r="E1757" t="inlineStr">
        <is>
          <t>KARLSKRONA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71708-2021</t>
        </is>
      </c>
      <c r="B1758" s="1" t="n">
        <v>44543</v>
      </c>
      <c r="C1758" s="1" t="n">
        <v>46196</v>
      </c>
      <c r="D1758" t="inlineStr">
        <is>
          <t>BLEKINGE LÄN</t>
        </is>
      </c>
      <c r="E1758" t="inlineStr">
        <is>
          <t>KARLSKRONA</t>
        </is>
      </c>
      <c r="G1758" t="n">
        <v>9.4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51284-2023</t>
        </is>
      </c>
      <c r="B1759" s="1" t="n">
        <v>45219</v>
      </c>
      <c r="C1759" s="1" t="n">
        <v>46196</v>
      </c>
      <c r="D1759" t="inlineStr">
        <is>
          <t>BLEKINGE LÄN</t>
        </is>
      </c>
      <c r="E1759" t="inlineStr">
        <is>
          <t>SÖLVESBORG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21090-2022</t>
        </is>
      </c>
      <c r="B1760" s="1" t="n">
        <v>44704</v>
      </c>
      <c r="C1760" s="1" t="n">
        <v>46196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63423-2023</t>
        </is>
      </c>
      <c r="B1761" s="1" t="n">
        <v>45274</v>
      </c>
      <c r="C1761" s="1" t="n">
        <v>46196</v>
      </c>
      <c r="D1761" t="inlineStr">
        <is>
          <t>BLEKINGE LÄN</t>
        </is>
      </c>
      <c r="E1761" t="inlineStr">
        <is>
          <t>OLOFSTRÖM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9227-2025</t>
        </is>
      </c>
      <c r="B1762" s="1" t="n">
        <v>45714</v>
      </c>
      <c r="C1762" s="1" t="n">
        <v>46196</v>
      </c>
      <c r="D1762" t="inlineStr">
        <is>
          <t>BLEKINGE LÄN</t>
        </is>
      </c>
      <c r="E1762" t="inlineStr">
        <is>
          <t>RONNEBY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36076-2024</t>
        </is>
      </c>
      <c r="B1763" s="1" t="n">
        <v>45533</v>
      </c>
      <c r="C1763" s="1" t="n">
        <v>46196</v>
      </c>
      <c r="D1763" t="inlineStr">
        <is>
          <t>BLEKINGE LÄN</t>
        </is>
      </c>
      <c r="E1763" t="inlineStr">
        <is>
          <t>OLOFSTRÖM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60960-2023</t>
        </is>
      </c>
      <c r="B1764" s="1" t="n">
        <v>45261</v>
      </c>
      <c r="C1764" s="1" t="n">
        <v>46196</v>
      </c>
      <c r="D1764" t="inlineStr">
        <is>
          <t>BLEKINGE LÄN</t>
        </is>
      </c>
      <c r="E1764" t="inlineStr">
        <is>
          <t>KARLSKRONA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46196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6296-2025</t>
        </is>
      </c>
      <c r="B1766" s="1" t="n">
        <v>45698</v>
      </c>
      <c r="C1766" s="1" t="n">
        <v>46196</v>
      </c>
      <c r="D1766" t="inlineStr">
        <is>
          <t>BLEKINGE LÄN</t>
        </is>
      </c>
      <c r="E1766" t="inlineStr">
        <is>
          <t>OLOFSTRÖM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10576-2024</t>
        </is>
      </c>
      <c r="B1767" s="1" t="n">
        <v>45366</v>
      </c>
      <c r="C1767" s="1" t="n">
        <v>46196</v>
      </c>
      <c r="D1767" t="inlineStr">
        <is>
          <t>BLEKINGE LÄN</t>
        </is>
      </c>
      <c r="E1767" t="inlineStr">
        <is>
          <t>KARLSKRONA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6242-2024</t>
        </is>
      </c>
      <c r="B1768" s="1" t="n">
        <v>45337</v>
      </c>
      <c r="C1768" s="1" t="n">
        <v>46196</v>
      </c>
      <c r="D1768" t="inlineStr">
        <is>
          <t>BLEKINGE LÄN</t>
        </is>
      </c>
      <c r="E1768" t="inlineStr">
        <is>
          <t>RONNEBY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61740-2022</t>
        </is>
      </c>
      <c r="B1769" s="1" t="n">
        <v>44917</v>
      </c>
      <c r="C1769" s="1" t="n">
        <v>46196</v>
      </c>
      <c r="D1769" t="inlineStr">
        <is>
          <t>BLEKINGE LÄN</t>
        </is>
      </c>
      <c r="E1769" t="inlineStr">
        <is>
          <t>RONNEBY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47336-2023</t>
        </is>
      </c>
      <c r="B1770" s="1" t="n">
        <v>45202</v>
      </c>
      <c r="C1770" s="1" t="n">
        <v>46196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23158-2023</t>
        </is>
      </c>
      <c r="B1771" s="1" t="n">
        <v>45075</v>
      </c>
      <c r="C1771" s="1" t="n">
        <v>46196</v>
      </c>
      <c r="D1771" t="inlineStr">
        <is>
          <t>BLEKINGE LÄN</t>
        </is>
      </c>
      <c r="E1771" t="inlineStr">
        <is>
          <t>KARLSKRONA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697-2023</t>
        </is>
      </c>
      <c r="B1772" s="1" t="n">
        <v>44930</v>
      </c>
      <c r="C1772" s="1" t="n">
        <v>46196</v>
      </c>
      <c r="D1772" t="inlineStr">
        <is>
          <t>BLEKINGE LÄN</t>
        </is>
      </c>
      <c r="E1772" t="inlineStr">
        <is>
          <t>KARLSKRONA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62669-2022</t>
        </is>
      </c>
      <c r="B1773" s="1" t="n">
        <v>44925</v>
      </c>
      <c r="C1773" s="1" t="n">
        <v>46196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14648-2023</t>
        </is>
      </c>
      <c r="B1774" s="1" t="n">
        <v>45013</v>
      </c>
      <c r="C1774" s="1" t="n">
        <v>46196</v>
      </c>
      <c r="D1774" t="inlineStr">
        <is>
          <t>BLEKINGE LÄN</t>
        </is>
      </c>
      <c r="E1774" t="inlineStr">
        <is>
          <t>KARLSKRONA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1036-2022</t>
        </is>
      </c>
      <c r="B1775" s="1" t="n">
        <v>44571</v>
      </c>
      <c r="C1775" s="1" t="n">
        <v>46196</v>
      </c>
      <c r="D1775" t="inlineStr">
        <is>
          <t>BLEKINGE LÄN</t>
        </is>
      </c>
      <c r="E1775" t="inlineStr">
        <is>
          <t>KARLSHAMN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39882-2023</t>
        </is>
      </c>
      <c r="B1776" s="1" t="n">
        <v>45166</v>
      </c>
      <c r="C1776" s="1" t="n">
        <v>46196</v>
      </c>
      <c r="D1776" t="inlineStr">
        <is>
          <t>BLEKINGE LÄN</t>
        </is>
      </c>
      <c r="E1776" t="inlineStr">
        <is>
          <t>OLOFSTRÖM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46196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59840-2021</t>
        </is>
      </c>
      <c r="B1778" s="1" t="n">
        <v>44494</v>
      </c>
      <c r="C1778" s="1" t="n">
        <v>46196</v>
      </c>
      <c r="D1778" t="inlineStr">
        <is>
          <t>BLEKINGE LÄN</t>
        </is>
      </c>
      <c r="E1778" t="inlineStr">
        <is>
          <t>RONNEBY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24482-2023</t>
        </is>
      </c>
      <c r="B1779" s="1" t="n">
        <v>45082</v>
      </c>
      <c r="C1779" s="1" t="n">
        <v>46196</v>
      </c>
      <c r="D1779" t="inlineStr">
        <is>
          <t>BLEKINGE LÄN</t>
        </is>
      </c>
      <c r="E1779" t="inlineStr">
        <is>
          <t>KARLSKRONA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7826-2023</t>
        </is>
      </c>
      <c r="B1780" s="1" t="n">
        <v>44973</v>
      </c>
      <c r="C1780" s="1" t="n">
        <v>46196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6510-2023</t>
        </is>
      </c>
      <c r="B1781" s="1" t="n">
        <v>44966</v>
      </c>
      <c r="C1781" s="1" t="n">
        <v>46196</v>
      </c>
      <c r="D1781" t="inlineStr">
        <is>
          <t>BLEKINGE LÄN</t>
        </is>
      </c>
      <c r="E1781" t="inlineStr">
        <is>
          <t>RONNEBY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14136-2023</t>
        </is>
      </c>
      <c r="B1782" s="1" t="n">
        <v>45009</v>
      </c>
      <c r="C1782" s="1" t="n">
        <v>46196</v>
      </c>
      <c r="D1782" t="inlineStr">
        <is>
          <t>BLEKINGE LÄN</t>
        </is>
      </c>
      <c r="E1782" t="inlineStr">
        <is>
          <t>KARLSHAMN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14853-2023</t>
        </is>
      </c>
      <c r="B1783" s="1" t="n">
        <v>45014</v>
      </c>
      <c r="C1783" s="1" t="n">
        <v>46196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58618-2021</t>
        </is>
      </c>
      <c r="B1784" s="1" t="n">
        <v>44489</v>
      </c>
      <c r="C1784" s="1" t="n">
        <v>46196</v>
      </c>
      <c r="D1784" t="inlineStr">
        <is>
          <t>BLEKINGE LÄN</t>
        </is>
      </c>
      <c r="E1784" t="inlineStr">
        <is>
          <t>RONNEBY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24938-2023</t>
        </is>
      </c>
      <c r="B1785" s="1" t="n">
        <v>45085</v>
      </c>
      <c r="C1785" s="1" t="n">
        <v>46196</v>
      </c>
      <c r="D1785" t="inlineStr">
        <is>
          <t>BLEKINGE LÄN</t>
        </is>
      </c>
      <c r="E1785" t="inlineStr">
        <is>
          <t>KARLSKRONA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53182-2022</t>
        </is>
      </c>
      <c r="B1786" s="1" t="n">
        <v>44876</v>
      </c>
      <c r="C1786" s="1" t="n">
        <v>46196</v>
      </c>
      <c r="D1786" t="inlineStr">
        <is>
          <t>BLEKINGE LÄN</t>
        </is>
      </c>
      <c r="E1786" t="inlineStr">
        <is>
          <t>OLOFSTRÖM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11825-2024</t>
        </is>
      </c>
      <c r="B1787" s="1" t="n">
        <v>45376</v>
      </c>
      <c r="C1787" s="1" t="n">
        <v>46196</v>
      </c>
      <c r="D1787" t="inlineStr">
        <is>
          <t>BLEKINGE LÄN</t>
        </is>
      </c>
      <c r="E1787" t="inlineStr">
        <is>
          <t>KARLSHAMN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17532-2023</t>
        </is>
      </c>
      <c r="B1788" s="1" t="n">
        <v>45036</v>
      </c>
      <c r="C1788" s="1" t="n">
        <v>46196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30507-2022</t>
        </is>
      </c>
      <c r="B1789" s="1" t="n">
        <v>44762</v>
      </c>
      <c r="C1789" s="1" t="n">
        <v>46196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35832-2023</t>
        </is>
      </c>
      <c r="B1790" s="1" t="n">
        <v>45148</v>
      </c>
      <c r="C1790" s="1" t="n">
        <v>46196</v>
      </c>
      <c r="D1790" t="inlineStr">
        <is>
          <t>BLEKINGE LÄN</t>
        </is>
      </c>
      <c r="E1790" t="inlineStr">
        <is>
          <t>KARLSHAMN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20548-2025</t>
        </is>
      </c>
      <c r="B1791" s="1" t="n">
        <v>45775</v>
      </c>
      <c r="C1791" s="1" t="n">
        <v>46196</v>
      </c>
      <c r="D1791" t="inlineStr">
        <is>
          <t>BLEKINGE LÄN</t>
        </is>
      </c>
      <c r="E1791" t="inlineStr">
        <is>
          <t>KARLSHAMN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1747-2024</t>
        </is>
      </c>
      <c r="B1792" s="1" t="n">
        <v>45307</v>
      </c>
      <c r="C1792" s="1" t="n">
        <v>46196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39130-2024</t>
        </is>
      </c>
      <c r="B1793" s="1" t="n">
        <v>45548</v>
      </c>
      <c r="C1793" s="1" t="n">
        <v>46196</v>
      </c>
      <c r="D1793" t="inlineStr">
        <is>
          <t>BLEKINGE LÄN</t>
        </is>
      </c>
      <c r="E1793" t="inlineStr">
        <is>
          <t>SÖLVESBORG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29911-2023</t>
        </is>
      </c>
      <c r="B1794" s="1" t="n">
        <v>45107</v>
      </c>
      <c r="C1794" s="1" t="n">
        <v>46196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20285-2023</t>
        </is>
      </c>
      <c r="B1795" s="1" t="n">
        <v>45056</v>
      </c>
      <c r="C1795" s="1" t="n">
        <v>46196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8946-2022</t>
        </is>
      </c>
      <c r="B1796" s="1" t="n">
        <v>44614</v>
      </c>
      <c r="C1796" s="1" t="n">
        <v>46196</v>
      </c>
      <c r="D1796" t="inlineStr">
        <is>
          <t>BLEKINGE LÄN</t>
        </is>
      </c>
      <c r="E1796" t="inlineStr">
        <is>
          <t>KARLSKRONA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54591-2024</t>
        </is>
      </c>
      <c r="B1797" s="1" t="n">
        <v>45617</v>
      </c>
      <c r="C1797" s="1" t="n">
        <v>46196</v>
      </c>
      <c r="D1797" t="inlineStr">
        <is>
          <t>BLEKINGE LÄN</t>
        </is>
      </c>
      <c r="E1797" t="inlineStr">
        <is>
          <t>KARLSHAMN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26548-2022</t>
        </is>
      </c>
      <c r="B1798" s="1" t="n">
        <v>44739</v>
      </c>
      <c r="C1798" s="1" t="n">
        <v>46196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29430-2022</t>
        </is>
      </c>
      <c r="B1799" s="1" t="n">
        <v>44753</v>
      </c>
      <c r="C1799" s="1" t="n">
        <v>46196</v>
      </c>
      <c r="D1799" t="inlineStr">
        <is>
          <t>BLEKINGE LÄN</t>
        </is>
      </c>
      <c r="E1799" t="inlineStr">
        <is>
          <t>RONNEBY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13781-2023</t>
        </is>
      </c>
      <c r="B1800" s="1" t="n">
        <v>45007</v>
      </c>
      <c r="C1800" s="1" t="n">
        <v>46196</v>
      </c>
      <c r="D1800" t="inlineStr">
        <is>
          <t>BLEKINGE LÄN</t>
        </is>
      </c>
      <c r="E1800" t="inlineStr">
        <is>
          <t>KARLSKRONA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13786-2023</t>
        </is>
      </c>
      <c r="B1801" s="1" t="n">
        <v>45007</v>
      </c>
      <c r="C1801" s="1" t="n">
        <v>46196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51960-2024</t>
        </is>
      </c>
      <c r="B1802" s="1" t="n">
        <v>45607</v>
      </c>
      <c r="C1802" s="1" t="n">
        <v>46196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57936-2024</t>
        </is>
      </c>
      <c r="B1803" s="1" t="n">
        <v>45631</v>
      </c>
      <c r="C1803" s="1" t="n">
        <v>46196</v>
      </c>
      <c r="D1803" t="inlineStr">
        <is>
          <t>BLEKINGE LÄN</t>
        </is>
      </c>
      <c r="E1803" t="inlineStr">
        <is>
          <t>KARLSHAMN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7984-2022</t>
        </is>
      </c>
      <c r="B1804" s="1" t="n">
        <v>44609</v>
      </c>
      <c r="C1804" s="1" t="n">
        <v>46196</v>
      </c>
      <c r="D1804" t="inlineStr">
        <is>
          <t>BLEKINGE LÄN</t>
        </is>
      </c>
      <c r="E1804" t="inlineStr">
        <is>
          <t>KARLSHAMN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14659-2025</t>
        </is>
      </c>
      <c r="B1805" s="1" t="n">
        <v>45742</v>
      </c>
      <c r="C1805" s="1" t="n">
        <v>46196</v>
      </c>
      <c r="D1805" t="inlineStr">
        <is>
          <t>BLEKINGE LÄN</t>
        </is>
      </c>
      <c r="E1805" t="inlineStr">
        <is>
          <t>OLOFSTRÖM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50015-2023</t>
        </is>
      </c>
      <c r="B1806" s="1" t="n">
        <v>45215</v>
      </c>
      <c r="C1806" s="1" t="n">
        <v>46196</v>
      </c>
      <c r="D1806" t="inlineStr">
        <is>
          <t>BLEKINGE LÄN</t>
        </is>
      </c>
      <c r="E1806" t="inlineStr">
        <is>
          <t>KARLSKRONA</t>
        </is>
      </c>
      <c r="G1806" t="n">
        <v>7.7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41658-2024</t>
        </is>
      </c>
      <c r="B1807" s="1" t="n">
        <v>45560</v>
      </c>
      <c r="C1807" s="1" t="n">
        <v>46196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19899-2023</t>
        </is>
      </c>
      <c r="B1808" s="1" t="n">
        <v>45054</v>
      </c>
      <c r="C1808" s="1" t="n">
        <v>46196</v>
      </c>
      <c r="D1808" t="inlineStr">
        <is>
          <t>BLEKINGE LÄN</t>
        </is>
      </c>
      <c r="E1808" t="inlineStr">
        <is>
          <t>KARLSHAMN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38217-2022</t>
        </is>
      </c>
      <c r="B1809" s="1" t="n">
        <v>44812</v>
      </c>
      <c r="C1809" s="1" t="n">
        <v>46196</v>
      </c>
      <c r="D1809" t="inlineStr">
        <is>
          <t>BLEKINGE LÄN</t>
        </is>
      </c>
      <c r="E1809" t="inlineStr">
        <is>
          <t>KARLSHAMN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66447-2021</t>
        </is>
      </c>
      <c r="B1810" s="1" t="n">
        <v>44518</v>
      </c>
      <c r="C1810" s="1" t="n">
        <v>46196</v>
      </c>
      <c r="D1810" t="inlineStr">
        <is>
          <t>BLEKINGE LÄN</t>
        </is>
      </c>
      <c r="E1810" t="inlineStr">
        <is>
          <t>SÖLVESBORG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46921-2024</t>
        </is>
      </c>
      <c r="B1811" s="1" t="n">
        <v>45583</v>
      </c>
      <c r="C1811" s="1" t="n">
        <v>46196</v>
      </c>
      <c r="D1811" t="inlineStr">
        <is>
          <t>BLEKINGE LÄN</t>
        </is>
      </c>
      <c r="E1811" t="inlineStr">
        <is>
          <t>OLOFSTRÖM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50792-2022</t>
        </is>
      </c>
      <c r="B1812" s="1" t="n">
        <v>44862</v>
      </c>
      <c r="C1812" s="1" t="n">
        <v>46196</v>
      </c>
      <c r="D1812" t="inlineStr">
        <is>
          <t>BLEKINGE LÄN</t>
        </is>
      </c>
      <c r="E1812" t="inlineStr">
        <is>
          <t>RONNEBY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62734-2023</t>
        </is>
      </c>
      <c r="B1813" s="1" t="n">
        <v>45268</v>
      </c>
      <c r="C1813" s="1" t="n">
        <v>46196</v>
      </c>
      <c r="D1813" t="inlineStr">
        <is>
          <t>BLEKINGE LÄN</t>
        </is>
      </c>
      <c r="E1813" t="inlineStr">
        <is>
          <t>OLOFSTRÖM</t>
        </is>
      </c>
      <c r="F1813" t="inlineStr">
        <is>
          <t>Övriga Aktiebolag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26867-2024</t>
        </is>
      </c>
      <c r="B1814" s="1" t="n">
        <v>45470</v>
      </c>
      <c r="C1814" s="1" t="n">
        <v>46196</v>
      </c>
      <c r="D1814" t="inlineStr">
        <is>
          <t>BLEKINGE LÄN</t>
        </is>
      </c>
      <c r="E1814" t="inlineStr">
        <is>
          <t>RONNEBY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39360-2024</t>
        </is>
      </c>
      <c r="B1815" s="1" t="n">
        <v>45551</v>
      </c>
      <c r="C1815" s="1" t="n">
        <v>46196</v>
      </c>
      <c r="D1815" t="inlineStr">
        <is>
          <t>BLEKINGE LÄN</t>
        </is>
      </c>
      <c r="E1815" t="inlineStr">
        <is>
          <t>KARLSKRONA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19142-2022</t>
        </is>
      </c>
      <c r="B1816" s="1" t="n">
        <v>44691</v>
      </c>
      <c r="C1816" s="1" t="n">
        <v>46196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24931-2023</t>
        </is>
      </c>
      <c r="B1817" s="1" t="n">
        <v>45085</v>
      </c>
      <c r="C1817" s="1" t="n">
        <v>46196</v>
      </c>
      <c r="D1817" t="inlineStr">
        <is>
          <t>BLEKINGE LÄN</t>
        </is>
      </c>
      <c r="E1817" t="inlineStr">
        <is>
          <t>KARLSKRONA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25216-2023</t>
        </is>
      </c>
      <c r="B1818" s="1" t="n">
        <v>45086</v>
      </c>
      <c r="C1818" s="1" t="n">
        <v>46196</v>
      </c>
      <c r="D1818" t="inlineStr">
        <is>
          <t>BLEKINGE LÄN</t>
        </is>
      </c>
      <c r="E1818" t="inlineStr">
        <is>
          <t>RONNEBY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35858-2022</t>
        </is>
      </c>
      <c r="B1819" s="1" t="n">
        <v>44799</v>
      </c>
      <c r="C1819" s="1" t="n">
        <v>46196</v>
      </c>
      <c r="D1819" t="inlineStr">
        <is>
          <t>BLEKINGE LÄN</t>
        </is>
      </c>
      <c r="E1819" t="inlineStr">
        <is>
          <t>KARLSKRONA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2388-2024</t>
        </is>
      </c>
      <c r="B1820" s="1" t="n">
        <v>45310</v>
      </c>
      <c r="C1820" s="1" t="n">
        <v>46196</v>
      </c>
      <c r="D1820" t="inlineStr">
        <is>
          <t>BLEKINGE LÄN</t>
        </is>
      </c>
      <c r="E1820" t="inlineStr">
        <is>
          <t>RONNEBY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12698-2022</t>
        </is>
      </c>
      <c r="B1821" s="1" t="n">
        <v>44641</v>
      </c>
      <c r="C1821" s="1" t="n">
        <v>46196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17904-2023</t>
        </is>
      </c>
      <c r="B1822" s="1" t="n">
        <v>45040</v>
      </c>
      <c r="C1822" s="1" t="n">
        <v>46196</v>
      </c>
      <c r="D1822" t="inlineStr">
        <is>
          <t>BLEKINGE LÄN</t>
        </is>
      </c>
      <c r="E1822" t="inlineStr">
        <is>
          <t>RONNEBY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17599-2025</t>
        </is>
      </c>
      <c r="B1823" s="1" t="n">
        <v>45757</v>
      </c>
      <c r="C1823" s="1" t="n">
        <v>46196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23592-2023</t>
        </is>
      </c>
      <c r="B1824" s="1" t="n">
        <v>45077</v>
      </c>
      <c r="C1824" s="1" t="n">
        <v>46196</v>
      </c>
      <c r="D1824" t="inlineStr">
        <is>
          <t>BLEKINGE LÄN</t>
        </is>
      </c>
      <c r="E1824" t="inlineStr">
        <is>
          <t>KARLSKRONA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11071-2023</t>
        </is>
      </c>
      <c r="B1825" s="1" t="n">
        <v>44992</v>
      </c>
      <c r="C1825" s="1" t="n">
        <v>46196</v>
      </c>
      <c r="D1825" t="inlineStr">
        <is>
          <t>BLEKINGE LÄN</t>
        </is>
      </c>
      <c r="E1825" t="inlineStr">
        <is>
          <t>OLOFSTRÖM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44829</v>
      </c>
      <c r="C1826" s="1" t="n">
        <v>46196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36731-2024</t>
        </is>
      </c>
      <c r="B1827" s="1" t="n">
        <v>45537</v>
      </c>
      <c r="C1827" s="1" t="n">
        <v>46196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36811-2024</t>
        </is>
      </c>
      <c r="B1828" s="1" t="n">
        <v>45538</v>
      </c>
      <c r="C1828" s="1" t="n">
        <v>46196</v>
      </c>
      <c r="D1828" t="inlineStr">
        <is>
          <t>BLEKINGE LÄN</t>
        </is>
      </c>
      <c r="E1828" t="inlineStr">
        <is>
          <t>KARLSKRONA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4902-2023</t>
        </is>
      </c>
      <c r="B1829" s="1" t="n">
        <v>44956</v>
      </c>
      <c r="C1829" s="1" t="n">
        <v>46196</v>
      </c>
      <c r="D1829" t="inlineStr">
        <is>
          <t>BLEKINGE LÄN</t>
        </is>
      </c>
      <c r="E1829" t="inlineStr">
        <is>
          <t>RONNEBY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40714-2023</t>
        </is>
      </c>
      <c r="B1830" s="1" t="n">
        <v>45170</v>
      </c>
      <c r="C1830" s="1" t="n">
        <v>46196</v>
      </c>
      <c r="D1830" t="inlineStr">
        <is>
          <t>BLEKINGE LÄN</t>
        </is>
      </c>
      <c r="E1830" t="inlineStr">
        <is>
          <t>KARLSKRONA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33766-2024</t>
        </is>
      </c>
      <c r="B1831" s="1" t="n">
        <v>45520</v>
      </c>
      <c r="C1831" s="1" t="n">
        <v>46196</v>
      </c>
      <c r="D1831" t="inlineStr">
        <is>
          <t>BLEKINGE LÄN</t>
        </is>
      </c>
      <c r="E1831" t="inlineStr">
        <is>
          <t>SÖLVESBORG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21810-2023</t>
        </is>
      </c>
      <c r="B1832" s="1" t="n">
        <v>45068</v>
      </c>
      <c r="C1832" s="1" t="n">
        <v>46196</v>
      </c>
      <c r="D1832" t="inlineStr">
        <is>
          <t>BLEKINGE LÄN</t>
        </is>
      </c>
      <c r="E1832" t="inlineStr">
        <is>
          <t>KARLSHAMN</t>
        </is>
      </c>
      <c r="F1832" t="inlineStr">
        <is>
          <t>Kommuner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39391-2023</t>
        </is>
      </c>
      <c r="B1833" s="1" t="n">
        <v>45166</v>
      </c>
      <c r="C1833" s="1" t="n">
        <v>46196</v>
      </c>
      <c r="D1833" t="inlineStr">
        <is>
          <t>BLEKINGE LÄN</t>
        </is>
      </c>
      <c r="E1833" t="inlineStr">
        <is>
          <t>KARLSKRONA</t>
        </is>
      </c>
      <c r="G1833" t="n">
        <v>11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39468-2023</t>
        </is>
      </c>
      <c r="B1834" s="1" t="n">
        <v>45166</v>
      </c>
      <c r="C1834" s="1" t="n">
        <v>46196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58627-2023</t>
        </is>
      </c>
      <c r="B1835" s="1" t="n">
        <v>45251</v>
      </c>
      <c r="C1835" s="1" t="n">
        <v>46196</v>
      </c>
      <c r="D1835" t="inlineStr">
        <is>
          <t>BLEKINGE LÄN</t>
        </is>
      </c>
      <c r="E1835" t="inlineStr">
        <is>
          <t>KARLSKRONA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11630-2022</t>
        </is>
      </c>
      <c r="B1836" s="1" t="n">
        <v>44631</v>
      </c>
      <c r="C1836" s="1" t="n">
        <v>46196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54532-2022</t>
        </is>
      </c>
      <c r="B1837" s="1" t="n">
        <v>44882</v>
      </c>
      <c r="C1837" s="1" t="n">
        <v>46196</v>
      </c>
      <c r="D1837" t="inlineStr">
        <is>
          <t>BLEKINGE LÄN</t>
        </is>
      </c>
      <c r="E1837" t="inlineStr">
        <is>
          <t>RONNEBY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25455-2024</t>
        </is>
      </c>
      <c r="B1838" s="1" t="n">
        <v>45463</v>
      </c>
      <c r="C1838" s="1" t="n">
        <v>46196</v>
      </c>
      <c r="D1838" t="inlineStr">
        <is>
          <t>BLEKINGE LÄN</t>
        </is>
      </c>
      <c r="E1838" t="inlineStr">
        <is>
          <t>KARLSKRONA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25458-2024</t>
        </is>
      </c>
      <c r="B1839" s="1" t="n">
        <v>45463</v>
      </c>
      <c r="C1839" s="1" t="n">
        <v>46196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36202-2024</t>
        </is>
      </c>
      <c r="B1840" s="1" t="n">
        <v>45534</v>
      </c>
      <c r="C1840" s="1" t="n">
        <v>46196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15464-2024</t>
        </is>
      </c>
      <c r="B1841" s="1" t="n">
        <v>45401</v>
      </c>
      <c r="C1841" s="1" t="n">
        <v>46196</v>
      </c>
      <c r="D1841" t="inlineStr">
        <is>
          <t>BLEKINGE LÄN</t>
        </is>
      </c>
      <c r="E1841" t="inlineStr">
        <is>
          <t>OLOFSTRÖM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20527-2023</t>
        </is>
      </c>
      <c r="B1842" s="1" t="n">
        <v>45057</v>
      </c>
      <c r="C1842" s="1" t="n">
        <v>46196</v>
      </c>
      <c r="D1842" t="inlineStr">
        <is>
          <t>BLEKINGE LÄN</t>
        </is>
      </c>
      <c r="E1842" t="inlineStr">
        <is>
          <t>KARLSKRONA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29583-2022</t>
        </is>
      </c>
      <c r="B1843" s="1" t="n">
        <v>44754</v>
      </c>
      <c r="C1843" s="1" t="n">
        <v>46196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26496-2023</t>
        </is>
      </c>
      <c r="B1844" s="1" t="n">
        <v>45092</v>
      </c>
      <c r="C1844" s="1" t="n">
        <v>46196</v>
      </c>
      <c r="D1844" t="inlineStr">
        <is>
          <t>BLEKINGE LÄN</t>
        </is>
      </c>
      <c r="E1844" t="inlineStr">
        <is>
          <t>KARLSKRONA</t>
        </is>
      </c>
      <c r="G1844" t="n">
        <v>23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56592-2022</t>
        </is>
      </c>
      <c r="B1845" s="1" t="n">
        <v>44893</v>
      </c>
      <c r="C1845" s="1" t="n">
        <v>46196</v>
      </c>
      <c r="D1845" t="inlineStr">
        <is>
          <t>BLEKINGE LÄN</t>
        </is>
      </c>
      <c r="E1845" t="inlineStr">
        <is>
          <t>RONNEBY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52637-2024</t>
        </is>
      </c>
      <c r="B1846" s="1" t="n">
        <v>45610</v>
      </c>
      <c r="C1846" s="1" t="n">
        <v>46196</v>
      </c>
      <c r="D1846" t="inlineStr">
        <is>
          <t>BLEKINGE LÄN</t>
        </is>
      </c>
      <c r="E1846" t="inlineStr">
        <is>
          <t>RONNEBY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52067-2022</t>
        </is>
      </c>
      <c r="B1847" s="1" t="n">
        <v>44873</v>
      </c>
      <c r="C1847" s="1" t="n">
        <v>46196</v>
      </c>
      <c r="D1847" t="inlineStr">
        <is>
          <t>BLEKINGE LÄN</t>
        </is>
      </c>
      <c r="E1847" t="inlineStr">
        <is>
          <t>OLOFSTRÖM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7716-2023</t>
        </is>
      </c>
      <c r="B1848" s="1" t="n">
        <v>44972</v>
      </c>
      <c r="C1848" s="1" t="n">
        <v>46196</v>
      </c>
      <c r="D1848" t="inlineStr">
        <is>
          <t>BLEKINGE LÄN</t>
        </is>
      </c>
      <c r="E1848" t="inlineStr">
        <is>
          <t>RONNEBY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54536-2022</t>
        </is>
      </c>
      <c r="B1849" s="1" t="n">
        <v>44882</v>
      </c>
      <c r="C1849" s="1" t="n">
        <v>46196</v>
      </c>
      <c r="D1849" t="inlineStr">
        <is>
          <t>BLEKINGE LÄN</t>
        </is>
      </c>
      <c r="E1849" t="inlineStr">
        <is>
          <t>RONNEBY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49389-2024</t>
        </is>
      </c>
      <c r="B1850" s="1" t="n">
        <v>45595</v>
      </c>
      <c r="C1850" s="1" t="n">
        <v>46196</v>
      </c>
      <c r="D1850" t="inlineStr">
        <is>
          <t>BLEKINGE LÄN</t>
        </is>
      </c>
      <c r="E1850" t="inlineStr">
        <is>
          <t>OLOFSTRÖM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57910-2023</t>
        </is>
      </c>
      <c r="B1851" s="1" t="n">
        <v>45247</v>
      </c>
      <c r="C1851" s="1" t="n">
        <v>46196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57915-2023</t>
        </is>
      </c>
      <c r="B1852" s="1" t="n">
        <v>45247</v>
      </c>
      <c r="C1852" s="1" t="n">
        <v>46196</v>
      </c>
      <c r="D1852" t="inlineStr">
        <is>
          <t>BLEKINGE LÄN</t>
        </is>
      </c>
      <c r="E1852" t="inlineStr">
        <is>
          <t>OLOFSTRÖM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14224-2025</t>
        </is>
      </c>
      <c r="B1853" s="1" t="n">
        <v>45740</v>
      </c>
      <c r="C1853" s="1" t="n">
        <v>46196</v>
      </c>
      <c r="D1853" t="inlineStr">
        <is>
          <t>BLEKINGE LÄN</t>
        </is>
      </c>
      <c r="E1853" t="inlineStr">
        <is>
          <t>KARLSHAMN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14099-2023</t>
        </is>
      </c>
      <c r="B1854" s="1" t="n">
        <v>45009</v>
      </c>
      <c r="C1854" s="1" t="n">
        <v>46196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14131-2023</t>
        </is>
      </c>
      <c r="B1855" s="1" t="n">
        <v>45009</v>
      </c>
      <c r="C1855" s="1" t="n">
        <v>46196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23819-2024</t>
        </is>
      </c>
      <c r="B1856" s="1" t="n">
        <v>45455</v>
      </c>
      <c r="C1856" s="1" t="n">
        <v>46196</v>
      </c>
      <c r="D1856" t="inlineStr">
        <is>
          <t>BLEKINGE LÄN</t>
        </is>
      </c>
      <c r="E1856" t="inlineStr">
        <is>
          <t>KARLSKRONA</t>
        </is>
      </c>
      <c r="G1856" t="n">
        <v>6.9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21206-2023</t>
        </is>
      </c>
      <c r="B1857" s="1" t="n">
        <v>45062</v>
      </c>
      <c r="C1857" s="1" t="n">
        <v>46196</v>
      </c>
      <c r="D1857" t="inlineStr">
        <is>
          <t>BLEKINGE LÄN</t>
        </is>
      </c>
      <c r="E1857" t="inlineStr">
        <is>
          <t>RONNEBY</t>
        </is>
      </c>
      <c r="F1857" t="inlineStr">
        <is>
          <t>Kommuner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55434-2023</t>
        </is>
      </c>
      <c r="B1858" s="1" t="n">
        <v>45238</v>
      </c>
      <c r="C1858" s="1" t="n">
        <v>46196</v>
      </c>
      <c r="D1858" t="inlineStr">
        <is>
          <t>BLEKINGE LÄN</t>
        </is>
      </c>
      <c r="E1858" t="inlineStr">
        <is>
          <t>KARLSKRONA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3429-2023</t>
        </is>
      </c>
      <c r="B1859" s="1" t="n">
        <v>44949</v>
      </c>
      <c r="C1859" s="1" t="n">
        <v>46196</v>
      </c>
      <c r="D1859" t="inlineStr">
        <is>
          <t>BLEKINGE LÄN</t>
        </is>
      </c>
      <c r="E1859" t="inlineStr">
        <is>
          <t>OLOFSTRÖM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64490-2021</t>
        </is>
      </c>
      <c r="B1860" s="1" t="n">
        <v>44511</v>
      </c>
      <c r="C1860" s="1" t="n">
        <v>46196</v>
      </c>
      <c r="D1860" t="inlineStr">
        <is>
          <t>BLEKINGE LÄN</t>
        </is>
      </c>
      <c r="E1860" t="inlineStr">
        <is>
          <t>KARLSKRONA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2692-2022</t>
        </is>
      </c>
      <c r="B1861" s="1" t="n">
        <v>44580</v>
      </c>
      <c r="C1861" s="1" t="n">
        <v>46196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52689-2023</t>
        </is>
      </c>
      <c r="B1862" s="1" t="n">
        <v>45225</v>
      </c>
      <c r="C1862" s="1" t="n">
        <v>46196</v>
      </c>
      <c r="D1862" t="inlineStr">
        <is>
          <t>BLEKINGE LÄN</t>
        </is>
      </c>
      <c r="E1862" t="inlineStr">
        <is>
          <t>OLOFSTRÖM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69976-2021</t>
        </is>
      </c>
      <c r="B1863" s="1" t="n">
        <v>44533</v>
      </c>
      <c r="C1863" s="1" t="n">
        <v>46196</v>
      </c>
      <c r="D1863" t="inlineStr">
        <is>
          <t>BLEKINGE LÄN</t>
        </is>
      </c>
      <c r="E1863" t="inlineStr">
        <is>
          <t>KARLSHAMN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3011-2024</t>
        </is>
      </c>
      <c r="B1864" s="1" t="n">
        <v>45315</v>
      </c>
      <c r="C1864" s="1" t="n">
        <v>46196</v>
      </c>
      <c r="D1864" t="inlineStr">
        <is>
          <t>BLEKINGE LÄN</t>
        </is>
      </c>
      <c r="E1864" t="inlineStr">
        <is>
          <t>KARLSKRONA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3035-2024</t>
        </is>
      </c>
      <c r="B1865" s="1" t="n">
        <v>45316</v>
      </c>
      <c r="C1865" s="1" t="n">
        <v>46196</v>
      </c>
      <c r="D1865" t="inlineStr">
        <is>
          <t>BLEKINGE LÄN</t>
        </is>
      </c>
      <c r="E1865" t="inlineStr">
        <is>
          <t>RONNEBY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63392-2023</t>
        </is>
      </c>
      <c r="B1866" s="1" t="n">
        <v>45274</v>
      </c>
      <c r="C1866" s="1" t="n">
        <v>46196</v>
      </c>
      <c r="D1866" t="inlineStr">
        <is>
          <t>BLEKINGE LÄN</t>
        </is>
      </c>
      <c r="E1866" t="inlineStr">
        <is>
          <t>OLOFSTRÖM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63393-2023</t>
        </is>
      </c>
      <c r="B1867" s="1" t="n">
        <v>45274</v>
      </c>
      <c r="C1867" s="1" t="n">
        <v>46196</v>
      </c>
      <c r="D1867" t="inlineStr">
        <is>
          <t>BLEKINGE LÄN</t>
        </is>
      </c>
      <c r="E1867" t="inlineStr">
        <is>
          <t>OLOFSTRÖM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47195-2021</t>
        </is>
      </c>
      <c r="B1868" s="1" t="n">
        <v>44447</v>
      </c>
      <c r="C1868" s="1" t="n">
        <v>46196</v>
      </c>
      <c r="D1868" t="inlineStr">
        <is>
          <t>BLEKINGE LÄN</t>
        </is>
      </c>
      <c r="E1868" t="inlineStr">
        <is>
          <t>OLOFSTRÖM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6819-2024</t>
        </is>
      </c>
      <c r="B1869" s="1" t="n">
        <v>45342</v>
      </c>
      <c r="C1869" s="1" t="n">
        <v>46196</v>
      </c>
      <c r="D1869" t="inlineStr">
        <is>
          <t>BLEKINGE LÄN</t>
        </is>
      </c>
      <c r="E1869" t="inlineStr">
        <is>
          <t>RONNEBY</t>
        </is>
      </c>
      <c r="G1869" t="n">
        <v>15.2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18719-2023</t>
        </is>
      </c>
      <c r="B1870" s="1" t="n">
        <v>45043</v>
      </c>
      <c r="C1870" s="1" t="n">
        <v>46196</v>
      </c>
      <c r="D1870" t="inlineStr">
        <is>
          <t>BLEKINGE LÄN</t>
        </is>
      </c>
      <c r="E1870" t="inlineStr">
        <is>
          <t>KARLSKRONA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46361-2023</t>
        </is>
      </c>
      <c r="B1871" s="1" t="n">
        <v>45197</v>
      </c>
      <c r="C1871" s="1" t="n">
        <v>46196</v>
      </c>
      <c r="D1871" t="inlineStr">
        <is>
          <t>BLEKINGE LÄN</t>
        </is>
      </c>
      <c r="E1871" t="inlineStr">
        <is>
          <t>OLOFSTRÖM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53459-2021</t>
        </is>
      </c>
      <c r="B1872" s="1" t="n">
        <v>44468</v>
      </c>
      <c r="C1872" s="1" t="n">
        <v>46196</v>
      </c>
      <c r="D1872" t="inlineStr">
        <is>
          <t>BLEKINGE LÄN</t>
        </is>
      </c>
      <c r="E1872" t="inlineStr">
        <is>
          <t>OLOFSTRÖM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49309-2022</t>
        </is>
      </c>
      <c r="B1873" s="1" t="n">
        <v>44858</v>
      </c>
      <c r="C1873" s="1" t="n">
        <v>46196</v>
      </c>
      <c r="D1873" t="inlineStr">
        <is>
          <t>BLEKINGE LÄN</t>
        </is>
      </c>
      <c r="E1873" t="inlineStr">
        <is>
          <t>OLOFSTRÖM</t>
        </is>
      </c>
      <c r="G1873" t="n">
        <v>20.5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22507-2022</t>
        </is>
      </c>
      <c r="B1874" s="1" t="n">
        <v>44713</v>
      </c>
      <c r="C1874" s="1" t="n">
        <v>46196</v>
      </c>
      <c r="D1874" t="inlineStr">
        <is>
          <t>BLEKINGE LÄN</t>
        </is>
      </c>
      <c r="E1874" t="inlineStr">
        <is>
          <t>RONNEBY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18678-2024</t>
        </is>
      </c>
      <c r="B1875" s="1" t="n">
        <v>45426</v>
      </c>
      <c r="C1875" s="1" t="n">
        <v>46196</v>
      </c>
      <c r="D1875" t="inlineStr">
        <is>
          <t>BLEKINGE LÄN</t>
        </is>
      </c>
      <c r="E1875" t="inlineStr">
        <is>
          <t>RONNEBY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47781-2024</t>
        </is>
      </c>
      <c r="B1876" s="1" t="n">
        <v>45588</v>
      </c>
      <c r="C1876" s="1" t="n">
        <v>46196</v>
      </c>
      <c r="D1876" t="inlineStr">
        <is>
          <t>BLEKINGE LÄN</t>
        </is>
      </c>
      <c r="E1876" t="inlineStr">
        <is>
          <t>RONNEBY</t>
        </is>
      </c>
      <c r="F1876" t="inlineStr">
        <is>
          <t>Kommuner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45409-2023</t>
        </is>
      </c>
      <c r="B1877" s="1" t="n">
        <v>45194</v>
      </c>
      <c r="C1877" s="1" t="n">
        <v>46196</v>
      </c>
      <c r="D1877" t="inlineStr">
        <is>
          <t>BLEKINGE LÄN</t>
        </is>
      </c>
      <c r="E1877" t="inlineStr">
        <is>
          <t>RONNEBY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30956-2023</t>
        </is>
      </c>
      <c r="B1878" s="1" t="n">
        <v>45113</v>
      </c>
      <c r="C1878" s="1" t="n">
        <v>46196</v>
      </c>
      <c r="D1878" t="inlineStr">
        <is>
          <t>BLEKINGE LÄN</t>
        </is>
      </c>
      <c r="E1878" t="inlineStr">
        <is>
          <t>KARLSKRONA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54692-2022</t>
        </is>
      </c>
      <c r="B1879" s="1" t="n">
        <v>44881</v>
      </c>
      <c r="C1879" s="1" t="n">
        <v>46196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41048-2024</t>
        </is>
      </c>
      <c r="B1880" s="1" t="n">
        <v>45559</v>
      </c>
      <c r="C1880" s="1" t="n">
        <v>46196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39032-2022</t>
        </is>
      </c>
      <c r="B1881" s="1" t="n">
        <v>44817</v>
      </c>
      <c r="C1881" s="1" t="n">
        <v>46196</v>
      </c>
      <c r="D1881" t="inlineStr">
        <is>
          <t>BLEKINGE LÄN</t>
        </is>
      </c>
      <c r="E1881" t="inlineStr">
        <is>
          <t>RONNEBY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62111-2022</t>
        </is>
      </c>
      <c r="B1882" s="1" t="n">
        <v>44920</v>
      </c>
      <c r="C1882" s="1" t="n">
        <v>46196</v>
      </c>
      <c r="D1882" t="inlineStr">
        <is>
          <t>BLEKINGE LÄN</t>
        </is>
      </c>
      <c r="E1882" t="inlineStr">
        <is>
          <t>KARLSKRONA</t>
        </is>
      </c>
      <c r="G1882" t="n">
        <v>25.5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41034-2024</t>
        </is>
      </c>
      <c r="B1883" s="1" t="n">
        <v>45559</v>
      </c>
      <c r="C1883" s="1" t="n">
        <v>46196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4675-2024</t>
        </is>
      </c>
      <c r="B1884" s="1" t="n">
        <v>45328</v>
      </c>
      <c r="C1884" s="1" t="n">
        <v>46196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4676-2024</t>
        </is>
      </c>
      <c r="B1885" s="1" t="n">
        <v>45328</v>
      </c>
      <c r="C1885" s="1" t="n">
        <v>46196</v>
      </c>
      <c r="D1885" t="inlineStr">
        <is>
          <t>BLEKINGE LÄN</t>
        </is>
      </c>
      <c r="E1885" t="inlineStr">
        <is>
          <t>RONNEBY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9958-2025</t>
        </is>
      </c>
      <c r="B1886" s="1" t="n">
        <v>45719</v>
      </c>
      <c r="C1886" s="1" t="n">
        <v>46196</v>
      </c>
      <c r="D1886" t="inlineStr">
        <is>
          <t>BLEKINGE LÄN</t>
        </is>
      </c>
      <c r="E1886" t="inlineStr">
        <is>
          <t>RONNEBY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9571-2024</t>
        </is>
      </c>
      <c r="B1887" s="1" t="n">
        <v>45360</v>
      </c>
      <c r="C1887" s="1" t="n">
        <v>46196</v>
      </c>
      <c r="D1887" t="inlineStr">
        <is>
          <t>BLEKINGE LÄN</t>
        </is>
      </c>
      <c r="E1887" t="inlineStr">
        <is>
          <t>RONNEBY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9580-2024</t>
        </is>
      </c>
      <c r="B1888" s="1" t="n">
        <v>45360</v>
      </c>
      <c r="C1888" s="1" t="n">
        <v>46196</v>
      </c>
      <c r="D1888" t="inlineStr">
        <is>
          <t>BLEKINGE LÄN</t>
        </is>
      </c>
      <c r="E1888" t="inlineStr">
        <is>
          <t>RONNEBY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65030-2023</t>
        </is>
      </c>
      <c r="B1889" s="1" t="n">
        <v>45282</v>
      </c>
      <c r="C1889" s="1" t="n">
        <v>46196</v>
      </c>
      <c r="D1889" t="inlineStr">
        <is>
          <t>BLEKINGE LÄN</t>
        </is>
      </c>
      <c r="E1889" t="inlineStr">
        <is>
          <t>OLOFSTRÖM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6316-2023</t>
        </is>
      </c>
      <c r="B1890" s="1" t="n">
        <v>44965</v>
      </c>
      <c r="C1890" s="1" t="n">
        <v>46196</v>
      </c>
      <c r="D1890" t="inlineStr">
        <is>
          <t>BLEKINGE LÄN</t>
        </is>
      </c>
      <c r="E1890" t="inlineStr">
        <is>
          <t>OLOFSTRÖM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6318-2023</t>
        </is>
      </c>
      <c r="B1891" s="1" t="n">
        <v>44965</v>
      </c>
      <c r="C1891" s="1" t="n">
        <v>46196</v>
      </c>
      <c r="D1891" t="inlineStr">
        <is>
          <t>BLEKINGE LÄN</t>
        </is>
      </c>
      <c r="E1891" t="inlineStr">
        <is>
          <t>OLOFSTRÖM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25908-2023</t>
        </is>
      </c>
      <c r="B1892" s="1" t="n">
        <v>45090</v>
      </c>
      <c r="C1892" s="1" t="n">
        <v>46196</v>
      </c>
      <c r="D1892" t="inlineStr">
        <is>
          <t>BLEKINGE LÄN</t>
        </is>
      </c>
      <c r="E1892" t="inlineStr">
        <is>
          <t>OLOFSTRÖM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31589-2023</t>
        </is>
      </c>
      <c r="B1893" s="1" t="n">
        <v>45104</v>
      </c>
      <c r="C1893" s="1" t="n">
        <v>46196</v>
      </c>
      <c r="D1893" t="inlineStr">
        <is>
          <t>BLEKINGE LÄN</t>
        </is>
      </c>
      <c r="E1893" t="inlineStr">
        <is>
          <t>RONNEBY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20656-2023</t>
        </is>
      </c>
      <c r="B1894" s="1" t="n">
        <v>45055</v>
      </c>
      <c r="C1894" s="1" t="n">
        <v>46196</v>
      </c>
      <c r="D1894" t="inlineStr">
        <is>
          <t>BLEKINGE LÄN</t>
        </is>
      </c>
      <c r="E1894" t="inlineStr">
        <is>
          <t>KARLSKRONA</t>
        </is>
      </c>
      <c r="G1894" t="n">
        <v>10.6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20586-2025</t>
        </is>
      </c>
      <c r="B1895" s="1" t="n">
        <v>45775</v>
      </c>
      <c r="C1895" s="1" t="n">
        <v>46196</v>
      </c>
      <c r="D1895" t="inlineStr">
        <is>
          <t>BLEKINGE LÄN</t>
        </is>
      </c>
      <c r="E1895" t="inlineStr">
        <is>
          <t>RONNEBY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13482-2023</t>
        </is>
      </c>
      <c r="B1896" s="1" t="n">
        <v>45005</v>
      </c>
      <c r="C1896" s="1" t="n">
        <v>46196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29158-2023</t>
        </is>
      </c>
      <c r="B1897" s="1" t="n">
        <v>45105</v>
      </c>
      <c r="C1897" s="1" t="n">
        <v>46196</v>
      </c>
      <c r="D1897" t="inlineStr">
        <is>
          <t>BLEKINGE LÄN</t>
        </is>
      </c>
      <c r="E1897" t="inlineStr">
        <is>
          <t>RONNEBY</t>
        </is>
      </c>
      <c r="F1897" t="inlineStr">
        <is>
          <t>Kommuner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31130-2024</t>
        </is>
      </c>
      <c r="B1898" s="1" t="n">
        <v>45502</v>
      </c>
      <c r="C1898" s="1" t="n">
        <v>46196</v>
      </c>
      <c r="D1898" t="inlineStr">
        <is>
          <t>BLEKINGE LÄN</t>
        </is>
      </c>
      <c r="E1898" t="inlineStr">
        <is>
          <t>KARLSHAMN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23996-2023</t>
        </is>
      </c>
      <c r="B1899" s="1" t="n">
        <v>45075</v>
      </c>
      <c r="C1899" s="1" t="n">
        <v>46196</v>
      </c>
      <c r="D1899" t="inlineStr">
        <is>
          <t>BLEKINGE LÄN</t>
        </is>
      </c>
      <c r="E1899" t="inlineStr">
        <is>
          <t>RONNEBY</t>
        </is>
      </c>
      <c r="G1899" t="n">
        <v>6.8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3001-2023</t>
        </is>
      </c>
      <c r="B1900" s="1" t="n">
        <v>44945</v>
      </c>
      <c r="C1900" s="1" t="n">
        <v>46196</v>
      </c>
      <c r="D1900" t="inlineStr">
        <is>
          <t>BLEKINGE LÄN</t>
        </is>
      </c>
      <c r="E1900" t="inlineStr">
        <is>
          <t>RONNEBY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72478-2021</t>
        </is>
      </c>
      <c r="B1901" s="1" t="n">
        <v>44545</v>
      </c>
      <c r="C1901" s="1" t="n">
        <v>46196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7347-2022</t>
        </is>
      </c>
      <c r="B1902" s="1" t="n">
        <v>44606</v>
      </c>
      <c r="C1902" s="1" t="n">
        <v>46196</v>
      </c>
      <c r="D1902" t="inlineStr">
        <is>
          <t>BLEKINGE LÄN</t>
        </is>
      </c>
      <c r="E1902" t="inlineStr">
        <is>
          <t>RONNEBY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6430-2024</t>
        </is>
      </c>
      <c r="B1903" s="1" t="n">
        <v>45338</v>
      </c>
      <c r="C1903" s="1" t="n">
        <v>46196</v>
      </c>
      <c r="D1903" t="inlineStr">
        <is>
          <t>BLEKINGE LÄN</t>
        </is>
      </c>
      <c r="E1903" t="inlineStr">
        <is>
          <t>OLOFSTRÖM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6439-2024</t>
        </is>
      </c>
      <c r="B1904" s="1" t="n">
        <v>45338</v>
      </c>
      <c r="C1904" s="1" t="n">
        <v>46196</v>
      </c>
      <c r="D1904" t="inlineStr">
        <is>
          <t>BLEKINGE LÄN</t>
        </is>
      </c>
      <c r="E1904" t="inlineStr">
        <is>
          <t>OLOFSTRÖM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6443-2024</t>
        </is>
      </c>
      <c r="B1905" s="1" t="n">
        <v>45338</v>
      </c>
      <c r="C1905" s="1" t="n">
        <v>46196</v>
      </c>
      <c r="D1905" t="inlineStr">
        <is>
          <t>BLEKINGE LÄN</t>
        </is>
      </c>
      <c r="E1905" t="inlineStr">
        <is>
          <t>OLOFSTRÖM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34305-2023</t>
        </is>
      </c>
      <c r="B1906" s="1" t="n">
        <v>45138</v>
      </c>
      <c r="C1906" s="1" t="n">
        <v>46196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11253-2023</t>
        </is>
      </c>
      <c r="B1907" s="1" t="n">
        <v>44988</v>
      </c>
      <c r="C1907" s="1" t="n">
        <v>46196</v>
      </c>
      <c r="D1907" t="inlineStr">
        <is>
          <t>BLEKINGE LÄN</t>
        </is>
      </c>
      <c r="E1907" t="inlineStr">
        <is>
          <t>KARLSKRONA</t>
        </is>
      </c>
      <c r="G1907" t="n">
        <v>4.9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5458-2023</t>
        </is>
      </c>
      <c r="B1908" s="1" t="n">
        <v>44960</v>
      </c>
      <c r="C1908" s="1" t="n">
        <v>46196</v>
      </c>
      <c r="D1908" t="inlineStr">
        <is>
          <t>BLEKINGE LÄN</t>
        </is>
      </c>
      <c r="E1908" t="inlineStr">
        <is>
          <t>KARLSKRONA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10936-2025</t>
        </is>
      </c>
      <c r="B1909" s="1" t="n">
        <v>45722</v>
      </c>
      <c r="C1909" s="1" t="n">
        <v>46196</v>
      </c>
      <c r="D1909" t="inlineStr">
        <is>
          <t>BLEKINGE LÄN</t>
        </is>
      </c>
      <c r="E1909" t="inlineStr">
        <is>
          <t>KARLSKRONA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45990-2021</t>
        </is>
      </c>
      <c r="B1910" s="1" t="n">
        <v>44441</v>
      </c>
      <c r="C1910" s="1" t="n">
        <v>46196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64056-2023</t>
        </is>
      </c>
      <c r="B1911" s="1" t="n">
        <v>45279</v>
      </c>
      <c r="C1911" s="1" t="n">
        <v>46196</v>
      </c>
      <c r="D1911" t="inlineStr">
        <is>
          <t>BLEKINGE LÄN</t>
        </is>
      </c>
      <c r="E1911" t="inlineStr">
        <is>
          <t>KARLSKRONA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13377-2024</t>
        </is>
      </c>
      <c r="B1912" s="1" t="n">
        <v>45387</v>
      </c>
      <c r="C1912" s="1" t="n">
        <v>46196</v>
      </c>
      <c r="D1912" t="inlineStr">
        <is>
          <t>BLEKINGE LÄN</t>
        </is>
      </c>
      <c r="E1912" t="inlineStr">
        <is>
          <t>KARLSKRONA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24328-2023</t>
        </is>
      </c>
      <c r="B1913" s="1" t="n">
        <v>45080</v>
      </c>
      <c r="C1913" s="1" t="n">
        <v>46196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42169-2023</t>
        </is>
      </c>
      <c r="B1914" s="1" t="n">
        <v>45178</v>
      </c>
      <c r="C1914" s="1" t="n">
        <v>46196</v>
      </c>
      <c r="D1914" t="inlineStr">
        <is>
          <t>BLEKINGE LÄN</t>
        </is>
      </c>
      <c r="E1914" t="inlineStr">
        <is>
          <t>RONNEBY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28538-2022</t>
        </is>
      </c>
      <c r="B1915" s="1" t="n">
        <v>44748</v>
      </c>
      <c r="C1915" s="1" t="n">
        <v>46196</v>
      </c>
      <c r="D1915" t="inlineStr">
        <is>
          <t>BLEKINGE LÄN</t>
        </is>
      </c>
      <c r="E1915" t="inlineStr">
        <is>
          <t>OLOFSTRÖM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21989-2023</t>
        </is>
      </c>
      <c r="B1916" s="1" t="n">
        <v>45068</v>
      </c>
      <c r="C1916" s="1" t="n">
        <v>46196</v>
      </c>
      <c r="D1916" t="inlineStr">
        <is>
          <t>BLEKINGE LÄN</t>
        </is>
      </c>
      <c r="E1916" t="inlineStr">
        <is>
          <t>RONNEBY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36413-2024</t>
        </is>
      </c>
      <c r="B1917" s="1" t="n">
        <v>45536</v>
      </c>
      <c r="C1917" s="1" t="n">
        <v>46196</v>
      </c>
      <c r="D1917" t="inlineStr">
        <is>
          <t>BLEKINGE LÄN</t>
        </is>
      </c>
      <c r="E1917" t="inlineStr">
        <is>
          <t>RONNEBY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55374-2023</t>
        </is>
      </c>
      <c r="B1918" s="1" t="n">
        <v>45238</v>
      </c>
      <c r="C1918" s="1" t="n">
        <v>46196</v>
      </c>
      <c r="D1918" t="inlineStr">
        <is>
          <t>BLEKINGE LÄN</t>
        </is>
      </c>
      <c r="E1918" t="inlineStr">
        <is>
          <t>KARLSKRONA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24279-2023</t>
        </is>
      </c>
      <c r="B1919" s="1" t="n">
        <v>45079</v>
      </c>
      <c r="C1919" s="1" t="n">
        <v>46196</v>
      </c>
      <c r="D1919" t="inlineStr">
        <is>
          <t>BLEKINGE LÄN</t>
        </is>
      </c>
      <c r="E1919" t="inlineStr">
        <is>
          <t>KARLSHAMN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57841-2023</t>
        </is>
      </c>
      <c r="B1920" s="1" t="n">
        <v>45247</v>
      </c>
      <c r="C1920" s="1" t="n">
        <v>46196</v>
      </c>
      <c r="D1920" t="inlineStr">
        <is>
          <t>BLEKINGE LÄN</t>
        </is>
      </c>
      <c r="E1920" t="inlineStr">
        <is>
          <t>KARLSKRONA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68958-2021</t>
        </is>
      </c>
      <c r="B1921" s="1" t="n">
        <v>44530</v>
      </c>
      <c r="C1921" s="1" t="n">
        <v>46196</v>
      </c>
      <c r="D1921" t="inlineStr">
        <is>
          <t>BLEKINGE LÄN</t>
        </is>
      </c>
      <c r="E1921" t="inlineStr">
        <is>
          <t>KARLSHAMN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47264-2023</t>
        </is>
      </c>
      <c r="B1922" s="1" t="n">
        <v>45197</v>
      </c>
      <c r="C1922" s="1" t="n">
        <v>46196</v>
      </c>
      <c r="D1922" t="inlineStr">
        <is>
          <t>BLEKINGE LÄN</t>
        </is>
      </c>
      <c r="E1922" t="inlineStr">
        <is>
          <t>OLOFSTRÖM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7356-2023</t>
        </is>
      </c>
      <c r="B1923" s="1" t="n">
        <v>44971</v>
      </c>
      <c r="C1923" s="1" t="n">
        <v>46196</v>
      </c>
      <c r="D1923" t="inlineStr">
        <is>
          <t>BLEKINGE LÄN</t>
        </is>
      </c>
      <c r="E1923" t="inlineStr">
        <is>
          <t>KARLSHAMN</t>
        </is>
      </c>
      <c r="F1923" t="inlineStr">
        <is>
          <t>Sveaskog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22814-2023</t>
        </is>
      </c>
      <c r="B1924" s="1" t="n">
        <v>45072</v>
      </c>
      <c r="C1924" s="1" t="n">
        <v>46196</v>
      </c>
      <c r="D1924" t="inlineStr">
        <is>
          <t>BLEKINGE LÄN</t>
        </is>
      </c>
      <c r="E1924" t="inlineStr">
        <is>
          <t>RONNEBY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56335-2023</t>
        </is>
      </c>
      <c r="B1925" s="1" t="n">
        <v>45243</v>
      </c>
      <c r="C1925" s="1" t="n">
        <v>46196</v>
      </c>
      <c r="D1925" t="inlineStr">
        <is>
          <t>BLEKINGE LÄN</t>
        </is>
      </c>
      <c r="E1925" t="inlineStr">
        <is>
          <t>KARLSKRONA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44471-2021</t>
        </is>
      </c>
      <c r="B1926" s="1" t="n">
        <v>44435</v>
      </c>
      <c r="C1926" s="1" t="n">
        <v>46196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11721-2024</t>
        </is>
      </c>
      <c r="B1927" s="1" t="n">
        <v>45373</v>
      </c>
      <c r="C1927" s="1" t="n">
        <v>46196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29121-2023</t>
        </is>
      </c>
      <c r="B1928" s="1" t="n">
        <v>45105</v>
      </c>
      <c r="C1928" s="1" t="n">
        <v>46196</v>
      </c>
      <c r="D1928" t="inlineStr">
        <is>
          <t>BLEKINGE LÄN</t>
        </is>
      </c>
      <c r="E1928" t="inlineStr">
        <is>
          <t>KARLSKRONA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29361-2023</t>
        </is>
      </c>
      <c r="B1929" s="1" t="n">
        <v>45106</v>
      </c>
      <c r="C1929" s="1" t="n">
        <v>46196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31009-2024</t>
        </is>
      </c>
      <c r="B1930" s="1" t="n">
        <v>45499</v>
      </c>
      <c r="C1930" s="1" t="n">
        <v>46196</v>
      </c>
      <c r="D1930" t="inlineStr">
        <is>
          <t>BLEKINGE LÄN</t>
        </is>
      </c>
      <c r="E1930" t="inlineStr">
        <is>
          <t>KARLSKRONA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39121-2023</t>
        </is>
      </c>
      <c r="B1931" s="1" t="n">
        <v>45165</v>
      </c>
      <c r="C1931" s="1" t="n">
        <v>46196</v>
      </c>
      <c r="D1931" t="inlineStr">
        <is>
          <t>BLEKINGE LÄN</t>
        </is>
      </c>
      <c r="E1931" t="inlineStr">
        <is>
          <t>KARLSKRONA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46168-2023</t>
        </is>
      </c>
      <c r="B1932" s="1" t="n">
        <v>45196</v>
      </c>
      <c r="C1932" s="1" t="n">
        <v>46196</v>
      </c>
      <c r="D1932" t="inlineStr">
        <is>
          <t>BLEKINGE LÄN</t>
        </is>
      </c>
      <c r="E1932" t="inlineStr">
        <is>
          <t>RONNEBY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34137-2024</t>
        </is>
      </c>
      <c r="B1933" s="1" t="n">
        <v>45524</v>
      </c>
      <c r="C1933" s="1" t="n">
        <v>46196</v>
      </c>
      <c r="D1933" t="inlineStr">
        <is>
          <t>BLEKINGE LÄN</t>
        </is>
      </c>
      <c r="E1933" t="inlineStr">
        <is>
          <t>KARLSKRONA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7461-2023</t>
        </is>
      </c>
      <c r="B1934" s="1" t="n">
        <v>44971</v>
      </c>
      <c r="C1934" s="1" t="n">
        <v>46196</v>
      </c>
      <c r="D1934" t="inlineStr">
        <is>
          <t>BLEKINGE LÄN</t>
        </is>
      </c>
      <c r="E1934" t="inlineStr">
        <is>
          <t>OLOFSTRÖM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50902-2023</t>
        </is>
      </c>
      <c r="B1935" s="1" t="n">
        <v>45218</v>
      </c>
      <c r="C1935" s="1" t="n">
        <v>46196</v>
      </c>
      <c r="D1935" t="inlineStr">
        <is>
          <t>BLEKINGE LÄN</t>
        </is>
      </c>
      <c r="E1935" t="inlineStr">
        <is>
          <t>KARLSKRONA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46646-2023</t>
        </is>
      </c>
      <c r="B1936" s="1" t="n">
        <v>45195</v>
      </c>
      <c r="C1936" s="1" t="n">
        <v>46196</v>
      </c>
      <c r="D1936" t="inlineStr">
        <is>
          <t>BLEKINGE LÄN</t>
        </is>
      </c>
      <c r="E1936" t="inlineStr">
        <is>
          <t>RONNEBY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7277-2025</t>
        </is>
      </c>
      <c r="B1937" s="1" t="n">
        <v>45701</v>
      </c>
      <c r="C1937" s="1" t="n">
        <v>46196</v>
      </c>
      <c r="D1937" t="inlineStr">
        <is>
          <t>BLEKINGE LÄN</t>
        </is>
      </c>
      <c r="E1937" t="inlineStr">
        <is>
          <t>OLOFSTRÖM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50614-2022</t>
        </is>
      </c>
      <c r="B1938" s="1" t="n">
        <v>44866</v>
      </c>
      <c r="C1938" s="1" t="n">
        <v>46196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24502-2023</t>
        </is>
      </c>
      <c r="B1939" s="1" t="n">
        <v>45082</v>
      </c>
      <c r="C1939" s="1" t="n">
        <v>46196</v>
      </c>
      <c r="D1939" t="inlineStr">
        <is>
          <t>BLEKINGE LÄN</t>
        </is>
      </c>
      <c r="E1939" t="inlineStr">
        <is>
          <t>RONNEBY</t>
        </is>
      </c>
      <c r="F1939" t="inlineStr">
        <is>
          <t>Kommuner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45367-2023</t>
        </is>
      </c>
      <c r="B1940" s="1" t="n">
        <v>45193</v>
      </c>
      <c r="C1940" s="1" t="n">
        <v>46196</v>
      </c>
      <c r="D1940" t="inlineStr">
        <is>
          <t>BLEKINGE LÄN</t>
        </is>
      </c>
      <c r="E1940" t="inlineStr">
        <is>
          <t>RONNEBY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2572-2023</t>
        </is>
      </c>
      <c r="B1941" s="1" t="n">
        <v>44943</v>
      </c>
      <c r="C1941" s="1" t="n">
        <v>46196</v>
      </c>
      <c r="D1941" t="inlineStr">
        <is>
          <t>BLEKINGE LÄN</t>
        </is>
      </c>
      <c r="E1941" t="inlineStr">
        <is>
          <t>KARLSHAMN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36875-2022</t>
        </is>
      </c>
      <c r="B1942" s="1" t="n">
        <v>44805</v>
      </c>
      <c r="C1942" s="1" t="n">
        <v>46196</v>
      </c>
      <c r="D1942" t="inlineStr">
        <is>
          <t>BLEKINGE LÄN</t>
        </is>
      </c>
      <c r="E1942" t="inlineStr">
        <is>
          <t>OLOFSTRÖM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70538-2021</t>
        </is>
      </c>
      <c r="B1943" s="1" t="n">
        <v>44536</v>
      </c>
      <c r="C1943" s="1" t="n">
        <v>46196</v>
      </c>
      <c r="D1943" t="inlineStr">
        <is>
          <t>BLEKINGE LÄN</t>
        </is>
      </c>
      <c r="E1943" t="inlineStr">
        <is>
          <t>OLOFSTRÖM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61243-2023</t>
        </is>
      </c>
      <c r="B1944" s="1" t="n">
        <v>45264</v>
      </c>
      <c r="C1944" s="1" t="n">
        <v>46196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61266-2023</t>
        </is>
      </c>
      <c r="B1945" s="1" t="n">
        <v>45264</v>
      </c>
      <c r="C1945" s="1" t="n">
        <v>46196</v>
      </c>
      <c r="D1945" t="inlineStr">
        <is>
          <t>BLEKINGE LÄN</t>
        </is>
      </c>
      <c r="E1945" t="inlineStr">
        <is>
          <t>KARLSKRONA</t>
        </is>
      </c>
      <c r="G1945" t="n">
        <v>13.2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24840-2023</t>
        </is>
      </c>
      <c r="B1946" s="1" t="n">
        <v>45085</v>
      </c>
      <c r="C1946" s="1" t="n">
        <v>46196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31263-2023</t>
        </is>
      </c>
      <c r="B1947" s="1" t="n">
        <v>45114</v>
      </c>
      <c r="C1947" s="1" t="n">
        <v>46196</v>
      </c>
      <c r="D1947" t="inlineStr">
        <is>
          <t>BLEKINGE LÄN</t>
        </is>
      </c>
      <c r="E1947" t="inlineStr">
        <is>
          <t>KARLSHAMN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44120-2023</t>
        </is>
      </c>
      <c r="B1948" s="1" t="n">
        <v>45188</v>
      </c>
      <c r="C1948" s="1" t="n">
        <v>46196</v>
      </c>
      <c r="D1948" t="inlineStr">
        <is>
          <t>BLEKINGE LÄN</t>
        </is>
      </c>
      <c r="E1948" t="inlineStr">
        <is>
          <t>KARLSKRONA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39216-2024</t>
        </is>
      </c>
      <c r="B1949" s="1" t="n">
        <v>45549</v>
      </c>
      <c r="C1949" s="1" t="n">
        <v>46196</v>
      </c>
      <c r="D1949" t="inlineStr">
        <is>
          <t>BLEKINGE LÄN</t>
        </is>
      </c>
      <c r="E1949" t="inlineStr">
        <is>
          <t>RONNEBY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39240-2024</t>
        </is>
      </c>
      <c r="B1950" s="1" t="n">
        <v>45550</v>
      </c>
      <c r="C1950" s="1" t="n">
        <v>46196</v>
      </c>
      <c r="D1950" t="inlineStr">
        <is>
          <t>BLEKINGE LÄN</t>
        </is>
      </c>
      <c r="E1950" t="inlineStr">
        <is>
          <t>KARLSHAMN</t>
        </is>
      </c>
      <c r="G1950" t="n">
        <v>7.4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27408-2022</t>
        </is>
      </c>
      <c r="B1951" s="1" t="n">
        <v>44742</v>
      </c>
      <c r="C1951" s="1" t="n">
        <v>46196</v>
      </c>
      <c r="D1951" t="inlineStr">
        <is>
          <t>BLEKINGE LÄN</t>
        </is>
      </c>
      <c r="E1951" t="inlineStr">
        <is>
          <t>KARLSHAMN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26917-2023</t>
        </is>
      </c>
      <c r="B1952" s="1" t="n">
        <v>45093</v>
      </c>
      <c r="C1952" s="1" t="n">
        <v>46196</v>
      </c>
      <c r="D1952" t="inlineStr">
        <is>
          <t>BLEKINGE LÄN</t>
        </is>
      </c>
      <c r="E1952" t="inlineStr">
        <is>
          <t>KARLSKRONA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41994-2022</t>
        </is>
      </c>
      <c r="B1953" s="1" t="n">
        <v>44827</v>
      </c>
      <c r="C1953" s="1" t="n">
        <v>46196</v>
      </c>
      <c r="D1953" t="inlineStr">
        <is>
          <t>BLEKINGE LÄN</t>
        </is>
      </c>
      <c r="E1953" t="inlineStr">
        <is>
          <t>KARLSHAMN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26231-2023</t>
        </is>
      </c>
      <c r="B1954" s="1" t="n">
        <v>45091</v>
      </c>
      <c r="C1954" s="1" t="n">
        <v>46196</v>
      </c>
      <c r="D1954" t="inlineStr">
        <is>
          <t>BLEKINGE LÄN</t>
        </is>
      </c>
      <c r="E1954" t="inlineStr">
        <is>
          <t>RONNEBY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33563-2024</t>
        </is>
      </c>
      <c r="B1955" s="1" t="n">
        <v>45519</v>
      </c>
      <c r="C1955" s="1" t="n">
        <v>46196</v>
      </c>
      <c r="D1955" t="inlineStr">
        <is>
          <t>BLEKINGE LÄN</t>
        </is>
      </c>
      <c r="E1955" t="inlineStr">
        <is>
          <t>KARLSHAMN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57559-2023</t>
        </is>
      </c>
      <c r="B1956" s="1" t="n">
        <v>45243</v>
      </c>
      <c r="C1956" s="1" t="n">
        <v>46196</v>
      </c>
      <c r="D1956" t="inlineStr">
        <is>
          <t>BLEKINGE LÄN</t>
        </is>
      </c>
      <c r="E1956" t="inlineStr">
        <is>
          <t>KARLSHAMN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31394-2023</t>
        </is>
      </c>
      <c r="B1957" s="1" t="n">
        <v>45104</v>
      </c>
      <c r="C1957" s="1" t="n">
        <v>46196</v>
      </c>
      <c r="D1957" t="inlineStr">
        <is>
          <t>BLEKINGE LÄN</t>
        </is>
      </c>
      <c r="E1957" t="inlineStr">
        <is>
          <t>KARLSHAMN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1070-2022</t>
        </is>
      </c>
      <c r="B1958" s="1" t="n">
        <v>44571</v>
      </c>
      <c r="C1958" s="1" t="n">
        <v>46196</v>
      </c>
      <c r="D1958" t="inlineStr">
        <is>
          <t>BLEKINGE LÄN</t>
        </is>
      </c>
      <c r="E1958" t="inlineStr">
        <is>
          <t>SÖLVESBORG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30958-2023</t>
        </is>
      </c>
      <c r="B1959" s="1" t="n">
        <v>45113</v>
      </c>
      <c r="C1959" s="1" t="n">
        <v>46196</v>
      </c>
      <c r="D1959" t="inlineStr">
        <is>
          <t>BLEKINGE LÄN</t>
        </is>
      </c>
      <c r="E1959" t="inlineStr">
        <is>
          <t>KARLSKRONA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56078-2023</t>
        </is>
      </c>
      <c r="B1960" s="1" t="n">
        <v>45233</v>
      </c>
      <c r="C1960" s="1" t="n">
        <v>46196</v>
      </c>
      <c r="D1960" t="inlineStr">
        <is>
          <t>BLEKINGE LÄN</t>
        </is>
      </c>
      <c r="E1960" t="inlineStr">
        <is>
          <t>OLOFSTRÖM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40569-2022</t>
        </is>
      </c>
      <c r="B1961" s="1" t="n">
        <v>44823</v>
      </c>
      <c r="C1961" s="1" t="n">
        <v>46196</v>
      </c>
      <c r="D1961" t="inlineStr">
        <is>
          <t>BLEKINGE LÄN</t>
        </is>
      </c>
      <c r="E1961" t="inlineStr">
        <is>
          <t>KARLSHAMN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60901-2022</t>
        </is>
      </c>
      <c r="B1962" s="1" t="n">
        <v>44914</v>
      </c>
      <c r="C1962" s="1" t="n">
        <v>46196</v>
      </c>
      <c r="D1962" t="inlineStr">
        <is>
          <t>BLEKINGE LÄN</t>
        </is>
      </c>
      <c r="E1962" t="inlineStr">
        <is>
          <t>KARLSKRONA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3807-2024</t>
        </is>
      </c>
      <c r="B1963" s="1" t="n">
        <v>45321</v>
      </c>
      <c r="C1963" s="1" t="n">
        <v>46196</v>
      </c>
      <c r="D1963" t="inlineStr">
        <is>
          <t>BLEKINGE LÄN</t>
        </is>
      </c>
      <c r="E1963" t="inlineStr">
        <is>
          <t>KARLSKRONA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47825-2024</t>
        </is>
      </c>
      <c r="B1964" s="1" t="n">
        <v>45588</v>
      </c>
      <c r="C1964" s="1" t="n">
        <v>46196</v>
      </c>
      <c r="D1964" t="inlineStr">
        <is>
          <t>BLEKINGE LÄN</t>
        </is>
      </c>
      <c r="E1964" t="inlineStr">
        <is>
          <t>OLOFSTRÖM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33234-2023</t>
        </is>
      </c>
      <c r="B1965" s="1" t="n">
        <v>45127</v>
      </c>
      <c r="C1965" s="1" t="n">
        <v>46196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1870-2024</t>
        </is>
      </c>
      <c r="B1966" s="1" t="n">
        <v>45307</v>
      </c>
      <c r="C1966" s="1" t="n">
        <v>46196</v>
      </c>
      <c r="D1966" t="inlineStr">
        <is>
          <t>BLEKINGE LÄN</t>
        </is>
      </c>
      <c r="E1966" t="inlineStr">
        <is>
          <t>KARLSHAMN</t>
        </is>
      </c>
      <c r="G1966" t="n">
        <v>16.6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6439-2025</t>
        </is>
      </c>
      <c r="B1967" s="1" t="n">
        <v>45699</v>
      </c>
      <c r="C1967" s="1" t="n">
        <v>46196</v>
      </c>
      <c r="D1967" t="inlineStr">
        <is>
          <t>BLEKINGE LÄN</t>
        </is>
      </c>
      <c r="E1967" t="inlineStr">
        <is>
          <t>OLOFSTRÖM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56600-2023</t>
        </is>
      </c>
      <c r="B1968" s="1" t="n">
        <v>45238</v>
      </c>
      <c r="C1968" s="1" t="n">
        <v>46196</v>
      </c>
      <c r="D1968" t="inlineStr">
        <is>
          <t>BLEKINGE LÄN</t>
        </is>
      </c>
      <c r="E1968" t="inlineStr">
        <is>
          <t>KARLSKRONA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5556-2024</t>
        </is>
      </c>
      <c r="B1969" s="1" t="n">
        <v>45334</v>
      </c>
      <c r="C1969" s="1" t="n">
        <v>46196</v>
      </c>
      <c r="D1969" t="inlineStr">
        <is>
          <t>BLEKINGE LÄN</t>
        </is>
      </c>
      <c r="E1969" t="inlineStr">
        <is>
          <t>KARLSKRONA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6470-2025</t>
        </is>
      </c>
      <c r="B1970" s="1" t="n">
        <v>45699</v>
      </c>
      <c r="C1970" s="1" t="n">
        <v>46196</v>
      </c>
      <c r="D1970" t="inlineStr">
        <is>
          <t>BLEKINGE LÄN</t>
        </is>
      </c>
      <c r="E1970" t="inlineStr">
        <is>
          <t>KARLSKRONA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32537-2023</t>
        </is>
      </c>
      <c r="B1971" s="1" t="n">
        <v>45110</v>
      </c>
      <c r="C1971" s="1" t="n">
        <v>46196</v>
      </c>
      <c r="D1971" t="inlineStr">
        <is>
          <t>BLEKINGE LÄN</t>
        </is>
      </c>
      <c r="E1971" t="inlineStr">
        <is>
          <t>RONNEBY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664-2025</t>
        </is>
      </c>
      <c r="B1972" s="1" t="n">
        <v>45662</v>
      </c>
      <c r="C1972" s="1" t="n">
        <v>46196</v>
      </c>
      <c r="D1972" t="inlineStr">
        <is>
          <t>BLEKINGE LÄN</t>
        </is>
      </c>
      <c r="E1972" t="inlineStr">
        <is>
          <t>KARLSKRONA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36368-2023</t>
        </is>
      </c>
      <c r="B1973" s="1" t="n">
        <v>45152</v>
      </c>
      <c r="C1973" s="1" t="n">
        <v>46196</v>
      </c>
      <c r="D1973" t="inlineStr">
        <is>
          <t>BLEKINGE LÄN</t>
        </is>
      </c>
      <c r="E1973" t="inlineStr">
        <is>
          <t>RONNEBY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4538-2022</t>
        </is>
      </c>
      <c r="B1974" s="1" t="n">
        <v>44590</v>
      </c>
      <c r="C1974" s="1" t="n">
        <v>46196</v>
      </c>
      <c r="D1974" t="inlineStr">
        <is>
          <t>BLEKINGE LÄN</t>
        </is>
      </c>
      <c r="E1974" t="inlineStr">
        <is>
          <t>OLOFSTRÖM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35464-2024</t>
        </is>
      </c>
      <c r="B1975" s="1" t="n">
        <v>45531</v>
      </c>
      <c r="C1975" s="1" t="n">
        <v>46196</v>
      </c>
      <c r="D1975" t="inlineStr">
        <is>
          <t>BLEKINGE LÄN</t>
        </is>
      </c>
      <c r="E1975" t="inlineStr">
        <is>
          <t>KARLSKRONA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32351-2023</t>
        </is>
      </c>
      <c r="B1976" s="1" t="n">
        <v>45120</v>
      </c>
      <c r="C1976" s="1" t="n">
        <v>46196</v>
      </c>
      <c r="D1976" t="inlineStr">
        <is>
          <t>BLEKINGE LÄN</t>
        </is>
      </c>
      <c r="E1976" t="inlineStr">
        <is>
          <t>OLOFSTRÖM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10980-2023</t>
        </is>
      </c>
      <c r="B1977" s="1" t="n">
        <v>44991</v>
      </c>
      <c r="C1977" s="1" t="n">
        <v>46196</v>
      </c>
      <c r="D1977" t="inlineStr">
        <is>
          <t>BLEKINGE LÄN</t>
        </is>
      </c>
      <c r="E1977" t="inlineStr">
        <is>
          <t>KARLSKRONA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10629-2022</t>
        </is>
      </c>
      <c r="B1978" s="1" t="n">
        <v>44624</v>
      </c>
      <c r="C1978" s="1" t="n">
        <v>46196</v>
      </c>
      <c r="D1978" t="inlineStr">
        <is>
          <t>BLEKINGE LÄN</t>
        </is>
      </c>
      <c r="E1978" t="inlineStr">
        <is>
          <t>KARLSKRONA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2059-2023</t>
        </is>
      </c>
      <c r="B1979" s="1" t="n">
        <v>44939</v>
      </c>
      <c r="C1979" s="1" t="n">
        <v>46196</v>
      </c>
      <c r="D1979" t="inlineStr">
        <is>
          <t>BLEKINGE LÄN</t>
        </is>
      </c>
      <c r="E1979" t="inlineStr">
        <is>
          <t>KARLSHAMN</t>
        </is>
      </c>
      <c r="G1979" t="n">
        <v>6.9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46196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2065-2023</t>
        </is>
      </c>
      <c r="B1981" s="1" t="n">
        <v>44939</v>
      </c>
      <c r="C1981" s="1" t="n">
        <v>46196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2093-2023</t>
        </is>
      </c>
      <c r="B1982" s="1" t="n">
        <v>44939</v>
      </c>
      <c r="C1982" s="1" t="n">
        <v>46196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46196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14355-2024</t>
        </is>
      </c>
      <c r="B1984" s="1" t="n">
        <v>45393</v>
      </c>
      <c r="C1984" s="1" t="n">
        <v>46196</v>
      </c>
      <c r="D1984" t="inlineStr">
        <is>
          <t>BLEKINGE LÄN</t>
        </is>
      </c>
      <c r="E1984" t="inlineStr">
        <is>
          <t>KARLSKRONA</t>
        </is>
      </c>
      <c r="G1984" t="n">
        <v>12.6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63981-2023</t>
        </is>
      </c>
      <c r="B1985" s="1" t="n">
        <v>45278</v>
      </c>
      <c r="C1985" s="1" t="n">
        <v>46196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34457-2023</t>
        </is>
      </c>
      <c r="B1986" s="1" t="n">
        <v>45139</v>
      </c>
      <c r="C1986" s="1" t="n">
        <v>46196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41217-2023</t>
        </is>
      </c>
      <c r="B1987" s="1" t="n">
        <v>45169</v>
      </c>
      <c r="C1987" s="1" t="n">
        <v>46196</v>
      </c>
      <c r="D1987" t="inlineStr">
        <is>
          <t>BLEKINGE LÄN</t>
        </is>
      </c>
      <c r="E1987" t="inlineStr">
        <is>
          <t>RONNEBY</t>
        </is>
      </c>
      <c r="G1987" t="n">
        <v>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47992-2023</t>
        </is>
      </c>
      <c r="B1988" s="1" t="n">
        <v>45204</v>
      </c>
      <c r="C1988" s="1" t="n">
        <v>46196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30302-2022</t>
        </is>
      </c>
      <c r="B1989" s="1" t="n">
        <v>44760</v>
      </c>
      <c r="C1989" s="1" t="n">
        <v>46196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31758-2023</t>
        </is>
      </c>
      <c r="B1990" s="1" t="n">
        <v>45118</v>
      </c>
      <c r="C1990" s="1" t="n">
        <v>46196</v>
      </c>
      <c r="D1990" t="inlineStr">
        <is>
          <t>BLEKINGE LÄN</t>
        </is>
      </c>
      <c r="E1990" t="inlineStr">
        <is>
          <t>RONNEBY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6199-2025</t>
        </is>
      </c>
      <c r="B1991" s="1" t="n">
        <v>45698</v>
      </c>
      <c r="C1991" s="1" t="n">
        <v>46196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42167-2023</t>
        </is>
      </c>
      <c r="B1992" s="1" t="n">
        <v>45178</v>
      </c>
      <c r="C1992" s="1" t="n">
        <v>46196</v>
      </c>
      <c r="D1992" t="inlineStr">
        <is>
          <t>BLEKINGE LÄN</t>
        </is>
      </c>
      <c r="E1992" t="inlineStr">
        <is>
          <t>RONNEBY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42174-2023</t>
        </is>
      </c>
      <c r="B1993" s="1" t="n">
        <v>45178</v>
      </c>
      <c r="C1993" s="1" t="n">
        <v>46196</v>
      </c>
      <c r="D1993" t="inlineStr">
        <is>
          <t>BLEKINGE LÄN</t>
        </is>
      </c>
      <c r="E1993" t="inlineStr">
        <is>
          <t>KARLSKRONA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3328-2022</t>
        </is>
      </c>
      <c r="B1994" s="1" t="n">
        <v>44585</v>
      </c>
      <c r="C1994" s="1" t="n">
        <v>46196</v>
      </c>
      <c r="D1994" t="inlineStr">
        <is>
          <t>BLEKINGE LÄN</t>
        </is>
      </c>
      <c r="E1994" t="inlineStr">
        <is>
          <t>KARLSKRONA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45689-2023</t>
        </is>
      </c>
      <c r="B1995" s="1" t="n">
        <v>45195</v>
      </c>
      <c r="C1995" s="1" t="n">
        <v>46196</v>
      </c>
      <c r="D1995" t="inlineStr">
        <is>
          <t>BLEKINGE LÄN</t>
        </is>
      </c>
      <c r="E1995" t="inlineStr">
        <is>
          <t>OLOFSTRÖM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21148-2023</t>
        </is>
      </c>
      <c r="B1996" s="1" t="n">
        <v>45062</v>
      </c>
      <c r="C1996" s="1" t="n">
        <v>46196</v>
      </c>
      <c r="D1996" t="inlineStr">
        <is>
          <t>BLEKINGE LÄN</t>
        </is>
      </c>
      <c r="E1996" t="inlineStr">
        <is>
          <t>KARLSKRONA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21203-2023</t>
        </is>
      </c>
      <c r="B1997" s="1" t="n">
        <v>45062</v>
      </c>
      <c r="C1997" s="1" t="n">
        <v>46196</v>
      </c>
      <c r="D1997" t="inlineStr">
        <is>
          <t>BLEKINGE LÄN</t>
        </is>
      </c>
      <c r="E1997" t="inlineStr">
        <is>
          <t>RONNEBY</t>
        </is>
      </c>
      <c r="F1997" t="inlineStr">
        <is>
          <t>Kommuner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58040-2022</t>
        </is>
      </c>
      <c r="B1998" s="1" t="n">
        <v>44893</v>
      </c>
      <c r="C1998" s="1" t="n">
        <v>46196</v>
      </c>
      <c r="D1998" t="inlineStr">
        <is>
          <t>BLEKINGE LÄN</t>
        </is>
      </c>
      <c r="E1998" t="inlineStr">
        <is>
          <t>KARLSKRONA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46884-2023</t>
        </is>
      </c>
      <c r="B1999" s="1" t="n">
        <v>45201</v>
      </c>
      <c r="C1999" s="1" t="n">
        <v>46196</v>
      </c>
      <c r="D1999" t="inlineStr">
        <is>
          <t>BLEKINGE LÄN</t>
        </is>
      </c>
      <c r="E1999" t="inlineStr">
        <is>
          <t>RONNEBY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46900-2023</t>
        </is>
      </c>
      <c r="B2000" s="1" t="n">
        <v>45195</v>
      </c>
      <c r="C2000" s="1" t="n">
        <v>46196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14496-2024</t>
        </is>
      </c>
      <c r="B2001" s="1" t="n">
        <v>45394</v>
      </c>
      <c r="C2001" s="1" t="n">
        <v>46196</v>
      </c>
      <c r="D2001" t="inlineStr">
        <is>
          <t>BLEKINGE LÄN</t>
        </is>
      </c>
      <c r="E2001" t="inlineStr">
        <is>
          <t>KARLSKRONA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16077-2023</t>
        </is>
      </c>
      <c r="B2002" s="1" t="n">
        <v>45027</v>
      </c>
      <c r="C2002" s="1" t="n">
        <v>46196</v>
      </c>
      <c r="D2002" t="inlineStr">
        <is>
          <t>BLEKINGE LÄN</t>
        </is>
      </c>
      <c r="E2002" t="inlineStr">
        <is>
          <t>RONNEBY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7129-2024</t>
        </is>
      </c>
      <c r="B2003" s="1" t="n">
        <v>45344</v>
      </c>
      <c r="C2003" s="1" t="n">
        <v>46196</v>
      </c>
      <c r="D2003" t="inlineStr">
        <is>
          <t>BLEKINGE LÄN</t>
        </is>
      </c>
      <c r="E2003" t="inlineStr">
        <is>
          <t>KARLSKRONA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50921-2024</t>
        </is>
      </c>
      <c r="B2004" s="1" t="n">
        <v>45602</v>
      </c>
      <c r="C2004" s="1" t="n">
        <v>46196</v>
      </c>
      <c r="D2004" t="inlineStr">
        <is>
          <t>BLEKINGE LÄN</t>
        </is>
      </c>
      <c r="E2004" t="inlineStr">
        <is>
          <t>RONNEBY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4012-2023</t>
        </is>
      </c>
      <c r="B2005" s="1" t="n">
        <v>44952</v>
      </c>
      <c r="C2005" s="1" t="n">
        <v>46196</v>
      </c>
      <c r="D2005" t="inlineStr">
        <is>
          <t>BLEKINGE LÄN</t>
        </is>
      </c>
      <c r="E2005" t="inlineStr">
        <is>
          <t>KARLSHAMN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40074-2022</t>
        </is>
      </c>
      <c r="B2006" s="1" t="n">
        <v>44820</v>
      </c>
      <c r="C2006" s="1" t="n">
        <v>46196</v>
      </c>
      <c r="D2006" t="inlineStr">
        <is>
          <t>BLEKINGE LÄN</t>
        </is>
      </c>
      <c r="E2006" t="inlineStr">
        <is>
          <t>KARLSKRONA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12848-2022</t>
        </is>
      </c>
      <c r="B2007" s="1" t="n">
        <v>44642</v>
      </c>
      <c r="C2007" s="1" t="n">
        <v>46196</v>
      </c>
      <c r="D2007" t="inlineStr">
        <is>
          <t>BLEKINGE LÄN</t>
        </is>
      </c>
      <c r="E2007" t="inlineStr">
        <is>
          <t>SÖLVESBORG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12414-2024</t>
        </is>
      </c>
      <c r="B2008" s="1" t="n">
        <v>45378</v>
      </c>
      <c r="C2008" s="1" t="n">
        <v>46196</v>
      </c>
      <c r="D2008" t="inlineStr">
        <is>
          <t>BLEKINGE LÄN</t>
        </is>
      </c>
      <c r="E2008" t="inlineStr">
        <is>
          <t>RONNEBY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2169-2025</t>
        </is>
      </c>
      <c r="B2009" s="1" t="n">
        <v>45673</v>
      </c>
      <c r="C2009" s="1" t="n">
        <v>46196</v>
      </c>
      <c r="D2009" t="inlineStr">
        <is>
          <t>BLEKINGE LÄN</t>
        </is>
      </c>
      <c r="E2009" t="inlineStr">
        <is>
          <t>KARLSKRONA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20594-2024</t>
        </is>
      </c>
      <c r="B2010" s="1" t="n">
        <v>45436</v>
      </c>
      <c r="C2010" s="1" t="n">
        <v>46196</v>
      </c>
      <c r="D2010" t="inlineStr">
        <is>
          <t>BLEKINGE LÄN</t>
        </is>
      </c>
      <c r="E2010" t="inlineStr">
        <is>
          <t>RONNEBY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2096-2024</t>
        </is>
      </c>
      <c r="B2011" s="1" t="n">
        <v>45309</v>
      </c>
      <c r="C2011" s="1" t="n">
        <v>46196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8003-2024</t>
        </is>
      </c>
      <c r="B2012" s="1" t="n">
        <v>45350</v>
      </c>
      <c r="C2012" s="1" t="n">
        <v>46196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8004-2024</t>
        </is>
      </c>
      <c r="B2013" s="1" t="n">
        <v>45350</v>
      </c>
      <c r="C2013" s="1" t="n">
        <v>46196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1430-2024</t>
        </is>
      </c>
      <c r="B2014" s="1" t="n">
        <v>45303</v>
      </c>
      <c r="C2014" s="1" t="n">
        <v>46196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1434-2024</t>
        </is>
      </c>
      <c r="B2015" s="1" t="n">
        <v>45303</v>
      </c>
      <c r="C2015" s="1" t="n">
        <v>46196</v>
      </c>
      <c r="D2015" t="inlineStr">
        <is>
          <t>BLEKINGE LÄN</t>
        </is>
      </c>
      <c r="E2015" t="inlineStr">
        <is>
          <t>RONNEBY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34952-2023</t>
        </is>
      </c>
      <c r="B2016" s="1" t="n">
        <v>45142</v>
      </c>
      <c r="C2016" s="1" t="n">
        <v>46196</v>
      </c>
      <c r="D2016" t="inlineStr">
        <is>
          <t>BLEKINGE LÄN</t>
        </is>
      </c>
      <c r="E2016" t="inlineStr">
        <is>
          <t>KARLSKRONA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35625-2023</t>
        </is>
      </c>
      <c r="B2017" s="1" t="n">
        <v>45147</v>
      </c>
      <c r="C2017" s="1" t="n">
        <v>46196</v>
      </c>
      <c r="D2017" t="inlineStr">
        <is>
          <t>BLEKINGE LÄN</t>
        </is>
      </c>
      <c r="E2017" t="inlineStr">
        <is>
          <t>KARLSHAMN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21030-2024</t>
        </is>
      </c>
      <c r="B2018" s="1" t="n">
        <v>45439</v>
      </c>
      <c r="C2018" s="1" t="n">
        <v>46196</v>
      </c>
      <c r="D2018" t="inlineStr">
        <is>
          <t>BLEKINGE LÄN</t>
        </is>
      </c>
      <c r="E2018" t="inlineStr">
        <is>
          <t>KARLSHAMN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46591-2023</t>
        </is>
      </c>
      <c r="B2019" s="1" t="n">
        <v>45194</v>
      </c>
      <c r="C2019" s="1" t="n">
        <v>46196</v>
      </c>
      <c r="D2019" t="inlineStr">
        <is>
          <t>BLEKINGE LÄN</t>
        </is>
      </c>
      <c r="E2019" t="inlineStr">
        <is>
          <t>OLOFSTRÖM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63384-2023</t>
        </is>
      </c>
      <c r="B2020" s="1" t="n">
        <v>45274</v>
      </c>
      <c r="C2020" s="1" t="n">
        <v>46196</v>
      </c>
      <c r="D2020" t="inlineStr">
        <is>
          <t>BLEKINGE LÄN</t>
        </is>
      </c>
      <c r="E2020" t="inlineStr">
        <is>
          <t>OLOFSTRÖM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63410-2023</t>
        </is>
      </c>
      <c r="B2021" s="1" t="n">
        <v>45274</v>
      </c>
      <c r="C2021" s="1" t="n">
        <v>46196</v>
      </c>
      <c r="D2021" t="inlineStr">
        <is>
          <t>BLEKINGE LÄN</t>
        </is>
      </c>
      <c r="E2021" t="inlineStr">
        <is>
          <t>OLOFSTRÖM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44628-2022</t>
        </is>
      </c>
      <c r="B2022" s="1" t="n">
        <v>44840</v>
      </c>
      <c r="C2022" s="1" t="n">
        <v>46196</v>
      </c>
      <c r="D2022" t="inlineStr">
        <is>
          <t>BLEKINGE LÄN</t>
        </is>
      </c>
      <c r="E2022" t="inlineStr">
        <is>
          <t>KARLSKRONA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45483-2024</t>
        </is>
      </c>
      <c r="B2023" s="1" t="n">
        <v>45577</v>
      </c>
      <c r="C2023" s="1" t="n">
        <v>46196</v>
      </c>
      <c r="D2023" t="inlineStr">
        <is>
          <t>BLEKINGE LÄN</t>
        </is>
      </c>
      <c r="E2023" t="inlineStr">
        <is>
          <t>KARLSKRONA</t>
        </is>
      </c>
      <c r="G2023" t="n">
        <v>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27024-2023</t>
        </is>
      </c>
      <c r="B2024" s="1" t="n">
        <v>45094</v>
      </c>
      <c r="C2024" s="1" t="n">
        <v>46196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48739-2023</t>
        </is>
      </c>
      <c r="B2025" s="1" t="n">
        <v>45208</v>
      </c>
      <c r="C2025" s="1" t="n">
        <v>46196</v>
      </c>
      <c r="D2025" t="inlineStr">
        <is>
          <t>BLEKINGE LÄN</t>
        </is>
      </c>
      <c r="E2025" t="inlineStr">
        <is>
          <t>KARLSKRONA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14177-2024</t>
        </is>
      </c>
      <c r="B2026" s="1" t="n">
        <v>45393</v>
      </c>
      <c r="C2026" s="1" t="n">
        <v>46196</v>
      </c>
      <c r="D2026" t="inlineStr">
        <is>
          <t>BLEKINGE LÄN</t>
        </is>
      </c>
      <c r="E2026" t="inlineStr">
        <is>
          <t>KARLSKRONA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8330-2023</t>
        </is>
      </c>
      <c r="B2027" s="1" t="n">
        <v>44974</v>
      </c>
      <c r="C2027" s="1" t="n">
        <v>46196</v>
      </c>
      <c r="D2027" t="inlineStr">
        <is>
          <t>BLEKINGE LÄN</t>
        </is>
      </c>
      <c r="E2027" t="inlineStr">
        <is>
          <t>RONNEBY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62560-2022</t>
        </is>
      </c>
      <c r="B2028" s="1" t="n">
        <v>44924</v>
      </c>
      <c r="C2028" s="1" t="n">
        <v>46196</v>
      </c>
      <c r="D2028" t="inlineStr">
        <is>
          <t>BLEKINGE LÄN</t>
        </is>
      </c>
      <c r="E2028" t="inlineStr">
        <is>
          <t>KARLSHAMN</t>
        </is>
      </c>
      <c r="G2028" t="n">
        <v>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53617-2024</t>
        </is>
      </c>
      <c r="B2029" s="1" t="n">
        <v>45614</v>
      </c>
      <c r="C2029" s="1" t="n">
        <v>46196</v>
      </c>
      <c r="D2029" t="inlineStr">
        <is>
          <t>BLEKINGE LÄN</t>
        </is>
      </c>
      <c r="E2029" t="inlineStr">
        <is>
          <t>OLOFSTRÖM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35821-2023</t>
        </is>
      </c>
      <c r="B2030" s="1" t="n">
        <v>45148</v>
      </c>
      <c r="C2030" s="1" t="n">
        <v>46196</v>
      </c>
      <c r="D2030" t="inlineStr">
        <is>
          <t>BLEKINGE LÄN</t>
        </is>
      </c>
      <c r="E2030" t="inlineStr">
        <is>
          <t>KARLSHAMN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38185-2023</t>
        </is>
      </c>
      <c r="B2031" s="1" t="n">
        <v>45161</v>
      </c>
      <c r="C2031" s="1" t="n">
        <v>46196</v>
      </c>
      <c r="D2031" t="inlineStr">
        <is>
          <t>BLEKINGE LÄN</t>
        </is>
      </c>
      <c r="E2031" t="inlineStr">
        <is>
          <t>KARLSKRONA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35643-2024</t>
        </is>
      </c>
      <c r="B2032" s="1" t="n">
        <v>45531</v>
      </c>
      <c r="C2032" s="1" t="n">
        <v>46196</v>
      </c>
      <c r="D2032" t="inlineStr">
        <is>
          <t>BLEKINGE LÄN</t>
        </is>
      </c>
      <c r="E2032" t="inlineStr">
        <is>
          <t>KARLSKRONA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36946-2022</t>
        </is>
      </c>
      <c r="B2033" s="1" t="n">
        <v>44806</v>
      </c>
      <c r="C2033" s="1" t="n">
        <v>46196</v>
      </c>
      <c r="D2033" t="inlineStr">
        <is>
          <t>BLEKINGE LÄN</t>
        </is>
      </c>
      <c r="E2033" t="inlineStr">
        <is>
          <t>RONNEBY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13083-2024</t>
        </is>
      </c>
      <c r="B2034" s="1" t="n">
        <v>45385</v>
      </c>
      <c r="C2034" s="1" t="n">
        <v>46196</v>
      </c>
      <c r="D2034" t="inlineStr">
        <is>
          <t>BLEKINGE LÄN</t>
        </is>
      </c>
      <c r="E2034" t="inlineStr">
        <is>
          <t>OLOFSTRÖM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34936-2024</t>
        </is>
      </c>
      <c r="B2035" s="1" t="n">
        <v>45527</v>
      </c>
      <c r="C2035" s="1" t="n">
        <v>46196</v>
      </c>
      <c r="D2035" t="inlineStr">
        <is>
          <t>BLEKINGE LÄN</t>
        </is>
      </c>
      <c r="E2035" t="inlineStr">
        <is>
          <t>OLOFSTRÖM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11179-2023</t>
        </is>
      </c>
      <c r="B2036" s="1" t="n">
        <v>44992</v>
      </c>
      <c r="C2036" s="1" t="n">
        <v>46196</v>
      </c>
      <c r="D2036" t="inlineStr">
        <is>
          <t>BLEKINGE LÄN</t>
        </is>
      </c>
      <c r="E2036" t="inlineStr">
        <is>
          <t>RONNEBY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45230-2024</t>
        </is>
      </c>
      <c r="B2037" s="1" t="n">
        <v>45575</v>
      </c>
      <c r="C2037" s="1" t="n">
        <v>46196</v>
      </c>
      <c r="D2037" t="inlineStr">
        <is>
          <t>BLEKINGE LÄN</t>
        </is>
      </c>
      <c r="E2037" t="inlineStr">
        <is>
          <t>OLOFSTRÖM</t>
        </is>
      </c>
      <c r="F2037" t="inlineStr">
        <is>
          <t>Sveaskog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57426-2023</t>
        </is>
      </c>
      <c r="B2038" s="1" t="n">
        <v>45246</v>
      </c>
      <c r="C2038" s="1" t="n">
        <v>46196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34533-2023</t>
        </is>
      </c>
      <c r="B2039" s="1" t="n">
        <v>45140</v>
      </c>
      <c r="C2039" s="1" t="n">
        <v>46196</v>
      </c>
      <c r="D2039" t="inlineStr">
        <is>
          <t>BLEKINGE LÄN</t>
        </is>
      </c>
      <c r="E2039" t="inlineStr">
        <is>
          <t>KARLSKRONA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34747-2023</t>
        </is>
      </c>
      <c r="B2040" s="1" t="n">
        <v>45141</v>
      </c>
      <c r="C2040" s="1" t="n">
        <v>46196</v>
      </c>
      <c r="D2040" t="inlineStr">
        <is>
          <t>BLEKINGE LÄN</t>
        </is>
      </c>
      <c r="E2040" t="inlineStr">
        <is>
          <t>OLOFSTRÖM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7119-2024</t>
        </is>
      </c>
      <c r="B2041" s="1" t="n">
        <v>45344</v>
      </c>
      <c r="C2041" s="1" t="n">
        <v>46196</v>
      </c>
      <c r="D2041" t="inlineStr">
        <is>
          <t>BLEKINGE LÄN</t>
        </is>
      </c>
      <c r="E2041" t="inlineStr">
        <is>
          <t>KARLSKRONA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28080-2023</t>
        </is>
      </c>
      <c r="B2042" s="1" t="n">
        <v>45099</v>
      </c>
      <c r="C2042" s="1" t="n">
        <v>46196</v>
      </c>
      <c r="D2042" t="inlineStr">
        <is>
          <t>BLEKINGE LÄN</t>
        </is>
      </c>
      <c r="E2042" t="inlineStr">
        <is>
          <t>SÖLVESBORG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34133-2024</t>
        </is>
      </c>
      <c r="B2043" s="1" t="n">
        <v>45524</v>
      </c>
      <c r="C2043" s="1" t="n">
        <v>46196</v>
      </c>
      <c r="D2043" t="inlineStr">
        <is>
          <t>BLEKINGE LÄN</t>
        </is>
      </c>
      <c r="E2043" t="inlineStr">
        <is>
          <t>KARLSKRONA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271-2022</t>
        </is>
      </c>
      <c r="B2044" s="1" t="n">
        <v>44565</v>
      </c>
      <c r="C2044" s="1" t="n">
        <v>46196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50967-2023</t>
        </is>
      </c>
      <c r="B2045" s="1" t="n">
        <v>45218</v>
      </c>
      <c r="C2045" s="1" t="n">
        <v>46196</v>
      </c>
      <c r="D2045" t="inlineStr">
        <is>
          <t>BLEKINGE LÄN</t>
        </is>
      </c>
      <c r="E2045" t="inlineStr">
        <is>
          <t>KARLSKRONA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10525-2022</t>
        </is>
      </c>
      <c r="B2046" s="1" t="n">
        <v>44623</v>
      </c>
      <c r="C2046" s="1" t="n">
        <v>46196</v>
      </c>
      <c r="D2046" t="inlineStr">
        <is>
          <t>BLEKINGE LÄN</t>
        </is>
      </c>
      <c r="E2046" t="inlineStr">
        <is>
          <t>KARLSHAMN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46196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9763-2022</t>
        </is>
      </c>
      <c r="B2048" s="1" t="n">
        <v>44619</v>
      </c>
      <c r="C2048" s="1" t="n">
        <v>46196</v>
      </c>
      <c r="D2048" t="inlineStr">
        <is>
          <t>BLEKINGE LÄN</t>
        </is>
      </c>
      <c r="E2048" t="inlineStr">
        <is>
          <t>KARLSKRONA</t>
        </is>
      </c>
      <c r="G2048" t="n">
        <v>11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55079-2023</t>
        </is>
      </c>
      <c r="B2049" s="1" t="n">
        <v>45237</v>
      </c>
      <c r="C2049" s="1" t="n">
        <v>46196</v>
      </c>
      <c r="D2049" t="inlineStr">
        <is>
          <t>BLEKINGE LÄN</t>
        </is>
      </c>
      <c r="E2049" t="inlineStr">
        <is>
          <t>RONNEBY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45908-2023</t>
        </is>
      </c>
      <c r="B2050" s="1" t="n">
        <v>45195</v>
      </c>
      <c r="C2050" s="1" t="n">
        <v>46196</v>
      </c>
      <c r="D2050" t="inlineStr">
        <is>
          <t>BLEKINGE LÄN</t>
        </is>
      </c>
      <c r="E2050" t="inlineStr">
        <is>
          <t>KARLSKRONA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42323-2023</t>
        </is>
      </c>
      <c r="B2051" s="1" t="n">
        <v>45180</v>
      </c>
      <c r="C2051" s="1" t="n">
        <v>46196</v>
      </c>
      <c r="D2051" t="inlineStr">
        <is>
          <t>BLEKINGE LÄN</t>
        </is>
      </c>
      <c r="E2051" t="inlineStr">
        <is>
          <t>KARLSKRONA</t>
        </is>
      </c>
      <c r="G2051" t="n">
        <v>14.7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15561-2025</t>
        </is>
      </c>
      <c r="B2052" s="1" t="n">
        <v>45747</v>
      </c>
      <c r="C2052" s="1" t="n">
        <v>46196</v>
      </c>
      <c r="D2052" t="inlineStr">
        <is>
          <t>BLEKINGE LÄN</t>
        </is>
      </c>
      <c r="E2052" t="inlineStr">
        <is>
          <t>KARLSHAMN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31415-2022</t>
        </is>
      </c>
      <c r="B2053" s="1" t="n">
        <v>44774</v>
      </c>
      <c r="C2053" s="1" t="n">
        <v>46196</v>
      </c>
      <c r="D2053" t="inlineStr">
        <is>
          <t>BLEKINGE LÄN</t>
        </is>
      </c>
      <c r="E2053" t="inlineStr">
        <is>
          <t>RONNEBY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38375-2024</t>
        </is>
      </c>
      <c r="B2054" s="1" t="n">
        <v>45545</v>
      </c>
      <c r="C2054" s="1" t="n">
        <v>46196</v>
      </c>
      <c r="D2054" t="inlineStr">
        <is>
          <t>BLEKINGE LÄN</t>
        </is>
      </c>
      <c r="E2054" t="inlineStr">
        <is>
          <t>RONNEBY</t>
        </is>
      </c>
      <c r="G2054" t="n">
        <v>6.1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59122-2024</t>
        </is>
      </c>
      <c r="B2055" s="1" t="n">
        <v>45637</v>
      </c>
      <c r="C2055" s="1" t="n">
        <v>46196</v>
      </c>
      <c r="D2055" t="inlineStr">
        <is>
          <t>BLEKINGE LÄN</t>
        </is>
      </c>
      <c r="E2055" t="inlineStr">
        <is>
          <t>KARLSKRONA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46196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42532-2023</t>
        </is>
      </c>
      <c r="B2057" s="1" t="n">
        <v>45181</v>
      </c>
      <c r="C2057" s="1" t="n">
        <v>46196</v>
      </c>
      <c r="D2057" t="inlineStr">
        <is>
          <t>BLEKINGE LÄN</t>
        </is>
      </c>
      <c r="E2057" t="inlineStr">
        <is>
          <t>KARLSKRONA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3475-2024</t>
        </is>
      </c>
      <c r="B2058" s="1" t="n">
        <v>45320</v>
      </c>
      <c r="C2058" s="1" t="n">
        <v>46196</v>
      </c>
      <c r="D2058" t="inlineStr">
        <is>
          <t>BLEKINGE LÄN</t>
        </is>
      </c>
      <c r="E2058" t="inlineStr">
        <is>
          <t>OLOFSTRÖM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1432-2024</t>
        </is>
      </c>
      <c r="B2059" s="1" t="n">
        <v>45303</v>
      </c>
      <c r="C2059" s="1" t="n">
        <v>46196</v>
      </c>
      <c r="D2059" t="inlineStr">
        <is>
          <t>BLEKINGE LÄN</t>
        </is>
      </c>
      <c r="E2059" t="inlineStr">
        <is>
          <t>RONNEBY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41201-2022</t>
        </is>
      </c>
      <c r="B2060" s="1" t="n">
        <v>44825</v>
      </c>
      <c r="C2060" s="1" t="n">
        <v>46196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62677-2023</t>
        </is>
      </c>
      <c r="B2061" s="1" t="n">
        <v>45271</v>
      </c>
      <c r="C2061" s="1" t="n">
        <v>46196</v>
      </c>
      <c r="D2061" t="inlineStr">
        <is>
          <t>BLEKINGE LÄN</t>
        </is>
      </c>
      <c r="E2061" t="inlineStr">
        <is>
          <t>OLOFSTRÖM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19594-2024</t>
        </is>
      </c>
      <c r="B2062" s="1" t="n">
        <v>45430</v>
      </c>
      <c r="C2062" s="1" t="n">
        <v>46196</v>
      </c>
      <c r="D2062" t="inlineStr">
        <is>
          <t>BLEKINGE LÄN</t>
        </is>
      </c>
      <c r="E2062" t="inlineStr">
        <is>
          <t>RONNEBY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52632-2023</t>
        </is>
      </c>
      <c r="B2063" s="1" t="n">
        <v>45225</v>
      </c>
      <c r="C2063" s="1" t="n">
        <v>46196</v>
      </c>
      <c r="D2063" t="inlineStr">
        <is>
          <t>BLEKINGE LÄN</t>
        </is>
      </c>
      <c r="E2063" t="inlineStr">
        <is>
          <t>KARLSHAMN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4470-2023</t>
        </is>
      </c>
      <c r="B2064" s="1" t="n">
        <v>44956</v>
      </c>
      <c r="C2064" s="1" t="n">
        <v>46196</v>
      </c>
      <c r="D2064" t="inlineStr">
        <is>
          <t>BLEKINGE LÄN</t>
        </is>
      </c>
      <c r="E2064" t="inlineStr">
        <is>
          <t>RONNEBY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6813-2024</t>
        </is>
      </c>
      <c r="B2065" s="1" t="n">
        <v>45342</v>
      </c>
      <c r="C2065" s="1" t="n">
        <v>46196</v>
      </c>
      <c r="D2065" t="inlineStr">
        <is>
          <t>BLEKINGE LÄN</t>
        </is>
      </c>
      <c r="E2065" t="inlineStr">
        <is>
          <t>RONNEBY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6869-2024</t>
        </is>
      </c>
      <c r="B2066" s="1" t="n">
        <v>45342</v>
      </c>
      <c r="C2066" s="1" t="n">
        <v>46196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19092-2024</t>
        </is>
      </c>
      <c r="B2067" s="1" t="n">
        <v>45428</v>
      </c>
      <c r="C2067" s="1" t="n">
        <v>46196</v>
      </c>
      <c r="D2067" t="inlineStr">
        <is>
          <t>BLEKINGE LÄN</t>
        </is>
      </c>
      <c r="E2067" t="inlineStr">
        <is>
          <t>RONNEBY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2191-2024</t>
        </is>
      </c>
      <c r="B2068" s="1" t="n">
        <v>45309</v>
      </c>
      <c r="C2068" s="1" t="n">
        <v>46196</v>
      </c>
      <c r="D2068" t="inlineStr">
        <is>
          <t>BLEKINGE LÄN</t>
        </is>
      </c>
      <c r="E2068" t="inlineStr">
        <is>
          <t>KARLSKRONA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42861-2023</t>
        </is>
      </c>
      <c r="B2069" s="1" t="n">
        <v>45182</v>
      </c>
      <c r="C2069" s="1" t="n">
        <v>46196</v>
      </c>
      <c r="D2069" t="inlineStr">
        <is>
          <t>BLEKINGE LÄN</t>
        </is>
      </c>
      <c r="E2069" t="inlineStr">
        <is>
          <t>KARLSKRONA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15456-2025</t>
        </is>
      </c>
      <c r="B2070" s="1" t="n">
        <v>45747</v>
      </c>
      <c r="C2070" s="1" t="n">
        <v>46196</v>
      </c>
      <c r="D2070" t="inlineStr">
        <is>
          <t>BLEKINGE LÄN</t>
        </is>
      </c>
      <c r="E2070" t="inlineStr">
        <is>
          <t>KARLSKRONA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52089-2023</t>
        </is>
      </c>
      <c r="B2071" s="1" t="n">
        <v>45216</v>
      </c>
      <c r="C2071" s="1" t="n">
        <v>46196</v>
      </c>
      <c r="D2071" t="inlineStr">
        <is>
          <t>BLEKINGE LÄN</t>
        </is>
      </c>
      <c r="E2071" t="inlineStr">
        <is>
          <t>SÖLVESBORG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25975-2023</t>
        </is>
      </c>
      <c r="B2072" s="1" t="n">
        <v>45090</v>
      </c>
      <c r="C2072" s="1" t="n">
        <v>46196</v>
      </c>
      <c r="D2072" t="inlineStr">
        <is>
          <t>BLEKINGE LÄN</t>
        </is>
      </c>
      <c r="E2072" t="inlineStr">
        <is>
          <t>KARLSKRONA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51284-2024</t>
        </is>
      </c>
      <c r="B2073" s="1" t="n">
        <v>45603</v>
      </c>
      <c r="C2073" s="1" t="n">
        <v>46196</v>
      </c>
      <c r="D2073" t="inlineStr">
        <is>
          <t>BLEKINGE LÄN</t>
        </is>
      </c>
      <c r="E2073" t="inlineStr">
        <is>
          <t>OLOFSTRÖM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9922-2025</t>
        </is>
      </c>
      <c r="B2074" s="1" t="n">
        <v>45717</v>
      </c>
      <c r="C2074" s="1" t="n">
        <v>46196</v>
      </c>
      <c r="D2074" t="inlineStr">
        <is>
          <t>BLEKINGE LÄN</t>
        </is>
      </c>
      <c r="E2074" t="inlineStr">
        <is>
          <t>RONNEBY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11560-2024</t>
        </is>
      </c>
      <c r="B2075" s="1" t="n">
        <v>45373</v>
      </c>
      <c r="C2075" s="1" t="n">
        <v>46196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4205-2024</t>
        </is>
      </c>
      <c r="B2076" s="1" t="n">
        <v>45324</v>
      </c>
      <c r="C2076" s="1" t="n">
        <v>46196</v>
      </c>
      <c r="D2076" t="inlineStr">
        <is>
          <t>BLEKINGE LÄN</t>
        </is>
      </c>
      <c r="E2076" t="inlineStr">
        <is>
          <t>KARLSKRONA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51934-2023</t>
        </is>
      </c>
      <c r="B2077" s="1" t="n">
        <v>45223</v>
      </c>
      <c r="C2077" s="1" t="n">
        <v>46196</v>
      </c>
      <c r="D2077" t="inlineStr">
        <is>
          <t>BLEKINGE LÄN</t>
        </is>
      </c>
      <c r="E2077" t="inlineStr">
        <is>
          <t>KARLSKRONA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11165-2025</t>
        </is>
      </c>
      <c r="B2078" s="1" t="n">
        <v>45724</v>
      </c>
      <c r="C2078" s="1" t="n">
        <v>46196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40579-2023</t>
        </is>
      </c>
      <c r="B2079" s="1" t="n">
        <v>45170</v>
      </c>
      <c r="C2079" s="1" t="n">
        <v>46196</v>
      </c>
      <c r="D2079" t="inlineStr">
        <is>
          <t>BLEKINGE LÄN</t>
        </is>
      </c>
      <c r="E2079" t="inlineStr">
        <is>
          <t>KARLSKRONA</t>
        </is>
      </c>
      <c r="G2079" t="n">
        <v>9.199999999999999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18730-2023</t>
        </is>
      </c>
      <c r="B2080" s="1" t="n">
        <v>45042</v>
      </c>
      <c r="C2080" s="1" t="n">
        <v>46196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14234-2022</t>
        </is>
      </c>
      <c r="B2081" s="1" t="n">
        <v>44651</v>
      </c>
      <c r="C2081" s="1" t="n">
        <v>46196</v>
      </c>
      <c r="D2081" t="inlineStr">
        <is>
          <t>BLEKINGE LÄN</t>
        </is>
      </c>
      <c r="E2081" t="inlineStr">
        <is>
          <t>RONNEBY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16200-2024</t>
        </is>
      </c>
      <c r="B2082" s="1" t="n">
        <v>45406</v>
      </c>
      <c r="C2082" s="1" t="n">
        <v>46196</v>
      </c>
      <c r="D2082" t="inlineStr">
        <is>
          <t>BLEKINGE LÄN</t>
        </is>
      </c>
      <c r="E2082" t="inlineStr">
        <is>
          <t>KARLSKRONA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38392-2023</t>
        </is>
      </c>
      <c r="B2083" s="1" t="n">
        <v>45162</v>
      </c>
      <c r="C2083" s="1" t="n">
        <v>46196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42208-2021</t>
        </is>
      </c>
      <c r="B2084" s="1" t="n">
        <v>44426</v>
      </c>
      <c r="C2084" s="1" t="n">
        <v>46196</v>
      </c>
      <c r="D2084" t="inlineStr">
        <is>
          <t>BLEKINGE LÄN</t>
        </is>
      </c>
      <c r="E2084" t="inlineStr">
        <is>
          <t>KARLSHAMN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56539-2022</t>
        </is>
      </c>
      <c r="B2085" s="1" t="n">
        <v>44893</v>
      </c>
      <c r="C2085" s="1" t="n">
        <v>46196</v>
      </c>
      <c r="D2085" t="inlineStr">
        <is>
          <t>BLEKINGE LÄN</t>
        </is>
      </c>
      <c r="E2085" t="inlineStr">
        <is>
          <t>KARLSKRONA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58015-2024</t>
        </is>
      </c>
      <c r="B2086" s="1" t="n">
        <v>45631</v>
      </c>
      <c r="C2086" s="1" t="n">
        <v>46196</v>
      </c>
      <c r="D2086" t="inlineStr">
        <is>
          <t>BLEKINGE LÄN</t>
        </is>
      </c>
      <c r="E2086" t="inlineStr">
        <is>
          <t>KARLSHAMN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8040-2025</t>
        </is>
      </c>
      <c r="B2087" s="1" t="n">
        <v>45707</v>
      </c>
      <c r="C2087" s="1" t="n">
        <v>46196</v>
      </c>
      <c r="D2087" t="inlineStr">
        <is>
          <t>BLEKINGE LÄN</t>
        </is>
      </c>
      <c r="E2087" t="inlineStr">
        <is>
          <t>OLOFSTRÖM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62334-2023</t>
        </is>
      </c>
      <c r="B2088" s="1" t="n">
        <v>45266</v>
      </c>
      <c r="C2088" s="1" t="n">
        <v>46196</v>
      </c>
      <c r="D2088" t="inlineStr">
        <is>
          <t>BLEKINGE LÄN</t>
        </is>
      </c>
      <c r="E2088" t="inlineStr">
        <is>
          <t>SÖLVESBORG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8353-2025</t>
        </is>
      </c>
      <c r="B2089" s="1" t="n">
        <v>45708</v>
      </c>
      <c r="C2089" s="1" t="n">
        <v>46196</v>
      </c>
      <c r="D2089" t="inlineStr">
        <is>
          <t>BLEKINGE LÄN</t>
        </is>
      </c>
      <c r="E2089" t="inlineStr">
        <is>
          <t>KARLSHAMN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13988-2023</t>
        </is>
      </c>
      <c r="B2090" s="1" t="n">
        <v>45008</v>
      </c>
      <c r="C2090" s="1" t="n">
        <v>46196</v>
      </c>
      <c r="D2090" t="inlineStr">
        <is>
          <t>BLEKINGE LÄN</t>
        </is>
      </c>
      <c r="E2090" t="inlineStr">
        <is>
          <t>OLOFSTRÖM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46466-2023</t>
        </is>
      </c>
      <c r="B2091" s="1" t="n">
        <v>45197</v>
      </c>
      <c r="C2091" s="1" t="n">
        <v>46196</v>
      </c>
      <c r="D2091" t="inlineStr">
        <is>
          <t>BLEKINGE LÄN</t>
        </is>
      </c>
      <c r="E2091" t="inlineStr">
        <is>
          <t>KARLSHAMN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28857-2023</t>
        </is>
      </c>
      <c r="B2092" s="1" t="n">
        <v>45104</v>
      </c>
      <c r="C2092" s="1" t="n">
        <v>46196</v>
      </c>
      <c r="D2092" t="inlineStr">
        <is>
          <t>BLEKINGE LÄN</t>
        </is>
      </c>
      <c r="E2092" t="inlineStr">
        <is>
          <t>OLOFSTRÖM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41682-2024</t>
        </is>
      </c>
      <c r="B2093" s="1" t="n">
        <v>45560</v>
      </c>
      <c r="C2093" s="1" t="n">
        <v>46196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38886-2022</t>
        </is>
      </c>
      <c r="B2094" s="1" t="n">
        <v>44816</v>
      </c>
      <c r="C2094" s="1" t="n">
        <v>46196</v>
      </c>
      <c r="D2094" t="inlineStr">
        <is>
          <t>BLEKINGE LÄN</t>
        </is>
      </c>
      <c r="E2094" t="inlineStr">
        <is>
          <t>OLOFSTRÖM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16684-2024</t>
        </is>
      </c>
      <c r="B2095" s="1" t="n">
        <v>45408</v>
      </c>
      <c r="C2095" s="1" t="n">
        <v>46196</v>
      </c>
      <c r="D2095" t="inlineStr">
        <is>
          <t>BLEKINGE LÄN</t>
        </is>
      </c>
      <c r="E2095" t="inlineStr">
        <is>
          <t>RONNEBY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27400-2023</t>
        </is>
      </c>
      <c r="B2096" s="1" t="n">
        <v>45097</v>
      </c>
      <c r="C2096" s="1" t="n">
        <v>46196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44530-2023</t>
        </is>
      </c>
      <c r="B2097" s="1" t="n">
        <v>45189</v>
      </c>
      <c r="C2097" s="1" t="n">
        <v>46196</v>
      </c>
      <c r="D2097" t="inlineStr">
        <is>
          <t>BLEKINGE LÄN</t>
        </is>
      </c>
      <c r="E2097" t="inlineStr">
        <is>
          <t>RONNEBY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19642-2023</t>
        </is>
      </c>
      <c r="B2098" s="1" t="n">
        <v>45051</v>
      </c>
      <c r="C2098" s="1" t="n">
        <v>46196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10248-2022</t>
        </is>
      </c>
      <c r="B2099" s="1" t="n">
        <v>44622</v>
      </c>
      <c r="C2099" s="1" t="n">
        <v>46196</v>
      </c>
      <c r="D2099" t="inlineStr">
        <is>
          <t>BLEKINGE LÄN</t>
        </is>
      </c>
      <c r="E2099" t="inlineStr">
        <is>
          <t>OLOFSTRÖM</t>
        </is>
      </c>
      <c r="G2099" t="n">
        <v>18.4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26490-2023</t>
        </is>
      </c>
      <c r="B2100" s="1" t="n">
        <v>45092</v>
      </c>
      <c r="C2100" s="1" t="n">
        <v>46196</v>
      </c>
      <c r="D2100" t="inlineStr">
        <is>
          <t>BLEKINGE LÄN</t>
        </is>
      </c>
      <c r="E2100" t="inlineStr">
        <is>
          <t>KARLSKRONA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26493-2023</t>
        </is>
      </c>
      <c r="B2101" s="1" t="n">
        <v>45092</v>
      </c>
      <c r="C2101" s="1" t="n">
        <v>46196</v>
      </c>
      <c r="D2101" t="inlineStr">
        <is>
          <t>BLEKINGE LÄN</t>
        </is>
      </c>
      <c r="E2101" t="inlineStr">
        <is>
          <t>SÖLVESBORG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13688-2023</t>
        </is>
      </c>
      <c r="B2102" s="1" t="n">
        <v>45006</v>
      </c>
      <c r="C2102" s="1" t="n">
        <v>46196</v>
      </c>
      <c r="D2102" t="inlineStr">
        <is>
          <t>BLEKINGE LÄN</t>
        </is>
      </c>
      <c r="E2102" t="inlineStr">
        <is>
          <t>RONNEBY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56107-2023</t>
        </is>
      </c>
      <c r="B2103" s="1" t="n">
        <v>45233</v>
      </c>
      <c r="C2103" s="1" t="n">
        <v>46196</v>
      </c>
      <c r="D2103" t="inlineStr">
        <is>
          <t>BLEKINGE LÄN</t>
        </is>
      </c>
      <c r="E2103" t="inlineStr">
        <is>
          <t>OLOFSTRÖM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22561-2023</t>
        </is>
      </c>
      <c r="B2104" s="1" t="n">
        <v>45069</v>
      </c>
      <c r="C2104" s="1" t="n">
        <v>46196</v>
      </c>
      <c r="D2104" t="inlineStr">
        <is>
          <t>BLEKINGE LÄN</t>
        </is>
      </c>
      <c r="E2104" t="inlineStr">
        <is>
          <t>SÖLVESBORG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73259-2021</t>
        </is>
      </c>
      <c r="B2105" s="1" t="n">
        <v>44550</v>
      </c>
      <c r="C2105" s="1" t="n">
        <v>46196</v>
      </c>
      <c r="D2105" t="inlineStr">
        <is>
          <t>BLEKINGE LÄN</t>
        </is>
      </c>
      <c r="E2105" t="inlineStr">
        <is>
          <t>OLOFSTRÖM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8130-2025</t>
        </is>
      </c>
      <c r="B2106" s="1" t="n">
        <v>45707</v>
      </c>
      <c r="C2106" s="1" t="n">
        <v>46196</v>
      </c>
      <c r="D2106" t="inlineStr">
        <is>
          <t>BLEKINGE LÄN</t>
        </is>
      </c>
      <c r="E2106" t="inlineStr">
        <is>
          <t>SÖLVESBORG</t>
        </is>
      </c>
      <c r="G2106" t="n">
        <v>0.2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16674-2025</t>
        </is>
      </c>
      <c r="B2107" s="1" t="n">
        <v>45754</v>
      </c>
      <c r="C2107" s="1" t="n">
        <v>46196</v>
      </c>
      <c r="D2107" t="inlineStr">
        <is>
          <t>BLEKINGE LÄN</t>
        </is>
      </c>
      <c r="E2107" t="inlineStr">
        <is>
          <t>KARLSHAMN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34451-2023</t>
        </is>
      </c>
      <c r="B2108" s="1" t="n">
        <v>45139</v>
      </c>
      <c r="C2108" s="1" t="n">
        <v>46196</v>
      </c>
      <c r="D2108" t="inlineStr">
        <is>
          <t>BLEKINGE LÄN</t>
        </is>
      </c>
      <c r="E2108" t="inlineStr">
        <is>
          <t>RONNEBY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38956-2023</t>
        </is>
      </c>
      <c r="B2109" s="1" t="n">
        <v>45163</v>
      </c>
      <c r="C2109" s="1" t="n">
        <v>46196</v>
      </c>
      <c r="D2109" t="inlineStr">
        <is>
          <t>BLEKINGE LÄN</t>
        </is>
      </c>
      <c r="E2109" t="inlineStr">
        <is>
          <t>OLOFSTRÖM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690-2023</t>
        </is>
      </c>
      <c r="B2110" s="1" t="n">
        <v>44930</v>
      </c>
      <c r="C2110" s="1" t="n">
        <v>46196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38980-2023</t>
        </is>
      </c>
      <c r="B2111" s="1" t="n">
        <v>45163</v>
      </c>
      <c r="C2111" s="1" t="n">
        <v>46196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23424-2023</t>
        </is>
      </c>
      <c r="B2112" s="1" t="n">
        <v>45076</v>
      </c>
      <c r="C2112" s="1" t="n">
        <v>46196</v>
      </c>
      <c r="D2112" t="inlineStr">
        <is>
          <t>BLEKINGE LÄN</t>
        </is>
      </c>
      <c r="E2112" t="inlineStr">
        <is>
          <t>RONNEBY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33577-2022</t>
        </is>
      </c>
      <c r="B2113" s="1" t="n">
        <v>44789</v>
      </c>
      <c r="C2113" s="1" t="n">
        <v>46196</v>
      </c>
      <c r="D2113" t="inlineStr">
        <is>
          <t>BLEKINGE LÄN</t>
        </is>
      </c>
      <c r="E2113" t="inlineStr">
        <is>
          <t>OLOFSTRÖM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39925-2022</t>
        </is>
      </c>
      <c r="B2114" s="1" t="n">
        <v>44819</v>
      </c>
      <c r="C2114" s="1" t="n">
        <v>46196</v>
      </c>
      <c r="D2114" t="inlineStr">
        <is>
          <t>BLEKINGE LÄN</t>
        </is>
      </c>
      <c r="E2114" t="inlineStr">
        <is>
          <t>RONNEBY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15196-2022</t>
        </is>
      </c>
      <c r="B2115" s="1" t="n">
        <v>44658</v>
      </c>
      <c r="C2115" s="1" t="n">
        <v>46196</v>
      </c>
      <c r="D2115" t="inlineStr">
        <is>
          <t>BLEKINGE LÄN</t>
        </is>
      </c>
      <c r="E2115" t="inlineStr">
        <is>
          <t>RONNEBY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2206-2024</t>
        </is>
      </c>
      <c r="B2116" s="1" t="n">
        <v>45309</v>
      </c>
      <c r="C2116" s="1" t="n">
        <v>46196</v>
      </c>
      <c r="D2116" t="inlineStr">
        <is>
          <t>BLEKINGE LÄN</t>
        </is>
      </c>
      <c r="E2116" t="inlineStr">
        <is>
          <t>KARLSHAMN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49688-2024</t>
        </is>
      </c>
      <c r="B2117" s="1" t="n">
        <v>45596</v>
      </c>
      <c r="C2117" s="1" t="n">
        <v>46196</v>
      </c>
      <c r="D2117" t="inlineStr">
        <is>
          <t>BLEKINGE LÄN</t>
        </is>
      </c>
      <c r="E2117" t="inlineStr">
        <is>
          <t>KARLSHAMN</t>
        </is>
      </c>
      <c r="G2117" t="n">
        <v>10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49689-2024</t>
        </is>
      </c>
      <c r="B2118" s="1" t="n">
        <v>45596</v>
      </c>
      <c r="C2118" s="1" t="n">
        <v>46196</v>
      </c>
      <c r="D2118" t="inlineStr">
        <is>
          <t>BLEKINGE LÄN</t>
        </is>
      </c>
      <c r="E2118" t="inlineStr">
        <is>
          <t>KARLSHAMN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51477-2021</t>
        </is>
      </c>
      <c r="B2119" s="1" t="n">
        <v>44461</v>
      </c>
      <c r="C2119" s="1" t="n">
        <v>46196</v>
      </c>
      <c r="D2119" t="inlineStr">
        <is>
          <t>BLEKINGE LÄN</t>
        </is>
      </c>
      <c r="E2119" t="inlineStr">
        <is>
          <t>KARLSKRONA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4338-2025</t>
        </is>
      </c>
      <c r="B2120" s="1" t="n">
        <v>45685</v>
      </c>
      <c r="C2120" s="1" t="n">
        <v>46196</v>
      </c>
      <c r="D2120" t="inlineStr">
        <is>
          <t>BLEKINGE LÄN</t>
        </is>
      </c>
      <c r="E2120" t="inlineStr">
        <is>
          <t>RONNEBY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48846-2024</t>
        </is>
      </c>
      <c r="B2121" s="1" t="n">
        <v>45593</v>
      </c>
      <c r="C2121" s="1" t="n">
        <v>46196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38090-2024</t>
        </is>
      </c>
      <c r="B2122" s="1" t="n">
        <v>45545</v>
      </c>
      <c r="C2122" s="1" t="n">
        <v>46196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32172-2023</t>
        </is>
      </c>
      <c r="B2123" s="1" t="n">
        <v>45119</v>
      </c>
      <c r="C2123" s="1" t="n">
        <v>46196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43235-2024</t>
        </is>
      </c>
      <c r="B2124" s="1" t="n">
        <v>45567</v>
      </c>
      <c r="C2124" s="1" t="n">
        <v>46196</v>
      </c>
      <c r="D2124" t="inlineStr">
        <is>
          <t>BLEKINGE LÄN</t>
        </is>
      </c>
      <c r="E2124" t="inlineStr">
        <is>
          <t>KARLSHAMN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26478-2023</t>
        </is>
      </c>
      <c r="B2125" s="1" t="n">
        <v>45092</v>
      </c>
      <c r="C2125" s="1" t="n">
        <v>46196</v>
      </c>
      <c r="D2125" t="inlineStr">
        <is>
          <t>BLEKINGE LÄN</t>
        </is>
      </c>
      <c r="E2125" t="inlineStr">
        <is>
          <t>SÖLVESBORG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26486-2023</t>
        </is>
      </c>
      <c r="B2126" s="1" t="n">
        <v>45092</v>
      </c>
      <c r="C2126" s="1" t="n">
        <v>46196</v>
      </c>
      <c r="D2126" t="inlineStr">
        <is>
          <t>BLEKINGE LÄN</t>
        </is>
      </c>
      <c r="E2126" t="inlineStr">
        <is>
          <t>KARLSKRONA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65026-2023</t>
        </is>
      </c>
      <c r="B2127" s="1" t="n">
        <v>45282</v>
      </c>
      <c r="C2127" s="1" t="n">
        <v>46196</v>
      </c>
      <c r="D2127" t="inlineStr">
        <is>
          <t>BLEKINGE LÄN</t>
        </is>
      </c>
      <c r="E2127" t="inlineStr">
        <is>
          <t>OLOFSTRÖM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42401-2024</t>
        </is>
      </c>
      <c r="B2128" s="1" t="n">
        <v>45565</v>
      </c>
      <c r="C2128" s="1" t="n">
        <v>46196</v>
      </c>
      <c r="D2128" t="inlineStr">
        <is>
          <t>BLEKINGE LÄN</t>
        </is>
      </c>
      <c r="E2128" t="inlineStr">
        <is>
          <t>KARLSHAMN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46883-2023</t>
        </is>
      </c>
      <c r="B2129" s="1" t="n">
        <v>45201</v>
      </c>
      <c r="C2129" s="1" t="n">
        <v>46196</v>
      </c>
      <c r="D2129" t="inlineStr">
        <is>
          <t>BLEKINGE LÄN</t>
        </is>
      </c>
      <c r="E2129" t="inlineStr">
        <is>
          <t>RONNEBY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11242-2023</t>
        </is>
      </c>
      <c r="B2130" s="1" t="n">
        <v>44992</v>
      </c>
      <c r="C2130" s="1" t="n">
        <v>46196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21442-2023</t>
        </is>
      </c>
      <c r="B2131" s="1" t="n">
        <v>45063</v>
      </c>
      <c r="C2131" s="1" t="n">
        <v>46196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28704-2022</t>
        </is>
      </c>
      <c r="B2132" s="1" t="n">
        <v>44748</v>
      </c>
      <c r="C2132" s="1" t="n">
        <v>46196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23911-2023</t>
        </is>
      </c>
      <c r="B2133" s="1" t="n">
        <v>45078</v>
      </c>
      <c r="C2133" s="1" t="n">
        <v>46196</v>
      </c>
      <c r="D2133" t="inlineStr">
        <is>
          <t>BLEKINGE LÄN</t>
        </is>
      </c>
      <c r="E2133" t="inlineStr">
        <is>
          <t>OLOFSTRÖM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23707-2024</t>
        </is>
      </c>
      <c r="B2134" s="1" t="n">
        <v>45454</v>
      </c>
      <c r="C2134" s="1" t="n">
        <v>46196</v>
      </c>
      <c r="D2134" t="inlineStr">
        <is>
          <t>BLEKINGE LÄN</t>
        </is>
      </c>
      <c r="E2134" t="inlineStr">
        <is>
          <t>KARLSKRONA</t>
        </is>
      </c>
      <c r="G2134" t="n">
        <v>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40324-2023</t>
        </is>
      </c>
      <c r="B2135" s="1" t="n">
        <v>45169</v>
      </c>
      <c r="C2135" s="1" t="n">
        <v>46196</v>
      </c>
      <c r="D2135" t="inlineStr">
        <is>
          <t>BLEKINGE LÄN</t>
        </is>
      </c>
      <c r="E2135" t="inlineStr">
        <is>
          <t>KARLSKRONA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44407-2024</t>
        </is>
      </c>
      <c r="B2136" s="1" t="n">
        <v>45573</v>
      </c>
      <c r="C2136" s="1" t="n">
        <v>46196</v>
      </c>
      <c r="D2136" t="inlineStr">
        <is>
          <t>BLEKINGE LÄN</t>
        </is>
      </c>
      <c r="E2136" t="inlineStr">
        <is>
          <t>KARLSKRONA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23820-2023</t>
        </is>
      </c>
      <c r="B2137" s="1" t="n">
        <v>45078</v>
      </c>
      <c r="C2137" s="1" t="n">
        <v>46196</v>
      </c>
      <c r="D2137" t="inlineStr">
        <is>
          <t>BLEKINGE LÄN</t>
        </is>
      </c>
      <c r="E2137" t="inlineStr">
        <is>
          <t>RONNEBY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4469-2024</t>
        </is>
      </c>
      <c r="B2138" s="1" t="n">
        <v>45327</v>
      </c>
      <c r="C2138" s="1" t="n">
        <v>46196</v>
      </c>
      <c r="D2138" t="inlineStr">
        <is>
          <t>BLEKINGE LÄN</t>
        </is>
      </c>
      <c r="E2138" t="inlineStr">
        <is>
          <t>RONNEBY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50198-2024</t>
        </is>
      </c>
      <c r="B2139" s="1" t="n">
        <v>45600</v>
      </c>
      <c r="C2139" s="1" t="n">
        <v>46196</v>
      </c>
      <c r="D2139" t="inlineStr">
        <is>
          <t>BLEKINGE LÄN</t>
        </is>
      </c>
      <c r="E2139" t="inlineStr">
        <is>
          <t>RONNEBY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53366-2021</t>
        </is>
      </c>
      <c r="B2140" s="1" t="n">
        <v>44466</v>
      </c>
      <c r="C2140" s="1" t="n">
        <v>46196</v>
      </c>
      <c r="D2140" t="inlineStr">
        <is>
          <t>BLEKINGE LÄN</t>
        </is>
      </c>
      <c r="E2140" t="inlineStr">
        <is>
          <t>RONNEBY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15384-2023</t>
        </is>
      </c>
      <c r="B2141" s="1" t="n">
        <v>45019</v>
      </c>
      <c r="C2141" s="1" t="n">
        <v>46196</v>
      </c>
      <c r="D2141" t="inlineStr">
        <is>
          <t>BLEKINGE LÄN</t>
        </is>
      </c>
      <c r="E2141" t="inlineStr">
        <is>
          <t>OLOFSTRÖM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18124-2025</t>
        </is>
      </c>
      <c r="B2142" s="1" t="n">
        <v>45761</v>
      </c>
      <c r="C2142" s="1" t="n">
        <v>46196</v>
      </c>
      <c r="D2142" t="inlineStr">
        <is>
          <t>BLEKINGE LÄN</t>
        </is>
      </c>
      <c r="E2142" t="inlineStr">
        <is>
          <t>KARLSKRONA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65798-2021</t>
        </is>
      </c>
      <c r="B2143" s="1" t="n">
        <v>44517</v>
      </c>
      <c r="C2143" s="1" t="n">
        <v>46196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16532-2023</t>
        </is>
      </c>
      <c r="B2144" s="1" t="n">
        <v>45027</v>
      </c>
      <c r="C2144" s="1" t="n">
        <v>46196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9302-2023</t>
        </is>
      </c>
      <c r="B2145" s="1" t="n">
        <v>44980</v>
      </c>
      <c r="C2145" s="1" t="n">
        <v>46196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Aktiebolag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45573-2023</t>
        </is>
      </c>
      <c r="B2146" s="1" t="n">
        <v>45194</v>
      </c>
      <c r="C2146" s="1" t="n">
        <v>46196</v>
      </c>
      <c r="D2146" t="inlineStr">
        <is>
          <t>BLEKINGE LÄN</t>
        </is>
      </c>
      <c r="E2146" t="inlineStr">
        <is>
          <t>KARLSKRONA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48004-2023</t>
        </is>
      </c>
      <c r="B2147" s="1" t="n">
        <v>45204</v>
      </c>
      <c r="C2147" s="1" t="n">
        <v>46196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48005-2023</t>
        </is>
      </c>
      <c r="B2148" s="1" t="n">
        <v>45204</v>
      </c>
      <c r="C2148" s="1" t="n">
        <v>46196</v>
      </c>
      <c r="D2148" t="inlineStr">
        <is>
          <t>BLEKINGE LÄN</t>
        </is>
      </c>
      <c r="E2148" t="inlineStr">
        <is>
          <t>OLOFSTRÖM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41058-2024</t>
        </is>
      </c>
      <c r="B2149" s="1" t="n">
        <v>45559</v>
      </c>
      <c r="C2149" s="1" t="n">
        <v>46196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34727-2021</t>
        </is>
      </c>
      <c r="B2150" s="1" t="n">
        <v>44382</v>
      </c>
      <c r="C2150" s="1" t="n">
        <v>46196</v>
      </c>
      <c r="D2150" t="inlineStr">
        <is>
          <t>BLEKINGE LÄN</t>
        </is>
      </c>
      <c r="E2150" t="inlineStr">
        <is>
          <t>SÖLVESBORG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54854-2023</t>
        </is>
      </c>
      <c r="B2151" s="1" t="n">
        <v>45236</v>
      </c>
      <c r="C2151" s="1" t="n">
        <v>46196</v>
      </c>
      <c r="D2151" t="inlineStr">
        <is>
          <t>BLEKINGE LÄN</t>
        </is>
      </c>
      <c r="E2151" t="inlineStr">
        <is>
          <t>KARLSHAMN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2195-2024</t>
        </is>
      </c>
      <c r="B2152" s="1" t="n">
        <v>45309</v>
      </c>
      <c r="C2152" s="1" t="n">
        <v>46196</v>
      </c>
      <c r="D2152" t="inlineStr">
        <is>
          <t>BLEKINGE LÄN</t>
        </is>
      </c>
      <c r="E2152" t="inlineStr">
        <is>
          <t>KARLSKRONA</t>
        </is>
      </c>
      <c r="G2152" t="n">
        <v>8.199999999999999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3574-2023</t>
        </is>
      </c>
      <c r="B2153" s="1" t="n">
        <v>44950</v>
      </c>
      <c r="C2153" s="1" t="n">
        <v>46196</v>
      </c>
      <c r="D2153" t="inlineStr">
        <is>
          <t>BLEKINGE LÄN</t>
        </is>
      </c>
      <c r="E2153" t="inlineStr">
        <is>
          <t>RONNEBY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59710-2024</t>
        </is>
      </c>
      <c r="B2154" s="1" t="n">
        <v>45639</v>
      </c>
      <c r="C2154" s="1" t="n">
        <v>46196</v>
      </c>
      <c r="D2154" t="inlineStr">
        <is>
          <t>BLEKINGE LÄN</t>
        </is>
      </c>
      <c r="E2154" t="inlineStr">
        <is>
          <t>OLOFSTRÖM</t>
        </is>
      </c>
      <c r="G2154" t="n">
        <v>6.7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20606-2022</t>
        </is>
      </c>
      <c r="B2155" s="1" t="n">
        <v>44700</v>
      </c>
      <c r="C2155" s="1" t="n">
        <v>46196</v>
      </c>
      <c r="D2155" t="inlineStr">
        <is>
          <t>BLEKINGE LÄN</t>
        </is>
      </c>
      <c r="E2155" t="inlineStr">
        <is>
          <t>KARLSKRONA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10920-2025</t>
        </is>
      </c>
      <c r="B2156" s="1" t="n">
        <v>45722</v>
      </c>
      <c r="C2156" s="1" t="n">
        <v>46196</v>
      </c>
      <c r="D2156" t="inlineStr">
        <is>
          <t>BLEKINGE LÄN</t>
        </is>
      </c>
      <c r="E2156" t="inlineStr">
        <is>
          <t>RONNEBY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2414-2025</t>
        </is>
      </c>
      <c r="B2157" s="1" t="n">
        <v>45674</v>
      </c>
      <c r="C2157" s="1" t="n">
        <v>46196</v>
      </c>
      <c r="D2157" t="inlineStr">
        <is>
          <t>BLEKINGE LÄN</t>
        </is>
      </c>
      <c r="E2157" t="inlineStr">
        <is>
          <t>KARLSKRONA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44584-2023</t>
        </is>
      </c>
      <c r="B2158" s="1" t="n">
        <v>45183</v>
      </c>
      <c r="C2158" s="1" t="n">
        <v>46196</v>
      </c>
      <c r="D2158" t="inlineStr">
        <is>
          <t>BLEKINGE LÄN</t>
        </is>
      </c>
      <c r="E2158" t="inlineStr">
        <is>
          <t>KARLSKRONA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7066-2022</t>
        </is>
      </c>
      <c r="B2159" s="1" t="n">
        <v>44603</v>
      </c>
      <c r="C2159" s="1" t="n">
        <v>46196</v>
      </c>
      <c r="D2159" t="inlineStr">
        <is>
          <t>BLEKINGE LÄN</t>
        </is>
      </c>
      <c r="E2159" t="inlineStr">
        <is>
          <t>KARLSKRONA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34746-2023</t>
        </is>
      </c>
      <c r="B2160" s="1" t="n">
        <v>45141</v>
      </c>
      <c r="C2160" s="1" t="n">
        <v>46196</v>
      </c>
      <c r="D2160" t="inlineStr">
        <is>
          <t>BLEKINGE LÄN</t>
        </is>
      </c>
      <c r="E2160" t="inlineStr">
        <is>
          <t>OLOFSTRÖM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52701-2023</t>
        </is>
      </c>
      <c r="B2161" s="1" t="n">
        <v>45225</v>
      </c>
      <c r="C2161" s="1" t="n">
        <v>46196</v>
      </c>
      <c r="D2161" t="inlineStr">
        <is>
          <t>BLEKINGE LÄN</t>
        </is>
      </c>
      <c r="E2161" t="inlineStr">
        <is>
          <t>KARLSKRONA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14308-2024</t>
        </is>
      </c>
      <c r="B2162" s="1" t="n">
        <v>45393</v>
      </c>
      <c r="C2162" s="1" t="n">
        <v>46196</v>
      </c>
      <c r="D2162" t="inlineStr">
        <is>
          <t>BLEKINGE LÄN</t>
        </is>
      </c>
      <c r="E2162" t="inlineStr">
        <is>
          <t>KARLSKRONA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9259-2022</t>
        </is>
      </c>
      <c r="B2163" s="1" t="n">
        <v>44616</v>
      </c>
      <c r="C2163" s="1" t="n">
        <v>46196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9306-2022</t>
        </is>
      </c>
      <c r="B2164" s="1" t="n">
        <v>44616</v>
      </c>
      <c r="C2164" s="1" t="n">
        <v>46196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6681-2025</t>
        </is>
      </c>
      <c r="B2165" s="1" t="n">
        <v>45700</v>
      </c>
      <c r="C2165" s="1" t="n">
        <v>46196</v>
      </c>
      <c r="D2165" t="inlineStr">
        <is>
          <t>BLEKINGE LÄN</t>
        </is>
      </c>
      <c r="E2165" t="inlineStr">
        <is>
          <t>OLOFSTRÖM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41243-2023</t>
        </is>
      </c>
      <c r="B2166" s="1" t="n">
        <v>45174</v>
      </c>
      <c r="C2166" s="1" t="n">
        <v>46196</v>
      </c>
      <c r="D2166" t="inlineStr">
        <is>
          <t>BLEKINGE LÄN</t>
        </is>
      </c>
      <c r="E2166" t="inlineStr">
        <is>
          <t>KARLSKRONA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23072-2023</t>
        </is>
      </c>
      <c r="B2167" s="1" t="n">
        <v>45070</v>
      </c>
      <c r="C2167" s="1" t="n">
        <v>46196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20822-2023</t>
        </is>
      </c>
      <c r="B2168" s="1" t="n">
        <v>45058</v>
      </c>
      <c r="C2168" s="1" t="n">
        <v>46196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41665-2024</t>
        </is>
      </c>
      <c r="B2169" s="1" t="n">
        <v>45560</v>
      </c>
      <c r="C2169" s="1" t="n">
        <v>46196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42464-2023</t>
        </is>
      </c>
      <c r="B2170" s="1" t="n">
        <v>45180</v>
      </c>
      <c r="C2170" s="1" t="n">
        <v>46196</v>
      </c>
      <c r="D2170" t="inlineStr">
        <is>
          <t>BLEKINGE LÄN</t>
        </is>
      </c>
      <c r="E2170" t="inlineStr">
        <is>
          <t>OLOFSTRÖM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31289-2023</t>
        </is>
      </c>
      <c r="B2171" s="1" t="n">
        <v>45114</v>
      </c>
      <c r="C2171" s="1" t="n">
        <v>46196</v>
      </c>
      <c r="D2171" t="inlineStr">
        <is>
          <t>BLEKINGE LÄN</t>
        </is>
      </c>
      <c r="E2171" t="inlineStr">
        <is>
          <t>KARLSHAMN</t>
        </is>
      </c>
      <c r="G2171" t="n">
        <v>6.4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45407-2023</t>
        </is>
      </c>
      <c r="B2172" s="1" t="n">
        <v>45194</v>
      </c>
      <c r="C2172" s="1" t="n">
        <v>46196</v>
      </c>
      <c r="D2172" t="inlineStr">
        <is>
          <t>BLEKINGE LÄN</t>
        </is>
      </c>
      <c r="E2172" t="inlineStr">
        <is>
          <t>RONNEBY</t>
        </is>
      </c>
      <c r="G2172" t="n">
        <v>6.3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45206-2022</t>
        </is>
      </c>
      <c r="B2173" s="1" t="n">
        <v>44844</v>
      </c>
      <c r="C2173" s="1" t="n">
        <v>46196</v>
      </c>
      <c r="D2173" t="inlineStr">
        <is>
          <t>BLEKINGE LÄN</t>
        </is>
      </c>
      <c r="E2173" t="inlineStr">
        <is>
          <t>KARLSHAMN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17820-2023</t>
        </is>
      </c>
      <c r="B2174" s="1" t="n">
        <v>45037</v>
      </c>
      <c r="C2174" s="1" t="n">
        <v>46196</v>
      </c>
      <c r="D2174" t="inlineStr">
        <is>
          <t>BLEKINGE LÄN</t>
        </is>
      </c>
      <c r="E2174" t="inlineStr">
        <is>
          <t>KARLSKRONA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26485-2023</t>
        </is>
      </c>
      <c r="B2175" s="1" t="n">
        <v>45092</v>
      </c>
      <c r="C2175" s="1" t="n">
        <v>46196</v>
      </c>
      <c r="D2175" t="inlineStr">
        <is>
          <t>BLEKINGE LÄN</t>
        </is>
      </c>
      <c r="E2175" t="inlineStr">
        <is>
          <t>KARLSKRONA</t>
        </is>
      </c>
      <c r="G2175" t="n">
        <v>39.4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46820-2022</t>
        </is>
      </c>
      <c r="B2176" s="1" t="n">
        <v>44851</v>
      </c>
      <c r="C2176" s="1" t="n">
        <v>46196</v>
      </c>
      <c r="D2176" t="inlineStr">
        <is>
          <t>BLEKINGE LÄN</t>
        </is>
      </c>
      <c r="E2176" t="inlineStr">
        <is>
          <t>OLOFSTRÖM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33559-2023</t>
        </is>
      </c>
      <c r="B2177" s="1" t="n">
        <v>45118</v>
      </c>
      <c r="C2177" s="1" t="n">
        <v>46196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15444-2022</t>
        </is>
      </c>
      <c r="B2178" s="1" t="n">
        <v>44660</v>
      </c>
      <c r="C2178" s="1" t="n">
        <v>46196</v>
      </c>
      <c r="D2178" t="inlineStr">
        <is>
          <t>BLEKINGE LÄN</t>
        </is>
      </c>
      <c r="E2178" t="inlineStr">
        <is>
          <t>KARLSHAMN</t>
        </is>
      </c>
      <c r="F2178" t="inlineStr">
        <is>
          <t>Kommuner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60071-2022</t>
        </is>
      </c>
      <c r="B2179" s="1" t="n">
        <v>44909</v>
      </c>
      <c r="C2179" s="1" t="n">
        <v>46196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23410-2023</t>
        </is>
      </c>
      <c r="B2180" s="1" t="n">
        <v>45076</v>
      </c>
      <c r="C2180" s="1" t="n">
        <v>46196</v>
      </c>
      <c r="D2180" t="inlineStr">
        <is>
          <t>BLEKINGE LÄN</t>
        </is>
      </c>
      <c r="E2180" t="inlineStr">
        <is>
          <t>KARLSKRONA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20580-2023</t>
        </is>
      </c>
      <c r="B2181" s="1" t="n">
        <v>45057</v>
      </c>
      <c r="C2181" s="1" t="n">
        <v>46196</v>
      </c>
      <c r="D2181" t="inlineStr">
        <is>
          <t>BLEKINGE LÄN</t>
        </is>
      </c>
      <c r="E2181" t="inlineStr">
        <is>
          <t>RONNEBY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58059-2022</t>
        </is>
      </c>
      <c r="B2182" s="1" t="n">
        <v>44900</v>
      </c>
      <c r="C2182" s="1" t="n">
        <v>46196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56660-2023</t>
        </is>
      </c>
      <c r="B2183" s="1" t="n">
        <v>45243</v>
      </c>
      <c r="C2183" s="1" t="n">
        <v>46196</v>
      </c>
      <c r="D2183" t="inlineStr">
        <is>
          <t>BLEKINGE LÄN</t>
        </is>
      </c>
      <c r="E2183" t="inlineStr">
        <is>
          <t>OLOFSTRÖM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38793-2022</t>
        </is>
      </c>
      <c r="B2184" s="1" t="n">
        <v>44816</v>
      </c>
      <c r="C2184" s="1" t="n">
        <v>46196</v>
      </c>
      <c r="D2184" t="inlineStr">
        <is>
          <t>BLEKINGE LÄN</t>
        </is>
      </c>
      <c r="E2184" t="inlineStr">
        <is>
          <t>KARLSHAMN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24880-2022</t>
        </is>
      </c>
      <c r="B2185" s="1" t="n">
        <v>44728</v>
      </c>
      <c r="C2185" s="1" t="n">
        <v>46196</v>
      </c>
      <c r="D2185" t="inlineStr">
        <is>
          <t>BLEKINGE LÄN</t>
        </is>
      </c>
      <c r="E2185" t="inlineStr">
        <is>
          <t>KARLSHAMN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61882-2023</t>
        </is>
      </c>
      <c r="B2186" s="1" t="n">
        <v>45266</v>
      </c>
      <c r="C2186" s="1" t="n">
        <v>46196</v>
      </c>
      <c r="D2186" t="inlineStr">
        <is>
          <t>BLEKINGE LÄN</t>
        </is>
      </c>
      <c r="E2186" t="inlineStr">
        <is>
          <t>KARLSKRONA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14335-2023</t>
        </is>
      </c>
      <c r="B2187" s="1" t="n">
        <v>45012</v>
      </c>
      <c r="C2187" s="1" t="n">
        <v>46196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14357-2023</t>
        </is>
      </c>
      <c r="B2188" s="1" t="n">
        <v>45012</v>
      </c>
      <c r="C2188" s="1" t="n">
        <v>46196</v>
      </c>
      <c r="D2188" t="inlineStr">
        <is>
          <t>BLEKINGE LÄN</t>
        </is>
      </c>
      <c r="E2188" t="inlineStr">
        <is>
          <t>RONNEBY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62246-2022</t>
        </is>
      </c>
      <c r="B2189" s="1" t="n">
        <v>44922</v>
      </c>
      <c r="C2189" s="1" t="n">
        <v>46196</v>
      </c>
      <c r="D2189" t="inlineStr">
        <is>
          <t>BLEKINGE LÄN</t>
        </is>
      </c>
      <c r="E2189" t="inlineStr">
        <is>
          <t>OLOFSTRÖM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58552-2022</t>
        </is>
      </c>
      <c r="B2190" s="1" t="n">
        <v>44902</v>
      </c>
      <c r="C2190" s="1" t="n">
        <v>46196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55350-2023</t>
        </is>
      </c>
      <c r="B2191" s="1" t="n">
        <v>45238</v>
      </c>
      <c r="C2191" s="1" t="n">
        <v>46196</v>
      </c>
      <c r="D2191" t="inlineStr">
        <is>
          <t>BLEKINGE LÄN</t>
        </is>
      </c>
      <c r="E2191" t="inlineStr">
        <is>
          <t>RONNEBY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8235-2023</t>
        </is>
      </c>
      <c r="B2192" s="1" t="n">
        <v>44974</v>
      </c>
      <c r="C2192" s="1" t="n">
        <v>46196</v>
      </c>
      <c r="D2192" t="inlineStr">
        <is>
          <t>BLEKINGE LÄN</t>
        </is>
      </c>
      <c r="E2192" t="inlineStr">
        <is>
          <t>OLOFSTRÖM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8238-2023</t>
        </is>
      </c>
      <c r="B2193" s="1" t="n">
        <v>44974</v>
      </c>
      <c r="C2193" s="1" t="n">
        <v>46196</v>
      </c>
      <c r="D2193" t="inlineStr">
        <is>
          <t>BLEKINGE LÄN</t>
        </is>
      </c>
      <c r="E2193" t="inlineStr">
        <is>
          <t>OLOFSTRÖM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11141-2025</t>
        </is>
      </c>
      <c r="B2194" s="1" t="n">
        <v>45723</v>
      </c>
      <c r="C2194" s="1" t="n">
        <v>46196</v>
      </c>
      <c r="D2194" t="inlineStr">
        <is>
          <t>BLEKINGE LÄN</t>
        </is>
      </c>
      <c r="E2194" t="inlineStr">
        <is>
          <t>OLOFSTRÖM</t>
        </is>
      </c>
      <c r="G2194" t="n">
        <v>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43814-2024</t>
        </is>
      </c>
      <c r="B2195" s="1" t="n">
        <v>45571</v>
      </c>
      <c r="C2195" s="1" t="n">
        <v>46196</v>
      </c>
      <c r="D2195" t="inlineStr">
        <is>
          <t>BLEKINGE LÄN</t>
        </is>
      </c>
      <c r="E2195" t="inlineStr">
        <is>
          <t>OLOFSTRÖM</t>
        </is>
      </c>
      <c r="F2195" t="inlineStr">
        <is>
          <t>Sveaskog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43820-2024</t>
        </is>
      </c>
      <c r="B2196" s="1" t="n">
        <v>45571</v>
      </c>
      <c r="C2196" s="1" t="n">
        <v>46196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60469-2023</t>
        </is>
      </c>
      <c r="B2197" s="1" t="n">
        <v>45258</v>
      </c>
      <c r="C2197" s="1" t="n">
        <v>46196</v>
      </c>
      <c r="D2197" t="inlineStr">
        <is>
          <t>BLEKINGE LÄN</t>
        </is>
      </c>
      <c r="E2197" t="inlineStr">
        <is>
          <t>SÖLVESBORG</t>
        </is>
      </c>
      <c r="G2197" t="n">
        <v>8.4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47848-2021</t>
        </is>
      </c>
      <c r="B2198" s="1" t="n">
        <v>44448</v>
      </c>
      <c r="C2198" s="1" t="n">
        <v>46196</v>
      </c>
      <c r="D2198" t="inlineStr">
        <is>
          <t>BLEKINGE LÄN</t>
        </is>
      </c>
      <c r="E2198" t="inlineStr">
        <is>
          <t>KARLSHAMN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42613-2024</t>
        </is>
      </c>
      <c r="B2199" s="1" t="n">
        <v>45565</v>
      </c>
      <c r="C2199" s="1" t="n">
        <v>46196</v>
      </c>
      <c r="D2199" t="inlineStr">
        <is>
          <t>BLEKINGE LÄN</t>
        </is>
      </c>
      <c r="E2199" t="inlineStr">
        <is>
          <t>KARLSKRONA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7246-2024</t>
        </is>
      </c>
      <c r="B2200" s="1" t="n">
        <v>45344</v>
      </c>
      <c r="C2200" s="1" t="n">
        <v>46196</v>
      </c>
      <c r="D2200" t="inlineStr">
        <is>
          <t>BLEKINGE LÄN</t>
        </is>
      </c>
      <c r="E2200" t="inlineStr">
        <is>
          <t>KARLSHAMN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23858-2022</t>
        </is>
      </c>
      <c r="B2201" s="1" t="n">
        <v>44722</v>
      </c>
      <c r="C2201" s="1" t="n">
        <v>46196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9602-2023</t>
        </is>
      </c>
      <c r="B2202" s="1" t="n">
        <v>44983</v>
      </c>
      <c r="C2202" s="1" t="n">
        <v>46196</v>
      </c>
      <c r="D2202" t="inlineStr">
        <is>
          <t>BLEKINGE LÄN</t>
        </is>
      </c>
      <c r="E2202" t="inlineStr">
        <is>
          <t>SÖLVESBORG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16297-2022</t>
        </is>
      </c>
      <c r="B2203" s="1" t="n">
        <v>44670</v>
      </c>
      <c r="C2203" s="1" t="n">
        <v>46196</v>
      </c>
      <c r="D2203" t="inlineStr">
        <is>
          <t>BLEKINGE LÄN</t>
        </is>
      </c>
      <c r="E2203" t="inlineStr">
        <is>
          <t>SÖLVESBORG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58804-2022</t>
        </is>
      </c>
      <c r="B2204" s="1" t="n">
        <v>44903</v>
      </c>
      <c r="C2204" s="1" t="n">
        <v>46196</v>
      </c>
      <c r="D2204" t="inlineStr">
        <is>
          <t>BLEKINGE LÄN</t>
        </is>
      </c>
      <c r="E2204" t="inlineStr">
        <is>
          <t>KARLSKRONA</t>
        </is>
      </c>
      <c r="G2204" t="n">
        <v>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15361-2024</t>
        </is>
      </c>
      <c r="B2205" s="1" t="n">
        <v>45400</v>
      </c>
      <c r="C2205" s="1" t="n">
        <v>46196</v>
      </c>
      <c r="D2205" t="inlineStr">
        <is>
          <t>BLEKINGE LÄN</t>
        </is>
      </c>
      <c r="E2205" t="inlineStr">
        <is>
          <t>KARLSHAMN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16787-2023</t>
        </is>
      </c>
      <c r="B2206" s="1" t="n">
        <v>45032</v>
      </c>
      <c r="C2206" s="1" t="n">
        <v>46196</v>
      </c>
      <c r="D2206" t="inlineStr">
        <is>
          <t>BLEKINGE LÄN</t>
        </is>
      </c>
      <c r="E2206" t="inlineStr">
        <is>
          <t>OLOFSTRÖM</t>
        </is>
      </c>
      <c r="G2206" t="n">
        <v>0.2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36966-2023</t>
        </is>
      </c>
      <c r="B2207" s="1" t="n">
        <v>45154</v>
      </c>
      <c r="C2207" s="1" t="n">
        <v>46196</v>
      </c>
      <c r="D2207" t="inlineStr">
        <is>
          <t>BLEKINGE LÄN</t>
        </is>
      </c>
      <c r="E2207" t="inlineStr">
        <is>
          <t>KARLSKRONA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3477-2024</t>
        </is>
      </c>
      <c r="B2208" s="1" t="n">
        <v>45320</v>
      </c>
      <c r="C2208" s="1" t="n">
        <v>46196</v>
      </c>
      <c r="D2208" t="inlineStr">
        <is>
          <t>BLEKINGE LÄN</t>
        </is>
      </c>
      <c r="E2208" t="inlineStr">
        <is>
          <t>OLOFSTRÖM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48933-2024</t>
        </is>
      </c>
      <c r="B2209" s="1" t="n">
        <v>45594</v>
      </c>
      <c r="C2209" s="1" t="n">
        <v>46196</v>
      </c>
      <c r="D2209" t="inlineStr">
        <is>
          <t>BLEKINGE LÄN</t>
        </is>
      </c>
      <c r="E2209" t="inlineStr">
        <is>
          <t>OLOFSTRÖM</t>
        </is>
      </c>
      <c r="G2209" t="n">
        <v>8.300000000000001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3099-2023</t>
        </is>
      </c>
      <c r="B2210" s="1" t="n">
        <v>44946</v>
      </c>
      <c r="C2210" s="1" t="n">
        <v>46196</v>
      </c>
      <c r="D2210" t="inlineStr">
        <is>
          <t>BLEKINGE LÄN</t>
        </is>
      </c>
      <c r="E2210" t="inlineStr">
        <is>
          <t>KARLSHAMN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21997-2022</t>
        </is>
      </c>
      <c r="B2211" s="1" t="n">
        <v>44711</v>
      </c>
      <c r="C2211" s="1" t="n">
        <v>46196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19515-2022</t>
        </is>
      </c>
      <c r="B2212" s="1" t="n">
        <v>44693</v>
      </c>
      <c r="C2212" s="1" t="n">
        <v>46196</v>
      </c>
      <c r="D2212" t="inlineStr">
        <is>
          <t>BLEKINGE LÄN</t>
        </is>
      </c>
      <c r="E2212" t="inlineStr">
        <is>
          <t>KARLSKRONA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3024-2022</t>
        </is>
      </c>
      <c r="B2213" s="1" t="n">
        <v>44581</v>
      </c>
      <c r="C2213" s="1" t="n">
        <v>46196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50709-2024</t>
        </is>
      </c>
      <c r="B2214" s="1" t="n">
        <v>45602</v>
      </c>
      <c r="C2214" s="1" t="n">
        <v>46196</v>
      </c>
      <c r="D2214" t="inlineStr">
        <is>
          <t>BLEKINGE LÄN</t>
        </is>
      </c>
      <c r="E2214" t="inlineStr">
        <is>
          <t>OLOFSTRÖM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23099-2023</t>
        </is>
      </c>
      <c r="B2215" s="1" t="n">
        <v>45075</v>
      </c>
      <c r="C2215" s="1" t="n">
        <v>46196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53994-2024</t>
        </is>
      </c>
      <c r="B2216" s="1" t="n">
        <v>45616</v>
      </c>
      <c r="C2216" s="1" t="n">
        <v>46196</v>
      </c>
      <c r="D2216" t="inlineStr">
        <is>
          <t>BLEKINGE LÄN</t>
        </is>
      </c>
      <c r="E2216" t="inlineStr">
        <is>
          <t>KARLSKRONA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5552-2025</t>
        </is>
      </c>
      <c r="B2217" s="1" t="n">
        <v>45693</v>
      </c>
      <c r="C2217" s="1" t="n">
        <v>46196</v>
      </c>
      <c r="D2217" t="inlineStr">
        <is>
          <t>BLEKINGE LÄN</t>
        </is>
      </c>
      <c r="E2217" t="inlineStr">
        <is>
          <t>OLOFSTRÖM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21150-2023</t>
        </is>
      </c>
      <c r="B2218" s="1" t="n">
        <v>45062</v>
      </c>
      <c r="C2218" s="1" t="n">
        <v>46196</v>
      </c>
      <c r="D2218" t="inlineStr">
        <is>
          <t>BLEKINGE LÄN</t>
        </is>
      </c>
      <c r="E2218" t="inlineStr">
        <is>
          <t>KARLSKRONA</t>
        </is>
      </c>
      <c r="G2218" t="n">
        <v>8.5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33742-2024</t>
        </is>
      </c>
      <c r="B2219" s="1" t="n">
        <v>45520</v>
      </c>
      <c r="C2219" s="1" t="n">
        <v>46196</v>
      </c>
      <c r="D2219" t="inlineStr">
        <is>
          <t>BLEKINGE LÄN</t>
        </is>
      </c>
      <c r="E2219" t="inlineStr">
        <is>
          <t>SÖLVESBORG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61956-2023</t>
        </is>
      </c>
      <c r="B2220" s="1" t="n">
        <v>45266</v>
      </c>
      <c r="C2220" s="1" t="n">
        <v>46196</v>
      </c>
      <c r="D2220" t="inlineStr">
        <is>
          <t>BLEKINGE LÄN</t>
        </is>
      </c>
      <c r="E2220" t="inlineStr">
        <is>
          <t>KARLSHAMN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38341-2024</t>
        </is>
      </c>
      <c r="B2221" s="1" t="n">
        <v>45545</v>
      </c>
      <c r="C2221" s="1" t="n">
        <v>46196</v>
      </c>
      <c r="D2221" t="inlineStr">
        <is>
          <t>BLEKINGE LÄN</t>
        </is>
      </c>
      <c r="E2221" t="inlineStr">
        <is>
          <t>RONNEBY</t>
        </is>
      </c>
      <c r="F2221" t="inlineStr">
        <is>
          <t>Övriga Aktiebolag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30740-2023</t>
        </is>
      </c>
      <c r="B2222" s="1" t="n">
        <v>45112</v>
      </c>
      <c r="C2222" s="1" t="n">
        <v>46196</v>
      </c>
      <c r="D2222" t="inlineStr">
        <is>
          <t>BLEKINGE LÄN</t>
        </is>
      </c>
      <c r="E2222" t="inlineStr">
        <is>
          <t>OLOFSTRÖM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30954-2023</t>
        </is>
      </c>
      <c r="B2223" s="1" t="n">
        <v>45113</v>
      </c>
      <c r="C2223" s="1" t="n">
        <v>46196</v>
      </c>
      <c r="D2223" t="inlineStr">
        <is>
          <t>BLEKINGE LÄN</t>
        </is>
      </c>
      <c r="E2223" t="inlineStr">
        <is>
          <t>KARLSKRONA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10630-2023</t>
        </is>
      </c>
      <c r="B2224" s="1" t="n">
        <v>44984</v>
      </c>
      <c r="C2224" s="1" t="n">
        <v>46196</v>
      </c>
      <c r="D2224" t="inlineStr">
        <is>
          <t>BLEKINGE LÄN</t>
        </is>
      </c>
      <c r="E2224" t="inlineStr">
        <is>
          <t>OLOFSTRÖM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2133-2025</t>
        </is>
      </c>
      <c r="B2225" s="1" t="n">
        <v>45672</v>
      </c>
      <c r="C2225" s="1" t="n">
        <v>46196</v>
      </c>
      <c r="D2225" t="inlineStr">
        <is>
          <t>BLEKINGE LÄN</t>
        </is>
      </c>
      <c r="E2225" t="inlineStr">
        <is>
          <t>KARLSKRONA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65035-2023</t>
        </is>
      </c>
      <c r="B2226" s="1" t="n">
        <v>45282</v>
      </c>
      <c r="C2226" s="1" t="n">
        <v>46196</v>
      </c>
      <c r="D2226" t="inlineStr">
        <is>
          <t>BLEKINGE LÄN</t>
        </is>
      </c>
      <c r="E2226" t="inlineStr">
        <is>
          <t>OLOFSTRÖM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972-2024</t>
        </is>
      </c>
      <c r="B2227" s="1" t="n">
        <v>45301</v>
      </c>
      <c r="C2227" s="1" t="n">
        <v>46196</v>
      </c>
      <c r="D2227" t="inlineStr">
        <is>
          <t>BLEKINGE LÄN</t>
        </is>
      </c>
      <c r="E2227" t="inlineStr">
        <is>
          <t>KARLSKRONA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32008-2023</t>
        </is>
      </c>
      <c r="B2228" s="1" t="n">
        <v>45107</v>
      </c>
      <c r="C2228" s="1" t="n">
        <v>46196</v>
      </c>
      <c r="D2228" t="inlineStr">
        <is>
          <t>BLEKINGE LÄN</t>
        </is>
      </c>
      <c r="E2228" t="inlineStr">
        <is>
          <t>OLOFSTRÖM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6421-2024</t>
        </is>
      </c>
      <c r="B2229" s="1" t="n">
        <v>45338</v>
      </c>
      <c r="C2229" s="1" t="n">
        <v>46196</v>
      </c>
      <c r="D2229" t="inlineStr">
        <is>
          <t>BLEKINGE LÄN</t>
        </is>
      </c>
      <c r="E2229" t="inlineStr">
        <is>
          <t>OLOFSTRÖM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53188-2023</t>
        </is>
      </c>
      <c r="B2230" s="1" t="n">
        <v>45229</v>
      </c>
      <c r="C2230" s="1" t="n">
        <v>46196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17170-2023</t>
        </is>
      </c>
      <c r="B2231" s="1" t="n">
        <v>45030</v>
      </c>
      <c r="C2231" s="1" t="n">
        <v>46196</v>
      </c>
      <c r="D2231" t="inlineStr">
        <is>
          <t>BLEKINGE LÄN</t>
        </is>
      </c>
      <c r="E2231" t="inlineStr">
        <is>
          <t>KARLSKRONA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7596-2024</t>
        </is>
      </c>
      <c r="B2232" s="1" t="n">
        <v>45348</v>
      </c>
      <c r="C2232" s="1" t="n">
        <v>46196</v>
      </c>
      <c r="D2232" t="inlineStr">
        <is>
          <t>BLEKINGE LÄN</t>
        </is>
      </c>
      <c r="E2232" t="inlineStr">
        <is>
          <t>KARLSKRONA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28615-2022</t>
        </is>
      </c>
      <c r="B2233" s="1" t="n">
        <v>44748</v>
      </c>
      <c r="C2233" s="1" t="n">
        <v>46196</v>
      </c>
      <c r="D2233" t="inlineStr">
        <is>
          <t>BLEKINGE LÄN</t>
        </is>
      </c>
      <c r="E2233" t="inlineStr">
        <is>
          <t>KARLSKRONA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20516-2025</t>
        </is>
      </c>
      <c r="B2234" s="1" t="n">
        <v>45775</v>
      </c>
      <c r="C2234" s="1" t="n">
        <v>46196</v>
      </c>
      <c r="D2234" t="inlineStr">
        <is>
          <t>BLEKINGE LÄN</t>
        </is>
      </c>
      <c r="E2234" t="inlineStr">
        <is>
          <t>KARLSKRONA</t>
        </is>
      </c>
      <c r="G2234" t="n">
        <v>9.6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46196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29015-2023</t>
        </is>
      </c>
      <c r="B2236" s="1" t="n">
        <v>45104</v>
      </c>
      <c r="C2236" s="1" t="n">
        <v>46196</v>
      </c>
      <c r="D2236" t="inlineStr">
        <is>
          <t>BLEKINGE LÄN</t>
        </is>
      </c>
      <c r="E2236" t="inlineStr">
        <is>
          <t>RONNEBY</t>
        </is>
      </c>
      <c r="F2236" t="inlineStr">
        <is>
          <t>Övriga Aktiebolag</t>
        </is>
      </c>
      <c r="G2236" t="n">
        <v>10.9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16292-2023</t>
        </is>
      </c>
      <c r="B2237" s="1" t="n">
        <v>45028</v>
      </c>
      <c r="C2237" s="1" t="n">
        <v>46196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29024-2023</t>
        </is>
      </c>
      <c r="B2238" s="1" t="n">
        <v>45104</v>
      </c>
      <c r="C2238" s="1" t="n">
        <v>46196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44452-2024</t>
        </is>
      </c>
      <c r="B2239" s="1" t="n">
        <v>45574</v>
      </c>
      <c r="C2239" s="1" t="n">
        <v>46196</v>
      </c>
      <c r="D2239" t="inlineStr">
        <is>
          <t>BLEKINGE LÄN</t>
        </is>
      </c>
      <c r="E2239" t="inlineStr">
        <is>
          <t>RONNEBY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23110-2023</t>
        </is>
      </c>
      <c r="B2240" s="1" t="n">
        <v>45075</v>
      </c>
      <c r="C2240" s="1" t="n">
        <v>46196</v>
      </c>
      <c r="D2240" t="inlineStr">
        <is>
          <t>BLEKINGE LÄN</t>
        </is>
      </c>
      <c r="E2240" t="inlineStr">
        <is>
          <t>KARLSKRONA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34888-2024</t>
        </is>
      </c>
      <c r="B2241" s="1" t="n">
        <v>45527</v>
      </c>
      <c r="C2241" s="1" t="n">
        <v>46196</v>
      </c>
      <c r="D2241" t="inlineStr">
        <is>
          <t>BLEKINGE LÄN</t>
        </is>
      </c>
      <c r="E2241" t="inlineStr">
        <is>
          <t>RONNEBY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51419-2024</t>
        </is>
      </c>
      <c r="B2242" s="1" t="n">
        <v>45604</v>
      </c>
      <c r="C2242" s="1" t="n">
        <v>46196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30660-2024</t>
        </is>
      </c>
      <c r="B2243" s="1" t="n">
        <v>45495</v>
      </c>
      <c r="C2243" s="1" t="n">
        <v>46196</v>
      </c>
      <c r="D2243" t="inlineStr">
        <is>
          <t>BLEKINGE LÄN</t>
        </is>
      </c>
      <c r="E2243" t="inlineStr">
        <is>
          <t>KARLSKRONA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23104-2023</t>
        </is>
      </c>
      <c r="B2244" s="1" t="n">
        <v>45075</v>
      </c>
      <c r="C2244" s="1" t="n">
        <v>46196</v>
      </c>
      <c r="D2244" t="inlineStr">
        <is>
          <t>BLEKINGE LÄN</t>
        </is>
      </c>
      <c r="E2244" t="inlineStr">
        <is>
          <t>KARLSKRONA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35622-2024</t>
        </is>
      </c>
      <c r="B2245" s="1" t="n">
        <v>45531</v>
      </c>
      <c r="C2245" s="1" t="n">
        <v>46196</v>
      </c>
      <c r="D2245" t="inlineStr">
        <is>
          <t>BLEKINGE LÄN</t>
        </is>
      </c>
      <c r="E2245" t="inlineStr">
        <is>
          <t>RONNEBY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43339-2021</t>
        </is>
      </c>
      <c r="B2246" s="1" t="n">
        <v>44432</v>
      </c>
      <c r="C2246" s="1" t="n">
        <v>46196</v>
      </c>
      <c r="D2246" t="inlineStr">
        <is>
          <t>BLEKINGE LÄN</t>
        </is>
      </c>
      <c r="E2246" t="inlineStr">
        <is>
          <t>RONNEBY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41421-2024</t>
        </is>
      </c>
      <c r="B2247" s="1" t="n">
        <v>45560</v>
      </c>
      <c r="C2247" s="1" t="n">
        <v>46196</v>
      </c>
      <c r="D2247" t="inlineStr">
        <is>
          <t>BLEKINGE LÄN</t>
        </is>
      </c>
      <c r="E2247" t="inlineStr">
        <is>
          <t>RONNEBY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36807-2024</t>
        </is>
      </c>
      <c r="B2248" s="1" t="n">
        <v>45538</v>
      </c>
      <c r="C2248" s="1" t="n">
        <v>46196</v>
      </c>
      <c r="D2248" t="inlineStr">
        <is>
          <t>BLEKINGE LÄN</t>
        </is>
      </c>
      <c r="E2248" t="inlineStr">
        <is>
          <t>KARLSKRONA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48975-2024</t>
        </is>
      </c>
      <c r="B2249" s="1" t="n">
        <v>45594</v>
      </c>
      <c r="C2249" s="1" t="n">
        <v>46196</v>
      </c>
      <c r="D2249" t="inlineStr">
        <is>
          <t>BLEKINGE LÄN</t>
        </is>
      </c>
      <c r="E2249" t="inlineStr">
        <is>
          <t>KARLSKRONA</t>
        </is>
      </c>
      <c r="G2249" t="n">
        <v>7.6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40357-2024</t>
        </is>
      </c>
      <c r="B2250" s="1" t="n">
        <v>45555</v>
      </c>
      <c r="C2250" s="1" t="n">
        <v>46196</v>
      </c>
      <c r="D2250" t="inlineStr">
        <is>
          <t>BLEKINGE LÄN</t>
        </is>
      </c>
      <c r="E2250" t="inlineStr">
        <is>
          <t>KARLSKRONA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7252-2024</t>
        </is>
      </c>
      <c r="B2251" s="1" t="n">
        <v>45344</v>
      </c>
      <c r="C2251" s="1" t="n">
        <v>46196</v>
      </c>
      <c r="D2251" t="inlineStr">
        <is>
          <t>BLEKINGE LÄN</t>
        </is>
      </c>
      <c r="E2251" t="inlineStr">
        <is>
          <t>KARLSKRONA</t>
        </is>
      </c>
      <c r="F2251" t="inlineStr">
        <is>
          <t>Kommuner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5227-2025</t>
        </is>
      </c>
      <c r="B2252" s="1" t="n">
        <v>45691</v>
      </c>
      <c r="C2252" s="1" t="n">
        <v>46196</v>
      </c>
      <c r="D2252" t="inlineStr">
        <is>
          <t>BLEKINGE LÄN</t>
        </is>
      </c>
      <c r="E2252" t="inlineStr">
        <is>
          <t>RONNEBY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5805-2025</t>
        </is>
      </c>
      <c r="B2253" s="1" t="n">
        <v>45694</v>
      </c>
      <c r="C2253" s="1" t="n">
        <v>46196</v>
      </c>
      <c r="D2253" t="inlineStr">
        <is>
          <t>BLEKINGE LÄN</t>
        </is>
      </c>
      <c r="E2253" t="inlineStr">
        <is>
          <t>OLOFSTRÖM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31021-2024</t>
        </is>
      </c>
      <c r="B2254" s="1" t="n">
        <v>45499</v>
      </c>
      <c r="C2254" s="1" t="n">
        <v>46196</v>
      </c>
      <c r="D2254" t="inlineStr">
        <is>
          <t>BLEKINGE LÄN</t>
        </is>
      </c>
      <c r="E2254" t="inlineStr">
        <is>
          <t>KARLSKRONA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14429-2024</t>
        </is>
      </c>
      <c r="B2255" s="1" t="n">
        <v>45394</v>
      </c>
      <c r="C2255" s="1" t="n">
        <v>46196</v>
      </c>
      <c r="D2255" t="inlineStr">
        <is>
          <t>BLEKINGE LÄN</t>
        </is>
      </c>
      <c r="E2255" t="inlineStr">
        <is>
          <t>RONNEBY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52279-2024</t>
        </is>
      </c>
      <c r="B2256" s="1" t="n">
        <v>45608</v>
      </c>
      <c r="C2256" s="1" t="n">
        <v>46196</v>
      </c>
      <c r="D2256" t="inlineStr">
        <is>
          <t>BLEKINGE LÄN</t>
        </is>
      </c>
      <c r="E2256" t="inlineStr">
        <is>
          <t>RONNEBY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6741-2023</t>
        </is>
      </c>
      <c r="B2257" s="1" t="n">
        <v>44966</v>
      </c>
      <c r="C2257" s="1" t="n">
        <v>46196</v>
      </c>
      <c r="D2257" t="inlineStr">
        <is>
          <t>BLEKINGE LÄN</t>
        </is>
      </c>
      <c r="E2257" t="inlineStr">
        <is>
          <t>RONNEBY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11411-2024</t>
        </is>
      </c>
      <c r="B2258" s="1" t="n">
        <v>45372</v>
      </c>
      <c r="C2258" s="1" t="n">
        <v>46196</v>
      </c>
      <c r="D2258" t="inlineStr">
        <is>
          <t>BLEKINGE LÄN</t>
        </is>
      </c>
      <c r="E2258" t="inlineStr">
        <is>
          <t>KARLSKRONA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29077-2023</t>
        </is>
      </c>
      <c r="B2259" s="1" t="n">
        <v>45104</v>
      </c>
      <c r="C2259" s="1" t="n">
        <v>46196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10.2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17073-2024</t>
        </is>
      </c>
      <c r="B2260" s="1" t="n">
        <v>45412</v>
      </c>
      <c r="C2260" s="1" t="n">
        <v>46196</v>
      </c>
      <c r="D2260" t="inlineStr">
        <is>
          <t>BLEKINGE LÄN</t>
        </is>
      </c>
      <c r="E2260" t="inlineStr">
        <is>
          <t>KARLSHAMN</t>
        </is>
      </c>
      <c r="F2260" t="inlineStr">
        <is>
          <t>Kyrkan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31122-2024</t>
        </is>
      </c>
      <c r="B2261" s="1" t="n">
        <v>45502</v>
      </c>
      <c r="C2261" s="1" t="n">
        <v>46196</v>
      </c>
      <c r="D2261" t="inlineStr">
        <is>
          <t>BLEKINGE LÄN</t>
        </is>
      </c>
      <c r="E2261" t="inlineStr">
        <is>
          <t>RONNEBY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44425-2024</t>
        </is>
      </c>
      <c r="B2262" s="1" t="n">
        <v>45573</v>
      </c>
      <c r="C2262" s="1" t="n">
        <v>46196</v>
      </c>
      <c r="D2262" t="inlineStr">
        <is>
          <t>BLEKINGE LÄN</t>
        </is>
      </c>
      <c r="E2262" t="inlineStr">
        <is>
          <t>KARLSKRONA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55270-2024</t>
        </is>
      </c>
      <c r="B2263" s="1" t="n">
        <v>45621</v>
      </c>
      <c r="C2263" s="1" t="n">
        <v>46196</v>
      </c>
      <c r="D2263" t="inlineStr">
        <is>
          <t>BLEKINGE LÄN</t>
        </is>
      </c>
      <c r="E2263" t="inlineStr">
        <is>
          <t>KARLSKRONA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37400-2021</t>
        </is>
      </c>
      <c r="B2264" s="1" t="n">
        <v>44398</v>
      </c>
      <c r="C2264" s="1" t="n">
        <v>46196</v>
      </c>
      <c r="D2264" t="inlineStr">
        <is>
          <t>BLEKINGE LÄN</t>
        </is>
      </c>
      <c r="E2264" t="inlineStr">
        <is>
          <t>KARLSKRONA</t>
        </is>
      </c>
      <c r="G2264" t="n">
        <v>23.4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21546-2025</t>
        </is>
      </c>
      <c r="B2265" s="1" t="n">
        <v>45782</v>
      </c>
      <c r="C2265" s="1" t="n">
        <v>46196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21399-2025</t>
        </is>
      </c>
      <c r="B2266" s="1" t="n">
        <v>45782</v>
      </c>
      <c r="C2266" s="1" t="n">
        <v>46196</v>
      </c>
      <c r="D2266" t="inlineStr">
        <is>
          <t>BLEKINGE LÄN</t>
        </is>
      </c>
      <c r="E2266" t="inlineStr">
        <is>
          <t>KARLSHAMN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21464-2025</t>
        </is>
      </c>
      <c r="B2267" s="1" t="n">
        <v>45782</v>
      </c>
      <c r="C2267" s="1" t="n">
        <v>46196</v>
      </c>
      <c r="D2267" t="inlineStr">
        <is>
          <t>BLEKINGE LÄN</t>
        </is>
      </c>
      <c r="E2267" t="inlineStr">
        <is>
          <t>SÖLVESBORG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21606-2025</t>
        </is>
      </c>
      <c r="B2268" s="1" t="n">
        <v>45783</v>
      </c>
      <c r="C2268" s="1" t="n">
        <v>46196</v>
      </c>
      <c r="D2268" t="inlineStr">
        <is>
          <t>BLEKINGE LÄN</t>
        </is>
      </c>
      <c r="E2268" t="inlineStr">
        <is>
          <t>KARLSKRONA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>
      <c r="A2269" t="inlineStr">
        <is>
          <t>A 21648-2025</t>
        </is>
      </c>
      <c r="B2269" s="1" t="n">
        <v>45783</v>
      </c>
      <c r="C2269" s="1" t="n">
        <v>46196</v>
      </c>
      <c r="D2269" t="inlineStr">
        <is>
          <t>BLEKINGE LÄN</t>
        </is>
      </c>
      <c r="E2269" t="inlineStr">
        <is>
          <t>KARLSKRONA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2026-06-23T04:31:36Z</dcterms:created>
  <dcterms:modified xmlns:dcterms="http://purl.org/dc/terms/" xmlns:xsi="http://www.w3.org/2001/XMLSchema-instance" xsi:type="dcterms:W3CDTF">2026-06-23T04:31:38Z</dcterms:modified>
</cp:coreProperties>
</file>