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46248</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46248</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46248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46248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46248</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46248</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46248</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46248</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46248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46248</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46248</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40701-2023</t>
        </is>
      </c>
      <c r="B14" t="inlineStr">
        <is>
          <t>avverkningsanmälan</t>
        </is>
      </c>
      <c r="C14" t="inlineStr">
        <is>
          <t>Föryngringsavverkning</t>
        </is>
      </c>
      <c r="D14" s="1" t="n">
        <v>45170</v>
      </c>
      <c r="E14" s="1" t="n">
        <v>46248</v>
      </c>
      <c r="F14" t="inlineStr">
        <is>
          <t>BLEKINGE LÄN</t>
        </is>
      </c>
      <c r="G14" t="inlineStr">
        <is>
          <t>KARLSHAMN</t>
        </is>
      </c>
      <c r="I14" t="n">
        <v>3.3</v>
      </c>
      <c r="J14" t="n">
        <v>0</v>
      </c>
      <c r="K14" t="n">
        <v>2</v>
      </c>
      <c r="L14" t="n">
        <v>3</v>
      </c>
      <c r="M14" t="n">
        <v>0</v>
      </c>
      <c r="N14" t="n">
        <v>1</v>
      </c>
      <c r="O14" t="n">
        <v>0</v>
      </c>
      <c r="P14" t="n">
        <v>0</v>
      </c>
      <c r="Q14" t="n">
        <v>4</v>
      </c>
      <c r="R14" t="n">
        <v>1</v>
      </c>
      <c r="S14" t="n">
        <v>6</v>
      </c>
      <c r="T14" t="n">
        <v>6</v>
      </c>
      <c r="U14" t="n">
        <v>0</v>
      </c>
      <c r="V14" s="2" t="inlineStr">
        <is>
          <t>Ask
Gammelekslav
Oxtungssvamp
Skuggorangelav
Grå skärelav
Platt fjädermossa</t>
        </is>
      </c>
      <c r="W14">
        <f>HYPERLINK("https://klasma.github.io/Logging_1082/artfynd/A 40701-2023 artfynd.xlsx", "A 40701-2023")</f>
        <v/>
      </c>
      <c r="X14">
        <f>HYPERLINK("https://klasma.github.io/Logging_1082/kartor/A 40701-2023 karta.png", "A 40701-2023")</f>
        <v/>
      </c>
      <c r="Y14">
        <f>HYPERLINK("https://klasma.github.io/Logging_1082/kartor_geotiff/A 40701-2023 georefererad karta.tif", "A 40701-2023")</f>
        <v/>
      </c>
      <c r="AA14">
        <f>HYPERLINK("https://klasma.github.io/Logging_1082/klagomål/A 40701-2023 FSC-klagomål.docx", "A 40701-2023")</f>
        <v/>
      </c>
      <c r="AB14">
        <f>HYPERLINK("https://klasma.github.io/Logging_1082/klagomålsmail/A 40701-2023 FSC-klagomål mail.docx", "A 40701-2023")</f>
        <v/>
      </c>
      <c r="AC14">
        <f>HYPERLINK("https://klasma.github.io/Logging_1082/tillsyn/A 40701-2023 tillsynsbegäran.docx", "A 40701-2023")</f>
        <v/>
      </c>
      <c r="AD14">
        <f>HYPERLINK("https://klasma.github.io/Logging_1082/tillsynsmail/A 40701-2023 tillsynsbegäran mail.docx", "A 40701-2023")</f>
        <v/>
      </c>
    </row>
    <row r="15" ht="15" customHeight="1">
      <c r="A15" t="inlineStr">
        <is>
          <t>A 21911-2026</t>
        </is>
      </c>
      <c r="B15" t="inlineStr">
        <is>
          <t>avverkningsanmälan</t>
        </is>
      </c>
      <c r="C15" t="inlineStr">
        <is>
          <t>Föryngringsavverkning</t>
        </is>
      </c>
      <c r="D15" s="1" t="n">
        <v>46150</v>
      </c>
      <c r="E15" s="1" t="n">
        <v>46248</v>
      </c>
      <c r="F15" t="inlineStr">
        <is>
          <t>BLEKINGE LÄN</t>
        </is>
      </c>
      <c r="G15" t="inlineStr">
        <is>
          <t>KARLSHAMN</t>
        </is>
      </c>
      <c r="I15" t="n">
        <v>6.5</v>
      </c>
      <c r="J15" t="n">
        <v>1</v>
      </c>
      <c r="K15" t="n">
        <v>5</v>
      </c>
      <c r="L15" t="n">
        <v>0</v>
      </c>
      <c r="M15" t="n">
        <v>0</v>
      </c>
      <c r="N15" t="n">
        <v>0</v>
      </c>
      <c r="O15" t="n">
        <v>0</v>
      </c>
      <c r="P15" t="n">
        <v>0</v>
      </c>
      <c r="Q15" t="n">
        <v>0</v>
      </c>
      <c r="R15" t="n">
        <v>0</v>
      </c>
      <c r="S15" t="n">
        <v>6</v>
      </c>
      <c r="T15" t="n">
        <v>6</v>
      </c>
      <c r="U15" t="n">
        <v>0</v>
      </c>
      <c r="V15" s="2" t="inlineStr">
        <is>
          <t>Liten stinksvamp
Lömsk flugsvamp
Murgröna
Myskmadra
Rutkremla
Blåsippa</t>
        </is>
      </c>
      <c r="W15">
        <f>HYPERLINK("https://klasma.github.io/Logging_1082/artfynd/A 21911-2026 artfynd.xlsx", "A 21911-2026")</f>
        <v/>
      </c>
      <c r="X15">
        <f>HYPERLINK("https://klasma.github.io/Logging_1082/kartor/A 21911-2026 karta.png", "A 21911-2026")</f>
        <v/>
      </c>
      <c r="Y15">
        <f>HYPERLINK("https://klasma.github.io/Logging_1082/kartor_geotiff/A 21911-2026 georefererad karta.tif", "A 21911-2026")</f>
        <v/>
      </c>
      <c r="AA15">
        <f>HYPERLINK("https://klasma.github.io/Logging_1082/klagomål/A 21911-2026 FSC-klagomål.docx", "A 21911-2026")</f>
        <v/>
      </c>
      <c r="AB15">
        <f>HYPERLINK("https://klasma.github.io/Logging_1082/klagomålsmail/A 21911-2026 FSC-klagomål mail.docx", "A 21911-2026")</f>
        <v/>
      </c>
      <c r="AC15">
        <f>HYPERLINK("https://klasma.github.io/Logging_1082/tillsyn/A 21911-2026 tillsynsbegäran.docx", "A 21911-2026")</f>
        <v/>
      </c>
      <c r="AD15">
        <f>HYPERLINK("https://klasma.github.io/Logging_1082/tillsynsmail/A 21911-2026 tillsynsbegäran mail.docx", "A 21911-2026")</f>
        <v/>
      </c>
    </row>
    <row r="16" ht="15" customHeight="1">
      <c r="A16" t="inlineStr">
        <is>
          <t>A 31276-2026</t>
        </is>
      </c>
      <c r="B16" t="inlineStr">
        <is>
          <t>avverkningsanmälan</t>
        </is>
      </c>
      <c r="C16" t="inlineStr">
        <is>
          <t>Föryngringsavverkning</t>
        </is>
      </c>
      <c r="D16" s="1" t="n">
        <v>46218</v>
      </c>
      <c r="E16" s="1" t="n">
        <v>46248</v>
      </c>
      <c r="F16" t="inlineStr">
        <is>
          <t>BLEKINGE LÄN</t>
        </is>
      </c>
      <c r="G16" t="inlineStr">
        <is>
          <t>KARLSHAMN</t>
        </is>
      </c>
      <c r="I16" t="n">
        <v>2.8</v>
      </c>
      <c r="J16" t="n">
        <v>0</v>
      </c>
      <c r="K16" t="n">
        <v>4</v>
      </c>
      <c r="L16" t="n">
        <v>2</v>
      </c>
      <c r="M16" t="n">
        <v>0</v>
      </c>
      <c r="N16" t="n">
        <v>0</v>
      </c>
      <c r="O16" t="n">
        <v>0</v>
      </c>
      <c r="P16" t="n">
        <v>0</v>
      </c>
      <c r="Q16" t="n">
        <v>2</v>
      </c>
      <c r="R16" t="n">
        <v>0</v>
      </c>
      <c r="S16" t="n">
        <v>6</v>
      </c>
      <c r="T16" t="n">
        <v>10</v>
      </c>
      <c r="U16" t="n">
        <v>0</v>
      </c>
      <c r="V16" s="2" t="inlineStr">
        <is>
          <t>Brunpudrad nållav
Kortskaftad ärgspik
Brandticka
Klippfrullania
Kornknutmossa
Skuggmossa</t>
        </is>
      </c>
      <c r="W16">
        <f>HYPERLINK("https://klasma.github.io/Logging_1082/artfynd/A 31276-2026 artfynd.xlsx", "A 31276-2026")</f>
        <v/>
      </c>
      <c r="X16">
        <f>HYPERLINK("https://klasma.github.io/Logging_1082/kartor/A 31276-2026 karta.png", "A 31276-2026")</f>
        <v/>
      </c>
      <c r="Y16">
        <f>HYPERLINK("https://klasma.github.io/Logging_1082/kartor_geotiff/A 31276-2026 georefererad karta.tif", "A 31276-2026")</f>
        <v/>
      </c>
      <c r="AA16">
        <f>HYPERLINK("https://klasma.github.io/Logging_1082/klagomål/A 31276-2026 FSC-klagomål.docx", "A 31276-2026")</f>
        <v/>
      </c>
      <c r="AB16">
        <f>HYPERLINK("https://klasma.github.io/Logging_1082/klagomålsmail/A 31276-2026 FSC-klagomål mail.docx", "A 31276-2026")</f>
        <v/>
      </c>
      <c r="AC16">
        <f>HYPERLINK("https://klasma.github.io/Logging_1082/tillsyn/A 31276-2026 tillsynsbegäran.docx", "A 31276-2026")</f>
        <v/>
      </c>
      <c r="AD16">
        <f>HYPERLINK("https://klasma.github.io/Logging_1082/tillsynsmail/A 31276-2026 tillsynsbegäran mail.docx", "A 31276-2026")</f>
        <v/>
      </c>
    </row>
    <row r="17" ht="15" customHeight="1">
      <c r="A17" t="inlineStr">
        <is>
          <t>A 61166-2025</t>
        </is>
      </c>
      <c r="B17" t="inlineStr">
        <is>
          <t>avverkningsanmälan</t>
        </is>
      </c>
      <c r="C17" t="inlineStr">
        <is>
          <t>Avverkning för annat ändamål</t>
        </is>
      </c>
      <c r="D17" s="1" t="n">
        <v>45999</v>
      </c>
      <c r="E17" s="1" t="n">
        <v>46248</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46248</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S 1893-2020</t>
        </is>
      </c>
      <c r="B19" t="inlineStr">
        <is>
          <t>samrådsanmälan</t>
        </is>
      </c>
      <c r="C19" t="inlineStr">
        <is>
          <t>Åtgärd i nyckelbiotop</t>
        </is>
      </c>
      <c r="D19" s="1" t="n">
        <v>44077</v>
      </c>
      <c r="E19" s="1" t="n">
        <v>46248</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46248</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46248</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46248</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46248</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46248</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26956-2023</t>
        </is>
      </c>
      <c r="B25" t="inlineStr">
        <is>
          <t>avverkningsanmälan</t>
        </is>
      </c>
      <c r="C25" t="inlineStr">
        <is>
          <t>Föryngringsavverkning</t>
        </is>
      </c>
      <c r="D25" s="1" t="n">
        <v>45093</v>
      </c>
      <c r="E25" s="1" t="n">
        <v>46248</v>
      </c>
      <c r="F25" t="inlineStr">
        <is>
          <t>BLEKINGE LÄN</t>
        </is>
      </c>
      <c r="G25" t="inlineStr">
        <is>
          <t>RONNEBY</t>
        </is>
      </c>
      <c r="I25" t="n">
        <v>5.1</v>
      </c>
      <c r="J25" t="n">
        <v>3</v>
      </c>
      <c r="K25" t="n">
        <v>1</v>
      </c>
      <c r="L25" t="n">
        <v>2</v>
      </c>
      <c r="M25" t="n">
        <v>1</v>
      </c>
      <c r="N25" t="n">
        <v>0</v>
      </c>
      <c r="O25" t="n">
        <v>0</v>
      </c>
      <c r="P25" t="n">
        <v>0</v>
      </c>
      <c r="Q25" t="n">
        <v>3</v>
      </c>
      <c r="R25" t="n">
        <v>1</v>
      </c>
      <c r="S25" t="n">
        <v>5</v>
      </c>
      <c r="T25" t="n">
        <v>7</v>
      </c>
      <c r="U25" t="n">
        <v>6</v>
      </c>
      <c r="V25" s="2" t="inlineStr">
        <is>
          <t>Sandödla
Grönhjon
Molnfläcksbock
Ekoxe
Blåsippa</t>
        </is>
      </c>
      <c r="W25">
        <f>HYPERLINK("https://klasma.github.io/Logging_1081/artfynd/A 26956-2023 artfynd.xlsx", "A 26956-2023")</f>
        <v/>
      </c>
      <c r="X25">
        <f>HYPERLINK("https://klasma.github.io/Logging_1081/kartor/A 26956-2023 karta.png", "A 26956-2023")</f>
        <v/>
      </c>
      <c r="Y25">
        <f>HYPERLINK("https://klasma.github.io/Logging_1081/kartor_geotiff/A 26956-2023 georefererad karta.tif", "A 26956-2023")</f>
        <v/>
      </c>
      <c r="AA25">
        <f>HYPERLINK("https://klasma.github.io/Logging_1081/klagomål/A 26956-2023 FSC-klagomål.docx", "A 26956-2023")</f>
        <v/>
      </c>
      <c r="AB25">
        <f>HYPERLINK("https://klasma.github.io/Logging_1081/klagomålsmail/A 26956-2023 FSC-klagomål mail.docx", "A 26956-2023")</f>
        <v/>
      </c>
      <c r="AC25">
        <f>HYPERLINK("https://klasma.github.io/Logging_1081/tillsyn/A 26956-2023 tillsynsbegäran.docx", "A 26956-2023")</f>
        <v/>
      </c>
      <c r="AD25">
        <f>HYPERLINK("https://klasma.github.io/Logging_1081/tillsynsmail/A 26956-2023 tillsynsbegäran mail.docx", "A 26956-2023")</f>
        <v/>
      </c>
    </row>
    <row r="26" ht="15" customHeight="1">
      <c r="A26" t="inlineStr">
        <is>
          <t>A 2368-2024</t>
        </is>
      </c>
      <c r="B26" t="inlineStr">
        <is>
          <t>avverkningsanmälan</t>
        </is>
      </c>
      <c r="C26" t="inlineStr">
        <is>
          <t>Föryngringsavverkning</t>
        </is>
      </c>
      <c r="D26" s="1" t="n">
        <v>45310</v>
      </c>
      <c r="E26" s="1" t="n">
        <v>46248</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11819-2024</t>
        </is>
      </c>
      <c r="B27" t="inlineStr">
        <is>
          <t>avverkningsanmälan</t>
        </is>
      </c>
      <c r="C27" t="inlineStr">
        <is>
          <t>Avverkning för annat ändamål</t>
        </is>
      </c>
      <c r="D27" s="1" t="n">
        <v>45376</v>
      </c>
      <c r="E27" s="1" t="n">
        <v>46248</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28588-2023</t>
        </is>
      </c>
      <c r="B28" t="inlineStr">
        <is>
          <t>avverkningsanmälan</t>
        </is>
      </c>
      <c r="C28" t="inlineStr">
        <is>
          <t>Föryngringsavverkning</t>
        </is>
      </c>
      <c r="D28" s="1" t="n">
        <v>45103</v>
      </c>
      <c r="E28" s="1" t="n">
        <v>46248</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27128-2024</t>
        </is>
      </c>
      <c r="B29" t="inlineStr">
        <is>
          <t>avverkningsanmälan</t>
        </is>
      </c>
      <c r="C29" t="inlineStr">
        <is>
          <t>Föryngringsavverkning</t>
        </is>
      </c>
      <c r="D29" s="1" t="n">
        <v>45471</v>
      </c>
      <c r="E29" s="1" t="n">
        <v>46248</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37860-2025</t>
        </is>
      </c>
      <c r="B30" t="inlineStr">
        <is>
          <t>avverkningsanmälan</t>
        </is>
      </c>
      <c r="C30" t="inlineStr">
        <is>
          <t>Föryngringsavverkning</t>
        </is>
      </c>
      <c r="D30" s="1" t="n">
        <v>45881</v>
      </c>
      <c r="E30" s="1" t="n">
        <v>46248</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46248</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46248</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46248</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46248</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30508-2022</t>
        </is>
      </c>
      <c r="B35" t="inlineStr">
        <is>
          <t>avverkningsanmälan</t>
        </is>
      </c>
      <c r="C35" t="inlineStr">
        <is>
          <t>Föryngringsavverkning</t>
        </is>
      </c>
      <c r="D35" s="1" t="n">
        <v>44762</v>
      </c>
      <c r="E35" s="1" t="n">
        <v>46248</v>
      </c>
      <c r="F35" t="inlineStr">
        <is>
          <t>BLEKINGE LÄN</t>
        </is>
      </c>
      <c r="G35" t="inlineStr">
        <is>
          <t>RONNEBY</t>
        </is>
      </c>
      <c r="H35" t="inlineStr">
        <is>
          <t>Övriga Aktiebolag</t>
        </is>
      </c>
      <c r="I35" t="n">
        <v>6.7</v>
      </c>
      <c r="J35" t="n">
        <v>1</v>
      </c>
      <c r="K35" t="n">
        <v>2</v>
      </c>
      <c r="L35" t="n">
        <v>1</v>
      </c>
      <c r="M35" t="n">
        <v>0</v>
      </c>
      <c r="N35" t="n">
        <v>0</v>
      </c>
      <c r="O35" t="n">
        <v>0</v>
      </c>
      <c r="P35" t="n">
        <v>0</v>
      </c>
      <c r="Q35" t="n">
        <v>1</v>
      </c>
      <c r="R35" t="n">
        <v>0</v>
      </c>
      <c r="S35" t="n">
        <v>4</v>
      </c>
      <c r="T35" t="n">
        <v>5</v>
      </c>
      <c r="U35" t="n">
        <v>0</v>
      </c>
      <c r="V35" s="2" t="inlineStr">
        <is>
          <t>Puderfläck
Fällmossa
Rostfläck
Blåsippa</t>
        </is>
      </c>
      <c r="W35">
        <f>HYPERLINK("https://klasma.github.io/Logging_1081/artfynd/A 30508-2022 artfynd.xlsx", "A 30508-2022")</f>
        <v/>
      </c>
      <c r="X35">
        <f>HYPERLINK("https://klasma.github.io/Logging_1081/kartor/A 30508-2022 karta.png", "A 30508-2022")</f>
        <v/>
      </c>
      <c r="Y35">
        <f>HYPERLINK("https://klasma.github.io/Logging_1081/kartor_geotiff/A 30508-2022 georefererad karta.tif", "A 30508-2022")</f>
        <v/>
      </c>
      <c r="AA35">
        <f>HYPERLINK("https://klasma.github.io/Logging_1081/klagomål/A 30508-2022 FSC-klagomål.docx", "A 30508-2022")</f>
        <v/>
      </c>
      <c r="AB35">
        <f>HYPERLINK("https://klasma.github.io/Logging_1081/klagomålsmail/A 30508-2022 FSC-klagomål mail.docx", "A 30508-2022")</f>
        <v/>
      </c>
      <c r="AC35">
        <f>HYPERLINK("https://klasma.github.io/Logging_1081/tillsyn/A 30508-2022 tillsynsbegäran.docx", "A 30508-2022")</f>
        <v/>
      </c>
      <c r="AD35">
        <f>HYPERLINK("https://klasma.github.io/Logging_1081/tillsynsmail/A 30508-2022 tillsynsbegäran mail.docx", "A 30508-2022")</f>
        <v/>
      </c>
    </row>
    <row r="36" ht="15" customHeight="1">
      <c r="A36" t="inlineStr">
        <is>
          <t>A 46168-2021</t>
        </is>
      </c>
      <c r="B36" t="inlineStr">
        <is>
          <t>avverkningsanmälan</t>
        </is>
      </c>
      <c r="C36" t="inlineStr">
        <is>
          <t>Föryngringsavverkning</t>
        </is>
      </c>
      <c r="D36" s="1" t="n">
        <v>44442</v>
      </c>
      <c r="E36" s="1" t="n">
        <v>46248</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43789-2023</t>
        </is>
      </c>
      <c r="B37" t="inlineStr">
        <is>
          <t>avverkningsanmälan</t>
        </is>
      </c>
      <c r="C37" t="inlineStr">
        <is>
          <t>Föryngringsavverkning</t>
        </is>
      </c>
      <c r="D37" s="1" t="n">
        <v>45187</v>
      </c>
      <c r="E37" s="1" t="n">
        <v>46248</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48900-2024</t>
        </is>
      </c>
      <c r="B38" t="inlineStr">
        <is>
          <t>avverkningsanmälan</t>
        </is>
      </c>
      <c r="C38" t="inlineStr">
        <is>
          <t>Föryngringsavverkning</t>
        </is>
      </c>
      <c r="D38" s="1" t="n">
        <v>45594</v>
      </c>
      <c r="E38" s="1" t="n">
        <v>46248</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45017-2025</t>
        </is>
      </c>
      <c r="B39" t="inlineStr">
        <is>
          <t>avverkningsanmälan</t>
        </is>
      </c>
      <c r="C39" t="inlineStr">
        <is>
          <t>Föryngringsavverkning</t>
        </is>
      </c>
      <c r="D39" s="1" t="n">
        <v>45918</v>
      </c>
      <c r="E39" s="1" t="n">
        <v>46248</v>
      </c>
      <c r="F39" t="inlineStr">
        <is>
          <t>BLEKINGE LÄN</t>
        </is>
      </c>
      <c r="G39" t="inlineStr">
        <is>
          <t>KARLSKRONA</t>
        </is>
      </c>
      <c r="I39" t="n">
        <v>3.7</v>
      </c>
      <c r="J39" t="n">
        <v>2</v>
      </c>
      <c r="K39" t="n">
        <v>0</v>
      </c>
      <c r="L39" t="n">
        <v>2</v>
      </c>
      <c r="M39" t="n">
        <v>0</v>
      </c>
      <c r="N39" t="n">
        <v>0</v>
      </c>
      <c r="O39" t="n">
        <v>0</v>
      </c>
      <c r="P39" t="n">
        <v>0</v>
      </c>
      <c r="Q39" t="n">
        <v>2</v>
      </c>
      <c r="R39" t="n">
        <v>0</v>
      </c>
      <c r="S39" t="n">
        <v>4</v>
      </c>
      <c r="T39" t="n">
        <v>4</v>
      </c>
      <c r="U39" t="n">
        <v>0</v>
      </c>
      <c r="V39" s="2" t="inlineStr">
        <is>
          <t>Jungfrulin
Solvända
Större vattensalamander
Fläcknycklar</t>
        </is>
      </c>
      <c r="W39">
        <f>HYPERLINK("https://klasma.github.io/Logging_1080/artfynd/A 45017-2025 artfynd.xlsx", "A 45017-2025")</f>
        <v/>
      </c>
      <c r="X39">
        <f>HYPERLINK("https://klasma.github.io/Logging_1080/kartor/A 45017-2025 karta.png", "A 45017-2025")</f>
        <v/>
      </c>
      <c r="Y39">
        <f>HYPERLINK("https://klasma.github.io/Logging_1080/kartor_geotiff/A 45017-2025 georefererad karta.tif", "A 45017-2025")</f>
        <v/>
      </c>
      <c r="AA39">
        <f>HYPERLINK("https://klasma.github.io/Logging_1080/klagomål/A 45017-2025 FSC-klagomål.docx", "A 45017-2025")</f>
        <v/>
      </c>
      <c r="AB39">
        <f>HYPERLINK("https://klasma.github.io/Logging_1080/klagomålsmail/A 45017-2025 FSC-klagomål mail.docx", "A 45017-2025")</f>
        <v/>
      </c>
      <c r="AC39">
        <f>HYPERLINK("https://klasma.github.io/Logging_1080/tillsyn/A 45017-2025 tillsynsbegäran.docx", "A 45017-2025")</f>
        <v/>
      </c>
      <c r="AD39">
        <f>HYPERLINK("https://klasma.github.io/Logging_1080/tillsynsmail/A 45017-2025 tillsynsbegäran mail.docx", "A 45017-2025")</f>
        <v/>
      </c>
    </row>
    <row r="40" ht="15" customHeight="1">
      <c r="A40" t="inlineStr">
        <is>
          <t>A 16312-2026</t>
        </is>
      </c>
      <c r="B40" t="inlineStr">
        <is>
          <t>avverkningsanmälan</t>
        </is>
      </c>
      <c r="C40" t="inlineStr">
        <is>
          <t>Föryngringsavverkning</t>
        </is>
      </c>
      <c r="D40" s="1" t="n">
        <v>46111</v>
      </c>
      <c r="E40" s="1" t="n">
        <v>46248</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59134-2025</t>
        </is>
      </c>
      <c r="B41" t="inlineStr">
        <is>
          <t>avverkningsanmälan</t>
        </is>
      </c>
      <c r="C41" t="inlineStr">
        <is>
          <t>Föryngringsavverkning</t>
        </is>
      </c>
      <c r="D41" s="1" t="n">
        <v>45988</v>
      </c>
      <c r="E41" s="1" t="n">
        <v>46248</v>
      </c>
      <c r="F41" t="inlineStr">
        <is>
          <t>BLEKINGE LÄN</t>
        </is>
      </c>
      <c r="G41" t="inlineStr">
        <is>
          <t>KARLSKRONA</t>
        </is>
      </c>
      <c r="I41" t="n">
        <v>0.4</v>
      </c>
      <c r="J41" t="n">
        <v>0</v>
      </c>
      <c r="K41" t="n">
        <v>4</v>
      </c>
      <c r="L41" t="n">
        <v>0</v>
      </c>
      <c r="M41" t="n">
        <v>0</v>
      </c>
      <c r="N41" t="n">
        <v>0</v>
      </c>
      <c r="O41" t="n">
        <v>0</v>
      </c>
      <c r="P41" t="n">
        <v>0</v>
      </c>
      <c r="Q41" t="n">
        <v>0</v>
      </c>
      <c r="R41" t="n">
        <v>0</v>
      </c>
      <c r="S41" t="n">
        <v>4</v>
      </c>
      <c r="T41" t="n">
        <v>4</v>
      </c>
      <c r="U41" t="n">
        <v>0</v>
      </c>
      <c r="V41" s="2" t="inlineStr">
        <is>
          <t>Fällmossa
Guldlockmossa
Havstulpanlav
Platt fjädermossa</t>
        </is>
      </c>
      <c r="W41">
        <f>HYPERLINK("https://klasma.github.io/Logging_1080/artfynd/A 59134-2025 artfynd.xlsx", "A 59134-2025")</f>
        <v/>
      </c>
      <c r="X41">
        <f>HYPERLINK("https://klasma.github.io/Logging_1080/kartor/A 59134-2025 karta.png", "A 59134-2025")</f>
        <v/>
      </c>
      <c r="Y41">
        <f>HYPERLINK("https://klasma.github.io/Logging_1080/kartor_geotiff/A 59134-2025 georefererad karta.tif", "A 59134-2025")</f>
        <v/>
      </c>
      <c r="AA41">
        <f>HYPERLINK("https://klasma.github.io/Logging_1080/klagomål/A 59134-2025 FSC-klagomål.docx", "A 59134-2025")</f>
        <v/>
      </c>
      <c r="AB41">
        <f>HYPERLINK("https://klasma.github.io/Logging_1080/klagomålsmail/A 59134-2025 FSC-klagomål mail.docx", "A 59134-2025")</f>
        <v/>
      </c>
      <c r="AC41">
        <f>HYPERLINK("https://klasma.github.io/Logging_1080/tillsyn/A 59134-2025 tillsynsbegäran.docx", "A 59134-2025")</f>
        <v/>
      </c>
      <c r="AD41">
        <f>HYPERLINK("https://klasma.github.io/Logging_1080/tillsynsmail/A 59134-2025 tillsynsbegäran mail.docx", "A 59134-2025")</f>
        <v/>
      </c>
    </row>
    <row r="42" ht="15" customHeight="1">
      <c r="A42" t="inlineStr">
        <is>
          <t>A 42540-2025</t>
        </is>
      </c>
      <c r="B42" t="inlineStr">
        <is>
          <t>avverkningsanmälan</t>
        </is>
      </c>
      <c r="C42" t="inlineStr">
        <is>
          <t>Föryngringsavverkning</t>
        </is>
      </c>
      <c r="D42" s="1" t="n">
        <v>45905</v>
      </c>
      <c r="E42" s="1" t="n">
        <v>46248</v>
      </c>
      <c r="F42" t="inlineStr">
        <is>
          <t>BLEKINGE LÄN</t>
        </is>
      </c>
      <c r="G42" t="inlineStr">
        <is>
          <t>KARLSKRONA</t>
        </is>
      </c>
      <c r="H42" t="inlineStr">
        <is>
          <t>Kommuner</t>
        </is>
      </c>
      <c r="I42" t="n">
        <v>2.9</v>
      </c>
      <c r="J42" t="n">
        <v>1</v>
      </c>
      <c r="K42" t="n">
        <v>2</v>
      </c>
      <c r="L42" t="n">
        <v>0</v>
      </c>
      <c r="M42" t="n">
        <v>2</v>
      </c>
      <c r="N42" t="n">
        <v>0</v>
      </c>
      <c r="O42" t="n">
        <v>0</v>
      </c>
      <c r="P42" t="n">
        <v>0</v>
      </c>
      <c r="Q42" t="n">
        <v>2</v>
      </c>
      <c r="R42" t="n">
        <v>2</v>
      </c>
      <c r="S42" t="n">
        <v>4</v>
      </c>
      <c r="T42" t="n">
        <v>4</v>
      </c>
      <c r="U42" t="n">
        <v>1</v>
      </c>
      <c r="V42" s="2" t="inlineStr">
        <is>
          <t>Igelkott
Nötkörvel
Ekoxe
Fjällig jordtunga</t>
        </is>
      </c>
      <c r="W42">
        <f>HYPERLINK("https://klasma.github.io/Logging_1080/artfynd/A 42540-2025 artfynd.xlsx", "A 42540-2025")</f>
        <v/>
      </c>
      <c r="X42">
        <f>HYPERLINK("https://klasma.github.io/Logging_1080/kartor/A 42540-2025 karta.png", "A 42540-2025")</f>
        <v/>
      </c>
      <c r="Y42">
        <f>HYPERLINK("https://klasma.github.io/Logging_1080/kartor_geotiff/A 42540-2025 georefererad karta.tif", "A 42540-2025")</f>
        <v/>
      </c>
      <c r="AA42">
        <f>HYPERLINK("https://klasma.github.io/Logging_1080/klagomål/A 42540-2025 FSC-klagomål.docx", "A 42540-2025")</f>
        <v/>
      </c>
      <c r="AB42">
        <f>HYPERLINK("https://klasma.github.io/Logging_1080/klagomålsmail/A 42540-2025 FSC-klagomål mail.docx", "A 42540-2025")</f>
        <v/>
      </c>
      <c r="AC42">
        <f>HYPERLINK("https://klasma.github.io/Logging_1080/tillsyn/A 42540-2025 tillsynsbegäran.docx", "A 42540-2025")</f>
        <v/>
      </c>
      <c r="AD42">
        <f>HYPERLINK("https://klasma.github.io/Logging_1080/tillsynsmail/A 42540-2025 tillsynsbegäran mail.docx", "A 42540-2025")</f>
        <v/>
      </c>
    </row>
    <row r="43" ht="15" customHeight="1">
      <c r="A43" t="inlineStr">
        <is>
          <t>S 5776-2021</t>
        </is>
      </c>
      <c r="B43" t="inlineStr">
        <is>
          <t>samrådsanmälan</t>
        </is>
      </c>
      <c r="C43" t="inlineStr">
        <is>
          <t>Åtgärd i nyckelbiotop</t>
        </is>
      </c>
      <c r="D43" s="1" t="n">
        <v>44438</v>
      </c>
      <c r="E43" s="1" t="n">
        <v>46248</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46248</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46248</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46248</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46248</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46248</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46248</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41702-2021</t>
        </is>
      </c>
      <c r="B50" t="inlineStr">
        <is>
          <t>avverkningsanmälan</t>
        </is>
      </c>
      <c r="C50" t="inlineStr">
        <is>
          <t>Föryngringsavverkning</t>
        </is>
      </c>
      <c r="D50" s="1" t="n">
        <v>44425</v>
      </c>
      <c r="E50" s="1" t="n">
        <v>46248</v>
      </c>
      <c r="F50" t="inlineStr">
        <is>
          <t>BLEKINGE LÄN</t>
        </is>
      </c>
      <c r="G50" t="inlineStr">
        <is>
          <t>RONNEBY</t>
        </is>
      </c>
      <c r="I50" t="n">
        <v>1.6</v>
      </c>
      <c r="J50" t="n">
        <v>3</v>
      </c>
      <c r="K50" t="n">
        <v>0</v>
      </c>
      <c r="L50" t="n">
        <v>0</v>
      </c>
      <c r="M50" t="n">
        <v>1</v>
      </c>
      <c r="N50" t="n">
        <v>0</v>
      </c>
      <c r="O50" t="n">
        <v>0</v>
      </c>
      <c r="P50" t="n">
        <v>0</v>
      </c>
      <c r="Q50" t="n">
        <v>1</v>
      </c>
      <c r="R50" t="n">
        <v>1</v>
      </c>
      <c r="S50" t="n">
        <v>3</v>
      </c>
      <c r="T50" t="n">
        <v>6</v>
      </c>
      <c r="U50" t="n">
        <v>6</v>
      </c>
      <c r="V50" s="2" t="inlineStr">
        <is>
          <t>Sandödla
Huggorm
Skogsödla</t>
        </is>
      </c>
      <c r="W50">
        <f>HYPERLINK("https://klasma.github.io/Logging_1081/artfynd/A 41702-2021 artfynd.xlsx", "A 41702-2021")</f>
        <v/>
      </c>
      <c r="X50">
        <f>HYPERLINK("https://klasma.github.io/Logging_1081/kartor/A 41702-2021 karta.png", "A 41702-2021")</f>
        <v/>
      </c>
      <c r="Y50">
        <f>HYPERLINK("https://klasma.github.io/Logging_1081/kartor_geotiff/A 41702-2021 georefererad karta.tif", "A 41702-2021")</f>
        <v/>
      </c>
      <c r="AA50">
        <f>HYPERLINK("https://klasma.github.io/Logging_1081/klagomål/A 41702-2021 FSC-klagomål.docx", "A 41702-2021")</f>
        <v/>
      </c>
      <c r="AB50">
        <f>HYPERLINK("https://klasma.github.io/Logging_1081/klagomålsmail/A 41702-2021 FSC-klagomål mail.docx", "A 41702-2021")</f>
        <v/>
      </c>
      <c r="AC50">
        <f>HYPERLINK("https://klasma.github.io/Logging_1081/tillsyn/A 41702-2021 tillsynsbegäran.docx", "A 41702-2021")</f>
        <v/>
      </c>
      <c r="AD50">
        <f>HYPERLINK("https://klasma.github.io/Logging_1081/tillsynsmail/A 41702-2021 tillsynsbegäran mail.docx", "A 41702-2021")</f>
        <v/>
      </c>
    </row>
    <row r="51" ht="15" customHeight="1">
      <c r="A51" t="inlineStr">
        <is>
          <t>A 30531-2022</t>
        </is>
      </c>
      <c r="B51" t="inlineStr">
        <is>
          <t>avverkningsanmälan</t>
        </is>
      </c>
      <c r="C51" t="inlineStr">
        <is>
          <t>Föryngringsavverkning</t>
        </is>
      </c>
      <c r="D51" s="1" t="n">
        <v>44762</v>
      </c>
      <c r="E51" s="1" t="n">
        <v>46248</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33863-2023</t>
        </is>
      </c>
      <c r="B52" t="inlineStr">
        <is>
          <t>avverkningsanmälan</t>
        </is>
      </c>
      <c r="C52" t="inlineStr">
        <is>
          <t>Föryngringsavverkning</t>
        </is>
      </c>
      <c r="D52" s="1" t="n">
        <v>45133</v>
      </c>
      <c r="E52" s="1" t="n">
        <v>46248</v>
      </c>
      <c r="F52" t="inlineStr">
        <is>
          <t>BLEKINGE LÄN</t>
        </is>
      </c>
      <c r="G52" t="inlineStr">
        <is>
          <t>OLOFSTRÖM</t>
        </is>
      </c>
      <c r="I52" t="n">
        <v>6.4</v>
      </c>
      <c r="J52" t="n">
        <v>1</v>
      </c>
      <c r="K52" t="n">
        <v>0</v>
      </c>
      <c r="L52" t="n">
        <v>1</v>
      </c>
      <c r="M52" t="n">
        <v>0</v>
      </c>
      <c r="N52" t="n">
        <v>1</v>
      </c>
      <c r="O52" t="n">
        <v>0</v>
      </c>
      <c r="P52" t="n">
        <v>0</v>
      </c>
      <c r="Q52" t="n">
        <v>2</v>
      </c>
      <c r="R52" t="n">
        <v>1</v>
      </c>
      <c r="S52" t="n">
        <v>3</v>
      </c>
      <c r="T52" t="n">
        <v>4</v>
      </c>
      <c r="U52" t="n">
        <v>0</v>
      </c>
      <c r="V52" s="2" t="inlineStr">
        <is>
          <t>Skogsalm
Backruta
Grönvit nattviol</t>
        </is>
      </c>
      <c r="W52">
        <f>HYPERLINK("https://klasma.github.io/Logging_1060/artfynd/A 33863-2023 artfynd.xlsx", "A 33863-2023")</f>
        <v/>
      </c>
      <c r="X52">
        <f>HYPERLINK("https://klasma.github.io/Logging_1060/kartor/A 33863-2023 karta.png", "A 33863-2023")</f>
        <v/>
      </c>
      <c r="Y52">
        <f>HYPERLINK("https://klasma.github.io/Logging_1060/kartor_geotiff/A 33863-2023 georefererad karta.tif", "A 33863-2023")</f>
        <v/>
      </c>
      <c r="AA52">
        <f>HYPERLINK("https://klasma.github.io/Logging_1060/klagomål/A 33863-2023 FSC-klagomål.docx", "A 33863-2023")</f>
        <v/>
      </c>
      <c r="AB52">
        <f>HYPERLINK("https://klasma.github.io/Logging_1060/klagomålsmail/A 33863-2023 FSC-klagomål mail.docx", "A 33863-2023")</f>
        <v/>
      </c>
      <c r="AC52">
        <f>HYPERLINK("https://klasma.github.io/Logging_1060/tillsyn/A 33863-2023 tillsynsbegäran.docx", "A 33863-2023")</f>
        <v/>
      </c>
      <c r="AD52">
        <f>HYPERLINK("https://klasma.github.io/Logging_1060/tillsynsmail/A 33863-2023 tillsynsbegäran mail.docx", "A 33863-2023")</f>
        <v/>
      </c>
    </row>
    <row r="53" ht="15" customHeight="1">
      <c r="A53" t="inlineStr">
        <is>
          <t>A 57229-2024</t>
        </is>
      </c>
      <c r="B53" t="inlineStr">
        <is>
          <t>avverkningsanmälan</t>
        </is>
      </c>
      <c r="C53" t="inlineStr">
        <is>
          <t>Föryngringsavverkning</t>
        </is>
      </c>
      <c r="D53" s="1" t="n">
        <v>45629</v>
      </c>
      <c r="E53" s="1" t="n">
        <v>46248</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62747-2023</t>
        </is>
      </c>
      <c r="B54" t="inlineStr">
        <is>
          <t>avverkningsanmälan</t>
        </is>
      </c>
      <c r="C54" t="inlineStr">
        <is>
          <t>Föryngringsavverkning</t>
        </is>
      </c>
      <c r="D54" s="1" t="n">
        <v>45268</v>
      </c>
      <c r="E54" s="1" t="n">
        <v>46248</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46248</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10096-2022</t>
        </is>
      </c>
      <c r="B56" t="inlineStr">
        <is>
          <t>avverkningsanmälan</t>
        </is>
      </c>
      <c r="C56" t="inlineStr">
        <is>
          <t>Avverkning för annat ändamål</t>
        </is>
      </c>
      <c r="D56" s="1" t="n">
        <v>44621</v>
      </c>
      <c r="E56" s="1" t="n">
        <v>46248</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55925-2025</t>
        </is>
      </c>
      <c r="B57" t="inlineStr">
        <is>
          <t>avverkningsanmälan</t>
        </is>
      </c>
      <c r="C57" t="inlineStr">
        <is>
          <t>Avverkning för att bevara och utveckla /försöksver</t>
        </is>
      </c>
      <c r="D57" s="1" t="n">
        <v>45973</v>
      </c>
      <c r="E57" s="1" t="n">
        <v>46248</v>
      </c>
      <c r="F57" t="inlineStr">
        <is>
          <t>BLEKINGE LÄN</t>
        </is>
      </c>
      <c r="G57" t="inlineStr">
        <is>
          <t>RONNEBY</t>
        </is>
      </c>
      <c r="I57" t="n">
        <v>6.4</v>
      </c>
      <c r="J57" t="n">
        <v>1</v>
      </c>
      <c r="K57" t="n">
        <v>1</v>
      </c>
      <c r="L57" t="n">
        <v>1</v>
      </c>
      <c r="M57" t="n">
        <v>0</v>
      </c>
      <c r="N57" t="n">
        <v>1</v>
      </c>
      <c r="O57" t="n">
        <v>0</v>
      </c>
      <c r="P57" t="n">
        <v>0</v>
      </c>
      <c r="Q57" t="n">
        <v>2</v>
      </c>
      <c r="R57" t="n">
        <v>1</v>
      </c>
      <c r="S57" t="n">
        <v>3</v>
      </c>
      <c r="T57" t="n">
        <v>16</v>
      </c>
      <c r="U57" t="n">
        <v>0</v>
      </c>
      <c r="V57" s="2" t="inlineStr">
        <is>
          <t>Ask
Flikros
Ekoxe</t>
        </is>
      </c>
      <c r="W57">
        <f>HYPERLINK("https://klasma.github.io/Logging_1081/artfynd/A 55925-2025 artfynd.xlsx", "A 55925-2025")</f>
        <v/>
      </c>
      <c r="X57">
        <f>HYPERLINK("https://klasma.github.io/Logging_1081/kartor/A 55925-2025 karta.png", "A 55925-2025")</f>
        <v/>
      </c>
      <c r="Y57">
        <f>HYPERLINK("https://klasma.github.io/Logging_1081/kartor_geotiff/A 55925-2025 georefererad karta.tif", "A 55925-2025")</f>
        <v/>
      </c>
      <c r="AA57">
        <f>HYPERLINK("https://klasma.github.io/Logging_1081/klagomål/A 55925-2025 FSC-klagomål.docx", "A 55925-2025")</f>
        <v/>
      </c>
      <c r="AB57">
        <f>HYPERLINK("https://klasma.github.io/Logging_1081/klagomålsmail/A 55925-2025 FSC-klagomål mail.docx", "A 55925-2025")</f>
        <v/>
      </c>
      <c r="AC57">
        <f>HYPERLINK("https://klasma.github.io/Logging_1081/tillsyn/A 55925-2025 tillsynsbegäran.docx", "A 55925-2025")</f>
        <v/>
      </c>
      <c r="AD57">
        <f>HYPERLINK("https://klasma.github.io/Logging_1081/tillsynsmail/A 55925-2025 tillsynsbegäran mail.docx", "A 55925-2025")</f>
        <v/>
      </c>
    </row>
    <row r="58" ht="15" customHeight="1">
      <c r="A58" t="inlineStr">
        <is>
          <t>A 26407-2026</t>
        </is>
      </c>
      <c r="B58" t="inlineStr">
        <is>
          <t>avverkningsanmälan</t>
        </is>
      </c>
      <c r="C58" t="inlineStr">
        <is>
          <t>Föryngringsavverkning</t>
        </is>
      </c>
      <c r="D58" s="1" t="n">
        <v>46182</v>
      </c>
      <c r="E58" s="1" t="n">
        <v>46248</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26616-2026</t>
        </is>
      </c>
      <c r="B59" t="inlineStr">
        <is>
          <t>avverkningsanmälan</t>
        </is>
      </c>
      <c r="C59" t="inlineStr">
        <is>
          <t>Föryngringsavverkning</t>
        </is>
      </c>
      <c r="D59" s="1" t="n">
        <v>46184</v>
      </c>
      <c r="E59" s="1" t="n">
        <v>46248</v>
      </c>
      <c r="F59" t="inlineStr">
        <is>
          <t>BLEKINGE LÄN</t>
        </is>
      </c>
      <c r="G59" t="inlineStr">
        <is>
          <t>KARLSHAMN</t>
        </is>
      </c>
      <c r="I59" t="n">
        <v>4.1</v>
      </c>
      <c r="J59" t="n">
        <v>0</v>
      </c>
      <c r="K59" t="n">
        <v>2</v>
      </c>
      <c r="L59" t="n">
        <v>0</v>
      </c>
      <c r="M59" t="n">
        <v>0</v>
      </c>
      <c r="N59" t="n">
        <v>1</v>
      </c>
      <c r="O59" t="n">
        <v>0</v>
      </c>
      <c r="P59" t="n">
        <v>0</v>
      </c>
      <c r="Q59" t="n">
        <v>1</v>
      </c>
      <c r="R59" t="n">
        <v>1</v>
      </c>
      <c r="S59" t="n">
        <v>3</v>
      </c>
      <c r="T59" t="n">
        <v>4</v>
      </c>
      <c r="U59" t="n">
        <v>0</v>
      </c>
      <c r="V59" s="2" t="inlineStr">
        <is>
          <t>Skogsalm
Skogsbräsma
Trädporella</t>
        </is>
      </c>
      <c r="W59">
        <f>HYPERLINK("https://klasma.github.io/Logging_1082/artfynd/A 26616-2026 artfynd.xlsx", "A 26616-2026")</f>
        <v/>
      </c>
      <c r="X59">
        <f>HYPERLINK("https://klasma.github.io/Logging_1082/kartor/A 26616-2026 karta.png", "A 26616-2026")</f>
        <v/>
      </c>
      <c r="Y59">
        <f>HYPERLINK("https://klasma.github.io/Logging_1082/kartor_geotiff/A 26616-2026 georefererad karta.tif", "A 26616-2026")</f>
        <v/>
      </c>
      <c r="AA59">
        <f>HYPERLINK("https://klasma.github.io/Logging_1082/klagomål/A 26616-2026 FSC-klagomål.docx", "A 26616-2026")</f>
        <v/>
      </c>
      <c r="AB59">
        <f>HYPERLINK("https://klasma.github.io/Logging_1082/klagomålsmail/A 26616-2026 FSC-klagomål mail.docx", "A 26616-2026")</f>
        <v/>
      </c>
      <c r="AC59">
        <f>HYPERLINK("https://klasma.github.io/Logging_1082/tillsyn/A 26616-2026 tillsynsbegäran.docx", "A 26616-2026")</f>
        <v/>
      </c>
      <c r="AD59">
        <f>HYPERLINK("https://klasma.github.io/Logging_1082/tillsynsmail/A 26616-2026 tillsynsbegäran mail.docx", "A 26616-2026")</f>
        <v/>
      </c>
    </row>
    <row r="60" ht="15" customHeight="1">
      <c r="A60" t="inlineStr">
        <is>
          <t>A 547-2026</t>
        </is>
      </c>
      <c r="B60" t="inlineStr">
        <is>
          <t>avverkningsanmälan</t>
        </is>
      </c>
      <c r="C60" t="inlineStr">
        <is>
          <t>Föryngringsavverkning</t>
        </is>
      </c>
      <c r="D60" s="1" t="n">
        <v>46029</v>
      </c>
      <c r="E60" s="1" t="n">
        <v>46248</v>
      </c>
      <c r="F60" t="inlineStr">
        <is>
          <t>BLEKINGE LÄN</t>
        </is>
      </c>
      <c r="G60" t="inlineStr">
        <is>
          <t>OLOFSTRÖM</t>
        </is>
      </c>
      <c r="I60" t="n">
        <v>2.3</v>
      </c>
      <c r="J60" t="n">
        <v>1</v>
      </c>
      <c r="K60" t="n">
        <v>1</v>
      </c>
      <c r="L60" t="n">
        <v>0</v>
      </c>
      <c r="M60" t="n">
        <v>1</v>
      </c>
      <c r="N60" t="n">
        <v>0</v>
      </c>
      <c r="O60" t="n">
        <v>0</v>
      </c>
      <c r="P60" t="n">
        <v>0</v>
      </c>
      <c r="Q60" t="n">
        <v>1</v>
      </c>
      <c r="R60" t="n">
        <v>1</v>
      </c>
      <c r="S60" t="n">
        <v>3</v>
      </c>
      <c r="T60" t="n">
        <v>4</v>
      </c>
      <c r="U60" t="n">
        <v>0</v>
      </c>
      <c r="V60" s="2" t="inlineStr">
        <is>
          <t>Småvänderot
Skogsbräsma
Revlummer</t>
        </is>
      </c>
      <c r="W60">
        <f>HYPERLINK("https://klasma.github.io/Logging_1060/artfynd/A 547-2026 artfynd.xlsx", "A 547-2026")</f>
        <v/>
      </c>
      <c r="X60">
        <f>HYPERLINK("https://klasma.github.io/Logging_1060/kartor/A 547-2026 karta.png", "A 547-2026")</f>
        <v/>
      </c>
      <c r="Y60">
        <f>HYPERLINK("https://klasma.github.io/Logging_1060/kartor_geotiff/A 547-2026 georefererad karta.tif", "A 547-2026")</f>
        <v/>
      </c>
      <c r="AA60">
        <f>HYPERLINK("https://klasma.github.io/Logging_1060/klagomål/A 547-2026 FSC-klagomål.docx", "A 547-2026")</f>
        <v/>
      </c>
      <c r="AB60">
        <f>HYPERLINK("https://klasma.github.io/Logging_1060/klagomålsmail/A 547-2026 FSC-klagomål mail.docx", "A 547-2026")</f>
        <v/>
      </c>
      <c r="AC60">
        <f>HYPERLINK("https://klasma.github.io/Logging_1060/tillsyn/A 547-2026 tillsynsbegäran.docx", "A 547-2026")</f>
        <v/>
      </c>
      <c r="AD60">
        <f>HYPERLINK("https://klasma.github.io/Logging_1060/tillsynsmail/A 547-2026 tillsynsbegäran mail.docx", "A 547-2026")</f>
        <v/>
      </c>
    </row>
    <row r="61" ht="15" customHeight="1">
      <c r="A61" t="inlineStr">
        <is>
          <t>A 9449-2026</t>
        </is>
      </c>
      <c r="B61" t="inlineStr">
        <is>
          <t>avverkningsanmälan</t>
        </is>
      </c>
      <c r="C61" t="inlineStr">
        <is>
          <t>Föryngringsavverkning</t>
        </is>
      </c>
      <c r="D61" s="1" t="n">
        <v>46071</v>
      </c>
      <c r="E61" s="1" t="n">
        <v>46248</v>
      </c>
      <c r="F61" t="inlineStr">
        <is>
          <t>BLEKINGE LÄN</t>
        </is>
      </c>
      <c r="G61" t="inlineStr">
        <is>
          <t>RONNEBY</t>
        </is>
      </c>
      <c r="H61" t="inlineStr">
        <is>
          <t>Övriga Aktiebolag</t>
        </is>
      </c>
      <c r="I61" t="n">
        <v>7.3</v>
      </c>
      <c r="J61" t="n">
        <v>0</v>
      </c>
      <c r="K61" t="n">
        <v>2</v>
      </c>
      <c r="L61" t="n">
        <v>0</v>
      </c>
      <c r="M61" t="n">
        <v>0</v>
      </c>
      <c r="N61" t="n">
        <v>1</v>
      </c>
      <c r="O61" t="n">
        <v>0</v>
      </c>
      <c r="P61" t="n">
        <v>0</v>
      </c>
      <c r="Q61" t="n">
        <v>1</v>
      </c>
      <c r="R61" t="n">
        <v>1</v>
      </c>
      <c r="S61" t="n">
        <v>3</v>
      </c>
      <c r="T61" t="n">
        <v>4</v>
      </c>
      <c r="U61" t="n">
        <v>0</v>
      </c>
      <c r="V61" s="2" t="inlineStr">
        <is>
          <t>Ask
Blåmossa
Grå skärelav</t>
        </is>
      </c>
      <c r="W61">
        <f>HYPERLINK("https://klasma.github.io/Logging_1081/artfynd/A 9449-2026 artfynd.xlsx", "A 9449-2026")</f>
        <v/>
      </c>
      <c r="X61">
        <f>HYPERLINK("https://klasma.github.io/Logging_1081/kartor/A 9449-2026 karta.png", "A 9449-2026")</f>
        <v/>
      </c>
      <c r="Y61">
        <f>HYPERLINK("https://klasma.github.io/Logging_1081/kartor_geotiff/A 9449-2026 georefererad karta.tif", "A 9449-2026")</f>
        <v/>
      </c>
      <c r="AA61">
        <f>HYPERLINK("https://klasma.github.io/Logging_1081/klagomål/A 9449-2026 FSC-klagomål.docx", "A 9449-2026")</f>
        <v/>
      </c>
      <c r="AB61">
        <f>HYPERLINK("https://klasma.github.io/Logging_1081/klagomålsmail/A 9449-2026 FSC-klagomål mail.docx", "A 9449-2026")</f>
        <v/>
      </c>
      <c r="AC61">
        <f>HYPERLINK("https://klasma.github.io/Logging_1081/tillsyn/A 9449-2026 tillsynsbegäran.docx", "A 9449-2026")</f>
        <v/>
      </c>
      <c r="AD61">
        <f>HYPERLINK("https://klasma.github.io/Logging_1081/tillsynsmail/A 9449-2026 tillsynsbegäran mail.docx", "A 9449-2026")</f>
        <v/>
      </c>
    </row>
    <row r="62" ht="15" customHeight="1">
      <c r="A62" t="inlineStr">
        <is>
          <t>S 3881-2023</t>
        </is>
      </c>
      <c r="B62" t="inlineStr">
        <is>
          <t>samrådsanmälan</t>
        </is>
      </c>
      <c r="C62" t="inlineStr">
        <is>
          <t>Annan skogsbruksåtgärd</t>
        </is>
      </c>
      <c r="D62" s="1" t="n">
        <v>45230</v>
      </c>
      <c r="E62" s="1" t="n">
        <v>46248</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46248</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46248</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46248</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46248</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46248</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46248</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46248</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14176-2024</t>
        </is>
      </c>
      <c r="B70" t="inlineStr">
        <is>
          <t>avverkningsanmälan</t>
        </is>
      </c>
      <c r="C70" t="inlineStr">
        <is>
          <t>Föryngringsavverkning</t>
        </is>
      </c>
      <c r="D70" s="1" t="n">
        <v>45393</v>
      </c>
      <c r="E70" s="1" t="n">
        <v>46248</v>
      </c>
      <c r="F70" t="inlineStr">
        <is>
          <t>BLEKINGE LÄN</t>
        </is>
      </c>
      <c r="G70" t="inlineStr">
        <is>
          <t>KARLSKRONA</t>
        </is>
      </c>
      <c r="I70" t="n">
        <v>1.8</v>
      </c>
      <c r="J70" t="n">
        <v>2</v>
      </c>
      <c r="K70" t="n">
        <v>0</v>
      </c>
      <c r="L70" t="n">
        <v>0</v>
      </c>
      <c r="M70" t="n">
        <v>0</v>
      </c>
      <c r="N70" t="n">
        <v>0</v>
      </c>
      <c r="O70" t="n">
        <v>0</v>
      </c>
      <c r="P70" t="n">
        <v>0</v>
      </c>
      <c r="Q70" t="n">
        <v>0</v>
      </c>
      <c r="R70" t="n">
        <v>0</v>
      </c>
      <c r="S70" t="n">
        <v>2</v>
      </c>
      <c r="T70" t="n">
        <v>2</v>
      </c>
      <c r="U70" t="n">
        <v>0</v>
      </c>
      <c r="V70" s="2" t="inlineStr">
        <is>
          <t>Långbensgroda
Mindre vattensalamander</t>
        </is>
      </c>
      <c r="W70">
        <f>HYPERLINK("https://klasma.github.io/Logging_1080/artfynd/A 14176-2024 artfynd.xlsx", "A 14176-2024")</f>
        <v/>
      </c>
      <c r="X70">
        <f>HYPERLINK("https://klasma.github.io/Logging_1080/kartor/A 14176-2024 karta.png", "A 14176-2024")</f>
        <v/>
      </c>
      <c r="Y70">
        <f>HYPERLINK("https://klasma.github.io/Logging_1080/kartor_geotiff/A 14176-2024 georefererad karta.tif", "A 14176-2024")</f>
        <v/>
      </c>
      <c r="AA70">
        <f>HYPERLINK("https://klasma.github.io/Logging_1080/klagomål/A 14176-2024 FSC-klagomål.docx", "A 14176-2024")</f>
        <v/>
      </c>
      <c r="AB70">
        <f>HYPERLINK("https://klasma.github.io/Logging_1080/klagomålsmail/A 14176-2024 FSC-klagomål mail.docx", "A 14176-2024")</f>
        <v/>
      </c>
      <c r="AC70">
        <f>HYPERLINK("https://klasma.github.io/Logging_1080/tillsyn/A 14176-2024 tillsynsbegäran.docx", "A 14176-2024")</f>
        <v/>
      </c>
      <c r="AD70">
        <f>HYPERLINK("https://klasma.github.io/Logging_1080/tillsynsmail/A 14176-2024 tillsynsbegäran mail.docx", "A 14176-2024")</f>
        <v/>
      </c>
    </row>
    <row r="71" ht="15" customHeight="1">
      <c r="A71" t="inlineStr">
        <is>
          <t>A 46157-2024</t>
        </is>
      </c>
      <c r="B71" t="inlineStr">
        <is>
          <t>avverkningsanmälan</t>
        </is>
      </c>
      <c r="C71" t="inlineStr">
        <is>
          <t>Föryngringsavverkning</t>
        </is>
      </c>
      <c r="D71" s="1" t="n">
        <v>45581</v>
      </c>
      <c r="E71" s="1" t="n">
        <v>46248</v>
      </c>
      <c r="F71" t="inlineStr">
        <is>
          <t>BLEKINGE LÄN</t>
        </is>
      </c>
      <c r="G71" t="inlineStr">
        <is>
          <t>OLOFSTRÖM</t>
        </is>
      </c>
      <c r="I71" t="n">
        <v>0.5</v>
      </c>
      <c r="J71" t="n">
        <v>1</v>
      </c>
      <c r="K71" t="n">
        <v>1</v>
      </c>
      <c r="L71" t="n">
        <v>0</v>
      </c>
      <c r="M71" t="n">
        <v>1</v>
      </c>
      <c r="N71" t="n">
        <v>0</v>
      </c>
      <c r="O71" t="n">
        <v>0</v>
      </c>
      <c r="P71" t="n">
        <v>0</v>
      </c>
      <c r="Q71" t="n">
        <v>1</v>
      </c>
      <c r="R71" t="n">
        <v>1</v>
      </c>
      <c r="S71" t="n">
        <v>2</v>
      </c>
      <c r="T71" t="n">
        <v>2</v>
      </c>
      <c r="U71" t="n">
        <v>1</v>
      </c>
      <c r="V71" s="2" t="inlineStr">
        <is>
          <t>Knärot
Västlig hakmossa</t>
        </is>
      </c>
      <c r="W71">
        <f>HYPERLINK("https://klasma.github.io/Logging_1060/artfynd/A 46157-2024 artfynd.xlsx", "A 46157-2024")</f>
        <v/>
      </c>
      <c r="X71">
        <f>HYPERLINK("https://klasma.github.io/Logging_1060/kartor/A 46157-2024 karta.png", "A 46157-2024")</f>
        <v/>
      </c>
      <c r="Y71">
        <f>HYPERLINK("https://klasma.github.io/Logging_1060/kartor_geotiff/A 46157-2024 georefererad karta.tif", "A 46157-2024")</f>
        <v/>
      </c>
      <c r="Z71">
        <f>HYPERLINK("https://klasma.github.io/Logging_1060/knärot/A 46157-2024 karta knärot.png", "A 46157-2024")</f>
        <v/>
      </c>
      <c r="AA71">
        <f>HYPERLINK("https://klasma.github.io/Logging_1060/klagomål/A 46157-2024 FSC-klagomål.docx", "A 46157-2024")</f>
        <v/>
      </c>
      <c r="AB71">
        <f>HYPERLINK("https://klasma.github.io/Logging_1060/klagomålsmail/A 46157-2024 FSC-klagomål mail.docx", "A 46157-2024")</f>
        <v/>
      </c>
      <c r="AC71">
        <f>HYPERLINK("https://klasma.github.io/Logging_1060/tillsyn/A 46157-2024 tillsynsbegäran.docx", "A 46157-2024")</f>
        <v/>
      </c>
      <c r="AD71">
        <f>HYPERLINK("https://klasma.github.io/Logging_1060/tillsynsmail/A 46157-2024 tillsynsbegäran mail.docx", "A 46157-2024")</f>
        <v/>
      </c>
    </row>
    <row r="72" ht="15" customHeight="1">
      <c r="A72" t="inlineStr">
        <is>
          <t>A 10274-2022</t>
        </is>
      </c>
      <c r="B72" t="inlineStr">
        <is>
          <t>avverkningsanmälan</t>
        </is>
      </c>
      <c r="C72" t="inlineStr">
        <is>
          <t>Avverkning för annat ändamål</t>
        </is>
      </c>
      <c r="D72" s="1" t="n">
        <v>44622</v>
      </c>
      <c r="E72" s="1" t="n">
        <v>46248</v>
      </c>
      <c r="F72" t="inlineStr">
        <is>
          <t>BLEKINGE LÄN</t>
        </is>
      </c>
      <c r="G72" t="inlineStr">
        <is>
          <t>SÖLVESBORG</t>
        </is>
      </c>
      <c r="I72" t="n">
        <v>0.4</v>
      </c>
      <c r="J72" t="n">
        <v>2</v>
      </c>
      <c r="K72" t="n">
        <v>0</v>
      </c>
      <c r="L72" t="n">
        <v>0</v>
      </c>
      <c r="M72" t="n">
        <v>0</v>
      </c>
      <c r="N72" t="n">
        <v>0</v>
      </c>
      <c r="O72" t="n">
        <v>0</v>
      </c>
      <c r="P72" t="n">
        <v>0</v>
      </c>
      <c r="Q72" t="n">
        <v>0</v>
      </c>
      <c r="R72" t="n">
        <v>0</v>
      </c>
      <c r="S72" t="n">
        <v>2</v>
      </c>
      <c r="T72" t="n">
        <v>2</v>
      </c>
      <c r="U72" t="n">
        <v>1</v>
      </c>
      <c r="V72" s="2" t="inlineStr">
        <is>
          <t>Större vattensalamander
Mindre vattensalamander</t>
        </is>
      </c>
      <c r="W72">
        <f>HYPERLINK("https://klasma.github.io/Logging_1083/artfynd/A 10274-2022 artfynd.xlsx", "A 10274-2022")</f>
        <v/>
      </c>
      <c r="X72">
        <f>HYPERLINK("https://klasma.github.io/Logging_1083/kartor/A 10274-2022 karta.png", "A 10274-2022")</f>
        <v/>
      </c>
      <c r="Y72">
        <f>HYPERLINK("https://klasma.github.io/Logging_1083/kartor_geotiff/A 10274-2022 georefererad karta.tif", "A 10274-2022")</f>
        <v/>
      </c>
      <c r="AA72">
        <f>HYPERLINK("https://klasma.github.io/Logging_1083/klagomål/A 10274-2022 FSC-klagomål.docx", "A 10274-2022")</f>
        <v/>
      </c>
      <c r="AB72">
        <f>HYPERLINK("https://klasma.github.io/Logging_1083/klagomålsmail/A 10274-2022 FSC-klagomål mail.docx", "A 10274-2022")</f>
        <v/>
      </c>
      <c r="AC72">
        <f>HYPERLINK("https://klasma.github.io/Logging_1083/tillsyn/A 10274-2022 tillsynsbegäran.docx", "A 10274-2022")</f>
        <v/>
      </c>
      <c r="AD72">
        <f>HYPERLINK("https://klasma.github.io/Logging_1083/tillsynsmail/A 10274-2022 tillsynsbegäran mail.docx", "A 10274-2022")</f>
        <v/>
      </c>
    </row>
    <row r="73" ht="15" customHeight="1">
      <c r="A73" t="inlineStr">
        <is>
          <t>A 47800-2024</t>
        </is>
      </c>
      <c r="B73" t="inlineStr">
        <is>
          <t>avverkningsanmälan</t>
        </is>
      </c>
      <c r="C73" t="inlineStr">
        <is>
          <t>Föryngringsavverkning</t>
        </is>
      </c>
      <c r="D73" s="1" t="n">
        <v>45588</v>
      </c>
      <c r="E73" s="1" t="n">
        <v>46248</v>
      </c>
      <c r="F73" t="inlineStr">
        <is>
          <t>BLEKINGE LÄN</t>
        </is>
      </c>
      <c r="G73" t="inlineStr">
        <is>
          <t>RONNEBY</t>
        </is>
      </c>
      <c r="H73" t="inlineStr">
        <is>
          <t>Kommuner</t>
        </is>
      </c>
      <c r="I73" t="n">
        <v>5.8</v>
      </c>
      <c r="J73" t="n">
        <v>0</v>
      </c>
      <c r="K73" t="n">
        <v>0</v>
      </c>
      <c r="L73" t="n">
        <v>2</v>
      </c>
      <c r="M73" t="n">
        <v>0</v>
      </c>
      <c r="N73" t="n">
        <v>0</v>
      </c>
      <c r="O73" t="n">
        <v>0</v>
      </c>
      <c r="P73" t="n">
        <v>0</v>
      </c>
      <c r="Q73" t="n">
        <v>2</v>
      </c>
      <c r="R73" t="n">
        <v>0</v>
      </c>
      <c r="S73" t="n">
        <v>2</v>
      </c>
      <c r="T73" t="n">
        <v>2</v>
      </c>
      <c r="U73" t="n">
        <v>0</v>
      </c>
      <c r="V73" s="2" t="inlineStr">
        <is>
          <t>Grå taggsvamp
Tjockfotad fingersvamp</t>
        </is>
      </c>
      <c r="W73">
        <f>HYPERLINK("https://klasma.github.io/Logging_1081/artfynd/A 47800-2024 artfynd.xlsx", "A 47800-2024")</f>
        <v/>
      </c>
      <c r="X73">
        <f>HYPERLINK("https://klasma.github.io/Logging_1081/kartor/A 47800-2024 karta.png", "A 47800-2024")</f>
        <v/>
      </c>
      <c r="Y73">
        <f>HYPERLINK("https://klasma.github.io/Logging_1081/kartor_geotiff/A 47800-2024 georefererad karta.tif", "A 47800-2024")</f>
        <v/>
      </c>
      <c r="AA73">
        <f>HYPERLINK("https://klasma.github.io/Logging_1081/klagomål/A 47800-2024 FSC-klagomål.docx", "A 47800-2024")</f>
        <v/>
      </c>
      <c r="AB73">
        <f>HYPERLINK("https://klasma.github.io/Logging_1081/klagomålsmail/A 47800-2024 FSC-klagomål mail.docx", "A 47800-2024")</f>
        <v/>
      </c>
      <c r="AC73">
        <f>HYPERLINK("https://klasma.github.io/Logging_1081/tillsyn/A 47800-2024 tillsynsbegäran.docx", "A 47800-2024")</f>
        <v/>
      </c>
      <c r="AD73">
        <f>HYPERLINK("https://klasma.github.io/Logging_1081/tillsynsmail/A 47800-2024 tillsynsbegäran mail.docx", "A 47800-2024")</f>
        <v/>
      </c>
    </row>
    <row r="74" ht="15" customHeight="1">
      <c r="A74" t="inlineStr">
        <is>
          <t>A 25455-2023</t>
        </is>
      </c>
      <c r="B74" t="inlineStr">
        <is>
          <t>avverkningsanmälan</t>
        </is>
      </c>
      <c r="C74" t="inlineStr">
        <is>
          <t>Föryngringsavverkning</t>
        </is>
      </c>
      <c r="D74" s="1" t="n">
        <v>45089</v>
      </c>
      <c r="E74" s="1" t="n">
        <v>46248</v>
      </c>
      <c r="F74" t="inlineStr">
        <is>
          <t>BLEKINGE LÄN</t>
        </is>
      </c>
      <c r="G74" t="inlineStr">
        <is>
          <t>KARLSKRONA</t>
        </is>
      </c>
      <c r="I74" t="n">
        <v>1.8</v>
      </c>
      <c r="J74" t="n">
        <v>0</v>
      </c>
      <c r="K74" t="n">
        <v>0</v>
      </c>
      <c r="L74" t="n">
        <v>1</v>
      </c>
      <c r="M74" t="n">
        <v>1</v>
      </c>
      <c r="N74" t="n">
        <v>0</v>
      </c>
      <c r="O74" t="n">
        <v>0</v>
      </c>
      <c r="P74" t="n">
        <v>0</v>
      </c>
      <c r="Q74" t="n">
        <v>2</v>
      </c>
      <c r="R74" t="n">
        <v>1</v>
      </c>
      <c r="S74" t="n">
        <v>2</v>
      </c>
      <c r="T74" t="n">
        <v>3</v>
      </c>
      <c r="U74" t="n">
        <v>0</v>
      </c>
      <c r="V74" s="2" t="inlineStr">
        <is>
          <t>Mindre bastardsvärmare
Slåtterfibbla</t>
        </is>
      </c>
      <c r="W74">
        <f>HYPERLINK("https://klasma.github.io/Logging_1080/artfynd/A 25455-2023 artfynd.xlsx", "A 25455-2023")</f>
        <v/>
      </c>
      <c r="X74">
        <f>HYPERLINK("https://klasma.github.io/Logging_1080/kartor/A 25455-2023 karta.png", "A 25455-2023")</f>
        <v/>
      </c>
      <c r="Y74">
        <f>HYPERLINK("https://klasma.github.io/Logging_1080/kartor_geotiff/A 25455-2023 georefererad karta.tif", "A 25455-2023")</f>
        <v/>
      </c>
      <c r="AA74">
        <f>HYPERLINK("https://klasma.github.io/Logging_1080/klagomål/A 25455-2023 FSC-klagomål.docx", "A 25455-2023")</f>
        <v/>
      </c>
      <c r="AB74">
        <f>HYPERLINK("https://klasma.github.io/Logging_1080/klagomålsmail/A 25455-2023 FSC-klagomål mail.docx", "A 25455-2023")</f>
        <v/>
      </c>
      <c r="AC74">
        <f>HYPERLINK("https://klasma.github.io/Logging_1080/tillsyn/A 25455-2023 tillsynsbegäran.docx", "A 25455-2023")</f>
        <v/>
      </c>
      <c r="AD74">
        <f>HYPERLINK("https://klasma.github.io/Logging_1080/tillsynsmail/A 25455-2023 tillsynsbegäran mail.docx", "A 25455-2023")</f>
        <v/>
      </c>
    </row>
    <row r="75" ht="15" customHeight="1">
      <c r="A75" t="inlineStr">
        <is>
          <t>A 40310-2023</t>
        </is>
      </c>
      <c r="B75" t="inlineStr">
        <is>
          <t>avverkningsanmälan</t>
        </is>
      </c>
      <c r="C75" t="inlineStr">
        <is>
          <t>Föryngringsavverkning</t>
        </is>
      </c>
      <c r="D75" s="1" t="n">
        <v>45169</v>
      </c>
      <c r="E75" s="1" t="n">
        <v>46248</v>
      </c>
      <c r="F75" t="inlineStr">
        <is>
          <t>BLEKINGE LÄN</t>
        </is>
      </c>
      <c r="G75" t="inlineStr">
        <is>
          <t>KARLSHAMN</t>
        </is>
      </c>
      <c r="I75" t="n">
        <v>3.9</v>
      </c>
      <c r="J75" t="n">
        <v>1</v>
      </c>
      <c r="K75" t="n">
        <v>1</v>
      </c>
      <c r="L75" t="n">
        <v>1</v>
      </c>
      <c r="M75" t="n">
        <v>0</v>
      </c>
      <c r="N75" t="n">
        <v>0</v>
      </c>
      <c r="O75" t="n">
        <v>0</v>
      </c>
      <c r="P75" t="n">
        <v>0</v>
      </c>
      <c r="Q75" t="n">
        <v>1</v>
      </c>
      <c r="R75" t="n">
        <v>0</v>
      </c>
      <c r="S75" t="n">
        <v>2</v>
      </c>
      <c r="T75" t="n">
        <v>4</v>
      </c>
      <c r="U75" t="n">
        <v>0</v>
      </c>
      <c r="V75" s="2" t="inlineStr">
        <is>
          <t>Sydspärgel
Skogsknipprot</t>
        </is>
      </c>
      <c r="W75">
        <f>HYPERLINK("https://klasma.github.io/Logging_1082/artfynd/A 40310-2023 artfynd.xlsx", "A 40310-2023")</f>
        <v/>
      </c>
      <c r="X75">
        <f>HYPERLINK("https://klasma.github.io/Logging_1082/kartor/A 40310-2023 karta.png", "A 40310-2023")</f>
        <v/>
      </c>
      <c r="Y75">
        <f>HYPERLINK("https://klasma.github.io/Logging_1082/kartor_geotiff/A 40310-2023 georefererad karta.tif", "A 40310-2023")</f>
        <v/>
      </c>
      <c r="AA75">
        <f>HYPERLINK("https://klasma.github.io/Logging_1082/klagomål/A 40310-2023 FSC-klagomål.docx", "A 40310-2023")</f>
        <v/>
      </c>
      <c r="AB75">
        <f>HYPERLINK("https://klasma.github.io/Logging_1082/klagomålsmail/A 40310-2023 FSC-klagomål mail.docx", "A 40310-2023")</f>
        <v/>
      </c>
      <c r="AC75">
        <f>HYPERLINK("https://klasma.github.io/Logging_1082/tillsyn/A 40310-2023 tillsynsbegäran.docx", "A 40310-2023")</f>
        <v/>
      </c>
      <c r="AD75">
        <f>HYPERLINK("https://klasma.github.io/Logging_1082/tillsynsmail/A 40310-2023 tillsynsbegäran mail.docx", "A 40310-2023")</f>
        <v/>
      </c>
    </row>
    <row r="76" ht="15" customHeight="1">
      <c r="A76" t="inlineStr">
        <is>
          <t>A 16893-2023</t>
        </is>
      </c>
      <c r="B76" t="inlineStr">
        <is>
          <t>avverkningsanmälan</t>
        </is>
      </c>
      <c r="C76" t="inlineStr">
        <is>
          <t>Avverkning för annat ändamål</t>
        </is>
      </c>
      <c r="D76" s="1" t="n">
        <v>45028</v>
      </c>
      <c r="E76" s="1" t="n">
        <v>46248</v>
      </c>
      <c r="F76" t="inlineStr">
        <is>
          <t>BLEKINGE LÄN</t>
        </is>
      </c>
      <c r="G76" t="inlineStr">
        <is>
          <t>KARLSHAMN</t>
        </is>
      </c>
      <c r="I76" t="n">
        <v>10.7</v>
      </c>
      <c r="J76" t="n">
        <v>0</v>
      </c>
      <c r="K76" t="n">
        <v>0</v>
      </c>
      <c r="L76" t="n">
        <v>1</v>
      </c>
      <c r="M76" t="n">
        <v>1</v>
      </c>
      <c r="N76" t="n">
        <v>0</v>
      </c>
      <c r="O76" t="n">
        <v>0</v>
      </c>
      <c r="P76" t="n">
        <v>0</v>
      </c>
      <c r="Q76" t="n">
        <v>2</v>
      </c>
      <c r="R76" t="n">
        <v>1</v>
      </c>
      <c r="S76" t="n">
        <v>2</v>
      </c>
      <c r="T76" t="n">
        <v>3</v>
      </c>
      <c r="U76" t="n">
        <v>0</v>
      </c>
      <c r="V76" s="2" t="inlineStr">
        <is>
          <t>Stortimjan
Flikros</t>
        </is>
      </c>
      <c r="W76">
        <f>HYPERLINK("https://klasma.github.io/Logging_1082/artfynd/A 16893-2023 artfynd.xlsx", "A 16893-2023")</f>
        <v/>
      </c>
      <c r="X76">
        <f>HYPERLINK("https://klasma.github.io/Logging_1082/kartor/A 16893-2023 karta.png", "A 16893-2023")</f>
        <v/>
      </c>
      <c r="Y76">
        <f>HYPERLINK("https://klasma.github.io/Logging_1082/kartor_geotiff/A 16893-2023 georefererad karta.tif", "A 16893-2023")</f>
        <v/>
      </c>
      <c r="AA76">
        <f>HYPERLINK("https://klasma.github.io/Logging_1082/klagomål/A 16893-2023 FSC-klagomål.docx", "A 16893-2023")</f>
        <v/>
      </c>
      <c r="AB76">
        <f>HYPERLINK("https://klasma.github.io/Logging_1082/klagomålsmail/A 16893-2023 FSC-klagomål mail.docx", "A 16893-2023")</f>
        <v/>
      </c>
      <c r="AC76">
        <f>HYPERLINK("https://klasma.github.io/Logging_1082/tillsyn/A 16893-2023 tillsynsbegäran.docx", "A 16893-2023")</f>
        <v/>
      </c>
      <c r="AD76">
        <f>HYPERLINK("https://klasma.github.io/Logging_1082/tillsynsmail/A 16893-2023 tillsynsbegäran mail.docx", "A 16893-2023")</f>
        <v/>
      </c>
    </row>
    <row r="77" ht="15" customHeight="1">
      <c r="A77" t="inlineStr">
        <is>
          <t>A 14625-2022</t>
        </is>
      </c>
      <c r="B77" t="inlineStr">
        <is>
          <t>avverkningsanmälan</t>
        </is>
      </c>
      <c r="C77" t="inlineStr">
        <is>
          <t>Föryngringsavverkning</t>
        </is>
      </c>
      <c r="D77" s="1" t="n">
        <v>44655</v>
      </c>
      <c r="E77" s="1" t="n">
        <v>46248</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12131-2023</t>
        </is>
      </c>
      <c r="B78" t="inlineStr">
        <is>
          <t>avverkningsanmälan</t>
        </is>
      </c>
      <c r="C78" t="inlineStr">
        <is>
          <t>Föryngringsavverkning</t>
        </is>
      </c>
      <c r="D78" s="1" t="n">
        <v>44998</v>
      </c>
      <c r="E78" s="1" t="n">
        <v>46248</v>
      </c>
      <c r="F78" t="inlineStr">
        <is>
          <t>BLEKINGE LÄN</t>
        </is>
      </c>
      <c r="G78" t="inlineStr">
        <is>
          <t>RONNEBY</t>
        </is>
      </c>
      <c r="I78" t="n">
        <v>3.8</v>
      </c>
      <c r="J78" t="n">
        <v>2</v>
      </c>
      <c r="K78" t="n">
        <v>0</v>
      </c>
      <c r="L78" t="n">
        <v>1</v>
      </c>
      <c r="M78" t="n">
        <v>0</v>
      </c>
      <c r="N78" t="n">
        <v>0</v>
      </c>
      <c r="O78" t="n">
        <v>0</v>
      </c>
      <c r="P78" t="n">
        <v>0</v>
      </c>
      <c r="Q78" t="n">
        <v>1</v>
      </c>
      <c r="R78" t="n">
        <v>0</v>
      </c>
      <c r="S78" t="n">
        <v>2</v>
      </c>
      <c r="T78" t="n">
        <v>2</v>
      </c>
      <c r="U78" t="n">
        <v>2</v>
      </c>
      <c r="V78" s="2" t="inlineStr">
        <is>
          <t>Svarthakad buskskvätta
Trana</t>
        </is>
      </c>
      <c r="W78">
        <f>HYPERLINK("https://klasma.github.io/Logging_1081/artfynd/A 12131-2023 artfynd.xlsx", "A 12131-2023")</f>
        <v/>
      </c>
      <c r="X78">
        <f>HYPERLINK("https://klasma.github.io/Logging_1081/kartor/A 12131-2023 karta.png", "A 12131-2023")</f>
        <v/>
      </c>
      <c r="Y78">
        <f>HYPERLINK("https://klasma.github.io/Logging_1081/kartor_geotiff/A 12131-2023 georefererad karta.tif", "A 12131-2023")</f>
        <v/>
      </c>
      <c r="AA78">
        <f>HYPERLINK("https://klasma.github.io/Logging_1081/klagomål/A 12131-2023 FSC-klagomål.docx", "A 12131-2023")</f>
        <v/>
      </c>
      <c r="AB78">
        <f>HYPERLINK("https://klasma.github.io/Logging_1081/klagomålsmail/A 12131-2023 FSC-klagomål mail.docx", "A 12131-2023")</f>
        <v/>
      </c>
      <c r="AC78">
        <f>HYPERLINK("https://klasma.github.io/Logging_1081/tillsyn/A 12131-2023 tillsynsbegäran.docx", "A 12131-2023")</f>
        <v/>
      </c>
      <c r="AD78">
        <f>HYPERLINK("https://klasma.github.io/Logging_1081/tillsynsmail/A 12131-2023 tillsynsbegäran mail.docx", "A 12131-2023")</f>
        <v/>
      </c>
      <c r="AE78">
        <f>HYPERLINK("https://klasma.github.io/Logging_1081/fåglar/A 12131-2023 prioriterade fågelarter.docx", "A 12131-2023")</f>
        <v/>
      </c>
    </row>
    <row r="79" ht="15" customHeight="1">
      <c r="A79" t="inlineStr">
        <is>
          <t>A 691-2023</t>
        </is>
      </c>
      <c r="B79" t="inlineStr">
        <is>
          <t>avverkningsanmälan</t>
        </is>
      </c>
      <c r="C79" t="inlineStr">
        <is>
          <t>Föryngringsavverkning</t>
        </is>
      </c>
      <c r="D79" s="1" t="n">
        <v>44930</v>
      </c>
      <c r="E79" s="1" t="n">
        <v>46248</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21769-2023</t>
        </is>
      </c>
      <c r="B80" t="inlineStr">
        <is>
          <t>avverkningsanmälan</t>
        </is>
      </c>
      <c r="C80" t="inlineStr">
        <is>
          <t>Avverkning för annat ändamål</t>
        </is>
      </c>
      <c r="D80" s="1" t="n">
        <v>45065</v>
      </c>
      <c r="E80" s="1" t="n">
        <v>46248</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14351-2025</t>
        </is>
      </c>
      <c r="B81" t="inlineStr">
        <is>
          <t>avverkningsanmälan</t>
        </is>
      </c>
      <c r="C81" t="inlineStr">
        <is>
          <t>Föryngringsavverkning</t>
        </is>
      </c>
      <c r="D81" s="1" t="n">
        <v>45741</v>
      </c>
      <c r="E81" s="1" t="n">
        <v>46248</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55678-2022</t>
        </is>
      </c>
      <c r="B82" t="inlineStr">
        <is>
          <t>avverkningsanmälan</t>
        </is>
      </c>
      <c r="C82" t="inlineStr">
        <is>
          <t>Föryngringsavverkning</t>
        </is>
      </c>
      <c r="D82" s="1" t="n">
        <v>44888</v>
      </c>
      <c r="E82" s="1" t="n">
        <v>46248</v>
      </c>
      <c r="F82" t="inlineStr">
        <is>
          <t>BLEKINGE LÄN</t>
        </is>
      </c>
      <c r="G82" t="inlineStr">
        <is>
          <t>RONNEBY</t>
        </is>
      </c>
      <c r="I82" t="n">
        <v>1</v>
      </c>
      <c r="J82" t="n">
        <v>2</v>
      </c>
      <c r="K82" t="n">
        <v>0</v>
      </c>
      <c r="L82" t="n">
        <v>0</v>
      </c>
      <c r="M82" t="n">
        <v>0</v>
      </c>
      <c r="N82" t="n">
        <v>0</v>
      </c>
      <c r="O82" t="n">
        <v>0</v>
      </c>
      <c r="P82" t="n">
        <v>0</v>
      </c>
      <c r="Q82" t="n">
        <v>0</v>
      </c>
      <c r="R82" t="n">
        <v>0</v>
      </c>
      <c r="S82" t="n">
        <v>2</v>
      </c>
      <c r="T82" t="n">
        <v>2</v>
      </c>
      <c r="U82" t="n">
        <v>0</v>
      </c>
      <c r="V82" s="2" t="inlineStr">
        <is>
          <t>Kungsfågel
Röd glada</t>
        </is>
      </c>
      <c r="W82">
        <f>HYPERLINK("https://klasma.github.io/Logging_1081/artfynd/A 55678-2022 artfynd.xlsx", "A 55678-2022")</f>
        <v/>
      </c>
      <c r="X82">
        <f>HYPERLINK("https://klasma.github.io/Logging_1081/kartor/A 55678-2022 karta.png", "A 55678-2022")</f>
        <v/>
      </c>
      <c r="Y82">
        <f>HYPERLINK("https://klasma.github.io/Logging_1081/kartor_geotiff/A 55678-2022 georefererad karta.tif", "A 55678-2022")</f>
        <v/>
      </c>
      <c r="AA82">
        <f>HYPERLINK("https://klasma.github.io/Logging_1081/klagomål/A 55678-2022 FSC-klagomål.docx", "A 55678-2022")</f>
        <v/>
      </c>
      <c r="AB82">
        <f>HYPERLINK("https://klasma.github.io/Logging_1081/klagomålsmail/A 55678-2022 FSC-klagomål mail.docx", "A 55678-2022")</f>
        <v/>
      </c>
      <c r="AC82">
        <f>HYPERLINK("https://klasma.github.io/Logging_1081/tillsyn/A 55678-2022 tillsynsbegäran.docx", "A 55678-2022")</f>
        <v/>
      </c>
      <c r="AD82">
        <f>HYPERLINK("https://klasma.github.io/Logging_1081/tillsynsmail/A 55678-2022 tillsynsbegäran mail.docx", "A 55678-2022")</f>
        <v/>
      </c>
      <c r="AE82">
        <f>HYPERLINK("https://klasma.github.io/Logging_1081/fåglar/A 55678-2022 prioriterade fågelarter.docx", "A 55678-2022")</f>
        <v/>
      </c>
    </row>
    <row r="83" ht="15" customHeight="1">
      <c r="A83" t="inlineStr">
        <is>
          <t>A 17849-2023</t>
        </is>
      </c>
      <c r="B83" t="inlineStr">
        <is>
          <t>avverkningsanmälan</t>
        </is>
      </c>
      <c r="C83" t="inlineStr">
        <is>
          <t>Föryngringsavverkning</t>
        </is>
      </c>
      <c r="D83" s="1" t="n">
        <v>45037</v>
      </c>
      <c r="E83" s="1" t="n">
        <v>46248</v>
      </c>
      <c r="F83" t="inlineStr">
        <is>
          <t>BLEKINGE LÄN</t>
        </is>
      </c>
      <c r="G83" t="inlineStr">
        <is>
          <t>KARLSKRONA</t>
        </is>
      </c>
      <c r="H83" t="inlineStr">
        <is>
          <t>Kommuner</t>
        </is>
      </c>
      <c r="I83" t="n">
        <v>10</v>
      </c>
      <c r="J83" t="n">
        <v>0</v>
      </c>
      <c r="K83" t="n">
        <v>1</v>
      </c>
      <c r="L83" t="n">
        <v>0</v>
      </c>
      <c r="M83" t="n">
        <v>1</v>
      </c>
      <c r="N83" t="n">
        <v>0</v>
      </c>
      <c r="O83" t="n">
        <v>0</v>
      </c>
      <c r="P83" t="n">
        <v>0</v>
      </c>
      <c r="Q83" t="n">
        <v>1</v>
      </c>
      <c r="R83" t="n">
        <v>1</v>
      </c>
      <c r="S83" t="n">
        <v>2</v>
      </c>
      <c r="T83" t="n">
        <v>2</v>
      </c>
      <c r="U83" t="n">
        <v>1</v>
      </c>
      <c r="V83" s="2" t="inlineStr">
        <is>
          <t>Igelkott
Vätteros</t>
        </is>
      </c>
      <c r="W83">
        <f>HYPERLINK("https://klasma.github.io/Logging_1080/artfynd/A 17849-2023 artfynd.xlsx", "A 17849-2023")</f>
        <v/>
      </c>
      <c r="X83">
        <f>HYPERLINK("https://klasma.github.io/Logging_1080/kartor/A 17849-2023 karta.png", "A 17849-2023")</f>
        <v/>
      </c>
      <c r="Y83">
        <f>HYPERLINK("https://klasma.github.io/Logging_1080/kartor_geotiff/A 17849-2023 georefererad karta.tif", "A 17849-2023")</f>
        <v/>
      </c>
      <c r="AA83">
        <f>HYPERLINK("https://klasma.github.io/Logging_1080/klagomål/A 17849-2023 FSC-klagomål.docx", "A 17849-2023")</f>
        <v/>
      </c>
      <c r="AB83">
        <f>HYPERLINK("https://klasma.github.io/Logging_1080/klagomålsmail/A 17849-2023 FSC-klagomål mail.docx", "A 17849-2023")</f>
        <v/>
      </c>
      <c r="AC83">
        <f>HYPERLINK("https://klasma.github.io/Logging_1080/tillsyn/A 17849-2023 tillsynsbegäran.docx", "A 17849-2023")</f>
        <v/>
      </c>
      <c r="AD83">
        <f>HYPERLINK("https://klasma.github.io/Logging_1080/tillsynsmail/A 17849-2023 tillsynsbegäran mail.docx", "A 17849-2023")</f>
        <v/>
      </c>
    </row>
    <row r="84" ht="15" customHeight="1">
      <c r="A84" t="inlineStr">
        <is>
          <t>A 36463-2023</t>
        </is>
      </c>
      <c r="B84" t="inlineStr">
        <is>
          <t>avverkningsanmälan</t>
        </is>
      </c>
      <c r="C84" t="inlineStr">
        <is>
          <t>Föryngringsavverkning</t>
        </is>
      </c>
      <c r="D84" s="1" t="n">
        <v>45152</v>
      </c>
      <c r="E84" s="1" t="n">
        <v>46248</v>
      </c>
      <c r="F84" t="inlineStr">
        <is>
          <t>BLEKINGE LÄN</t>
        </is>
      </c>
      <c r="G84" t="inlineStr">
        <is>
          <t>RONNEBY</t>
        </is>
      </c>
      <c r="I84" t="n">
        <v>2.2</v>
      </c>
      <c r="J84" t="n">
        <v>0</v>
      </c>
      <c r="K84" t="n">
        <v>2</v>
      </c>
      <c r="L84" t="n">
        <v>0</v>
      </c>
      <c r="M84" t="n">
        <v>0</v>
      </c>
      <c r="N84" t="n">
        <v>0</v>
      </c>
      <c r="O84" t="n">
        <v>0</v>
      </c>
      <c r="P84" t="n">
        <v>0</v>
      </c>
      <c r="Q84" t="n">
        <v>0</v>
      </c>
      <c r="R84" t="n">
        <v>0</v>
      </c>
      <c r="S84" t="n">
        <v>2</v>
      </c>
      <c r="T84" t="n">
        <v>5</v>
      </c>
      <c r="U84" t="n">
        <v>0</v>
      </c>
      <c r="V84" s="2" t="inlineStr">
        <is>
          <t>Murgröna
Rostfläck</t>
        </is>
      </c>
      <c r="W84">
        <f>HYPERLINK("https://klasma.github.io/Logging_1081/artfynd/A 36463-2023 artfynd.xlsx", "A 36463-2023")</f>
        <v/>
      </c>
      <c r="X84">
        <f>HYPERLINK("https://klasma.github.io/Logging_1081/kartor/A 36463-2023 karta.png", "A 36463-2023")</f>
        <v/>
      </c>
      <c r="Y84">
        <f>HYPERLINK("https://klasma.github.io/Logging_1081/kartor_geotiff/A 36463-2023 georefererad karta.tif", "A 36463-2023")</f>
        <v/>
      </c>
      <c r="AA84">
        <f>HYPERLINK("https://klasma.github.io/Logging_1081/klagomål/A 36463-2023 FSC-klagomål.docx", "A 36463-2023")</f>
        <v/>
      </c>
      <c r="AB84">
        <f>HYPERLINK("https://klasma.github.io/Logging_1081/klagomålsmail/A 36463-2023 FSC-klagomål mail.docx", "A 36463-2023")</f>
        <v/>
      </c>
      <c r="AC84">
        <f>HYPERLINK("https://klasma.github.io/Logging_1081/tillsyn/A 36463-2023 tillsynsbegäran.docx", "A 36463-2023")</f>
        <v/>
      </c>
      <c r="AD84">
        <f>HYPERLINK("https://klasma.github.io/Logging_1081/tillsynsmail/A 36463-2023 tillsynsbegäran mail.docx", "A 36463-2023")</f>
        <v/>
      </c>
    </row>
    <row r="85" ht="15" customHeight="1">
      <c r="A85" t="inlineStr">
        <is>
          <t>A 38918-2025</t>
        </is>
      </c>
      <c r="B85" t="inlineStr">
        <is>
          <t>avverkningsanmälan</t>
        </is>
      </c>
      <c r="C85" t="inlineStr">
        <is>
          <t>Föryngringsavverkning</t>
        </is>
      </c>
      <c r="D85" s="1" t="n">
        <v>45884</v>
      </c>
      <c r="E85" s="1" t="n">
        <v>46248</v>
      </c>
      <c r="F85" t="inlineStr">
        <is>
          <t>BLEKINGE LÄN</t>
        </is>
      </c>
      <c r="G85" t="inlineStr">
        <is>
          <t>RONNEBY</t>
        </is>
      </c>
      <c r="H85" t="inlineStr">
        <is>
          <t>Kyrkan</t>
        </is>
      </c>
      <c r="I85" t="n">
        <v>6.1</v>
      </c>
      <c r="J85" t="n">
        <v>1</v>
      </c>
      <c r="K85" t="n">
        <v>1</v>
      </c>
      <c r="L85" t="n">
        <v>0</v>
      </c>
      <c r="M85" t="n">
        <v>0</v>
      </c>
      <c r="N85" t="n">
        <v>0</v>
      </c>
      <c r="O85" t="n">
        <v>0</v>
      </c>
      <c r="P85" t="n">
        <v>0</v>
      </c>
      <c r="Q85" t="n">
        <v>0</v>
      </c>
      <c r="R85" t="n">
        <v>0</v>
      </c>
      <c r="S85" t="n">
        <v>2</v>
      </c>
      <c r="T85" t="n">
        <v>2</v>
      </c>
      <c r="U85" t="n">
        <v>0</v>
      </c>
      <c r="V85" s="2" t="inlineStr">
        <is>
          <t>Blåmossa
Pudrad kärrtrollslända</t>
        </is>
      </c>
      <c r="W85">
        <f>HYPERLINK("https://klasma.github.io/Logging_1081/artfynd/A 38918-2025 artfynd.xlsx", "A 38918-2025")</f>
        <v/>
      </c>
      <c r="X85">
        <f>HYPERLINK("https://klasma.github.io/Logging_1081/kartor/A 38918-2025 karta.png", "A 38918-2025")</f>
        <v/>
      </c>
      <c r="Y85">
        <f>HYPERLINK("https://klasma.github.io/Logging_1081/kartor_geotiff/A 38918-2025 georefererad karta.tif", "A 38918-2025")</f>
        <v/>
      </c>
      <c r="AA85">
        <f>HYPERLINK("https://klasma.github.io/Logging_1081/klagomål/A 38918-2025 FSC-klagomål.docx", "A 38918-2025")</f>
        <v/>
      </c>
      <c r="AB85">
        <f>HYPERLINK("https://klasma.github.io/Logging_1081/klagomålsmail/A 38918-2025 FSC-klagomål mail.docx", "A 38918-2025")</f>
        <v/>
      </c>
      <c r="AC85">
        <f>HYPERLINK("https://klasma.github.io/Logging_1081/tillsyn/A 38918-2025 tillsynsbegäran.docx", "A 38918-2025")</f>
        <v/>
      </c>
      <c r="AD85">
        <f>HYPERLINK("https://klasma.github.io/Logging_1081/tillsynsmail/A 38918-2025 tillsynsbegäran mail.docx", "A 38918-2025")</f>
        <v/>
      </c>
    </row>
    <row r="86" ht="15" customHeight="1">
      <c r="A86" t="inlineStr">
        <is>
          <t>A 59891-2024</t>
        </is>
      </c>
      <c r="B86" t="inlineStr">
        <is>
          <t>avverkningsanmälan</t>
        </is>
      </c>
      <c r="C86" t="inlineStr">
        <is>
          <t>Föryngringsavverkning</t>
        </is>
      </c>
      <c r="D86" s="1" t="n">
        <v>45641</v>
      </c>
      <c r="E86" s="1" t="n">
        <v>46248</v>
      </c>
      <c r="F86" t="inlineStr">
        <is>
          <t>BLEKINGE LÄN</t>
        </is>
      </c>
      <c r="G86" t="inlineStr">
        <is>
          <t>OLOFSTRÖM</t>
        </is>
      </c>
      <c r="I86" t="n">
        <v>4.3</v>
      </c>
      <c r="J86" t="n">
        <v>1</v>
      </c>
      <c r="K86" t="n">
        <v>0</v>
      </c>
      <c r="L86" t="n">
        <v>0</v>
      </c>
      <c r="M86" t="n">
        <v>1</v>
      </c>
      <c r="N86" t="n">
        <v>0</v>
      </c>
      <c r="O86" t="n">
        <v>0</v>
      </c>
      <c r="P86" t="n">
        <v>0</v>
      </c>
      <c r="Q86" t="n">
        <v>1</v>
      </c>
      <c r="R86" t="n">
        <v>1</v>
      </c>
      <c r="S86" t="n">
        <v>2</v>
      </c>
      <c r="T86" t="n">
        <v>4</v>
      </c>
      <c r="U86" t="n">
        <v>0</v>
      </c>
      <c r="V86" s="2" t="inlineStr">
        <is>
          <t>Sjötåtel
Revlummer</t>
        </is>
      </c>
      <c r="W86">
        <f>HYPERLINK("https://klasma.github.io/Logging_1060/artfynd/A 59891-2024 artfynd.xlsx", "A 59891-2024")</f>
        <v/>
      </c>
      <c r="X86">
        <f>HYPERLINK("https://klasma.github.io/Logging_1060/kartor/A 59891-2024 karta.png", "A 59891-2024")</f>
        <v/>
      </c>
      <c r="Y86">
        <f>HYPERLINK("https://klasma.github.io/Logging_1060/kartor_geotiff/A 59891-2024 georefererad karta.tif", "A 59891-2024")</f>
        <v/>
      </c>
      <c r="AA86">
        <f>HYPERLINK("https://klasma.github.io/Logging_1060/klagomål/A 59891-2024 FSC-klagomål.docx", "A 59891-2024")</f>
        <v/>
      </c>
      <c r="AB86">
        <f>HYPERLINK("https://klasma.github.io/Logging_1060/klagomålsmail/A 59891-2024 FSC-klagomål mail.docx", "A 59891-2024")</f>
        <v/>
      </c>
      <c r="AC86">
        <f>HYPERLINK("https://klasma.github.io/Logging_1060/tillsyn/A 59891-2024 tillsynsbegäran.docx", "A 59891-2024")</f>
        <v/>
      </c>
      <c r="AD86">
        <f>HYPERLINK("https://klasma.github.io/Logging_1060/tillsynsmail/A 59891-2024 tillsynsbegäran mail.docx", "A 59891-2024")</f>
        <v/>
      </c>
    </row>
    <row r="87" ht="15" customHeight="1">
      <c r="A87" t="inlineStr">
        <is>
          <t>A 32004-2023</t>
        </is>
      </c>
      <c r="B87" t="inlineStr">
        <is>
          <t>avverkningsanmälan</t>
        </is>
      </c>
      <c r="C87" t="inlineStr">
        <is>
          <t>Föryngringsavverkning</t>
        </is>
      </c>
      <c r="D87" s="1" t="n">
        <v>45107</v>
      </c>
      <c r="E87" s="1" t="n">
        <v>46248</v>
      </c>
      <c r="F87" t="inlineStr">
        <is>
          <t>BLEKINGE LÄN</t>
        </is>
      </c>
      <c r="G87" t="inlineStr">
        <is>
          <t>OLOFSTRÖM</t>
        </is>
      </c>
      <c r="I87" t="n">
        <v>2.3</v>
      </c>
      <c r="J87" t="n">
        <v>1</v>
      </c>
      <c r="K87" t="n">
        <v>1</v>
      </c>
      <c r="L87" t="n">
        <v>0</v>
      </c>
      <c r="M87" t="n">
        <v>0</v>
      </c>
      <c r="N87" t="n">
        <v>0</v>
      </c>
      <c r="O87" t="n">
        <v>0</v>
      </c>
      <c r="P87" t="n">
        <v>0</v>
      </c>
      <c r="Q87" t="n">
        <v>0</v>
      </c>
      <c r="R87" t="n">
        <v>0</v>
      </c>
      <c r="S87" t="n">
        <v>2</v>
      </c>
      <c r="T87" t="n">
        <v>2</v>
      </c>
      <c r="U87" t="n">
        <v>0</v>
      </c>
      <c r="V87" s="2" t="inlineStr">
        <is>
          <t>Murgröna
Blåsippa</t>
        </is>
      </c>
      <c r="W87">
        <f>HYPERLINK("https://klasma.github.io/Logging_1060/artfynd/A 32004-2023 artfynd.xlsx", "A 32004-2023")</f>
        <v/>
      </c>
      <c r="X87">
        <f>HYPERLINK("https://klasma.github.io/Logging_1060/kartor/A 32004-2023 karta.png", "A 32004-2023")</f>
        <v/>
      </c>
      <c r="Y87">
        <f>HYPERLINK("https://klasma.github.io/Logging_1060/kartor_geotiff/A 32004-2023 georefererad karta.tif", "A 32004-2023")</f>
        <v/>
      </c>
      <c r="AA87">
        <f>HYPERLINK("https://klasma.github.io/Logging_1060/klagomål/A 32004-2023 FSC-klagomål.docx", "A 32004-2023")</f>
        <v/>
      </c>
      <c r="AB87">
        <f>HYPERLINK("https://klasma.github.io/Logging_1060/klagomålsmail/A 32004-2023 FSC-klagomål mail.docx", "A 32004-2023")</f>
        <v/>
      </c>
      <c r="AC87">
        <f>HYPERLINK("https://klasma.github.io/Logging_1060/tillsyn/A 32004-2023 tillsynsbegäran.docx", "A 32004-2023")</f>
        <v/>
      </c>
      <c r="AD87">
        <f>HYPERLINK("https://klasma.github.io/Logging_1060/tillsynsmail/A 32004-2023 tillsynsbegäran mail.docx", "A 32004-2023")</f>
        <v/>
      </c>
    </row>
    <row r="88" ht="15" customHeight="1">
      <c r="A88" t="inlineStr">
        <is>
          <t>A 46918-2024</t>
        </is>
      </c>
      <c r="B88" t="inlineStr">
        <is>
          <t>avverkningsanmälan</t>
        </is>
      </c>
      <c r="C88" t="inlineStr">
        <is>
          <t>Föryngringsavverkning</t>
        </is>
      </c>
      <c r="D88" s="1" t="n">
        <v>45583</v>
      </c>
      <c r="E88" s="1" t="n">
        <v>46248</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27307-2026</t>
        </is>
      </c>
      <c r="B89" t="inlineStr">
        <is>
          <t>avverkningsanmälan</t>
        </is>
      </c>
      <c r="C89" t="inlineStr">
        <is>
          <t>Avverkning för att bevara och utveckla /försöksver</t>
        </is>
      </c>
      <c r="D89" s="1" t="n">
        <v>46188</v>
      </c>
      <c r="E89" s="1" t="n">
        <v>46248</v>
      </c>
      <c r="F89" t="inlineStr">
        <is>
          <t>BLEKINGE LÄN</t>
        </is>
      </c>
      <c r="G89" t="inlineStr">
        <is>
          <t>RONNEBY</t>
        </is>
      </c>
      <c r="I89" t="n">
        <v>4.2</v>
      </c>
      <c r="J89" t="n">
        <v>0</v>
      </c>
      <c r="K89" t="n">
        <v>2</v>
      </c>
      <c r="L89" t="n">
        <v>0</v>
      </c>
      <c r="M89" t="n">
        <v>0</v>
      </c>
      <c r="N89" t="n">
        <v>0</v>
      </c>
      <c r="O89" t="n">
        <v>0</v>
      </c>
      <c r="P89" t="n">
        <v>0</v>
      </c>
      <c r="Q89" t="n">
        <v>0</v>
      </c>
      <c r="R89" t="n">
        <v>0</v>
      </c>
      <c r="S89" t="n">
        <v>2</v>
      </c>
      <c r="T89" t="n">
        <v>2</v>
      </c>
      <c r="U89" t="n">
        <v>0</v>
      </c>
      <c r="V89" s="2" t="inlineStr">
        <is>
          <t>Ekskinn
Noshornsoxe</t>
        </is>
      </c>
      <c r="W89">
        <f>HYPERLINK("https://klasma.github.io/Logging_1081/artfynd/A 27307-2026 artfynd.xlsx", "A 27307-2026")</f>
        <v/>
      </c>
      <c r="X89">
        <f>HYPERLINK("https://klasma.github.io/Logging_1081/kartor/A 27307-2026 karta.png", "A 27307-2026")</f>
        <v/>
      </c>
      <c r="Y89">
        <f>HYPERLINK("https://klasma.github.io/Logging_1081/kartor_geotiff/A 27307-2026 georefererad karta.tif", "A 27307-2026")</f>
        <v/>
      </c>
      <c r="AA89">
        <f>HYPERLINK("https://klasma.github.io/Logging_1081/klagomål/A 27307-2026 FSC-klagomål.docx", "A 27307-2026")</f>
        <v/>
      </c>
      <c r="AB89">
        <f>HYPERLINK("https://klasma.github.io/Logging_1081/klagomålsmail/A 27307-2026 FSC-klagomål mail.docx", "A 27307-2026")</f>
        <v/>
      </c>
      <c r="AC89">
        <f>HYPERLINK("https://klasma.github.io/Logging_1081/tillsyn/A 27307-2026 tillsynsbegäran.docx", "A 27307-2026")</f>
        <v/>
      </c>
      <c r="AD89">
        <f>HYPERLINK("https://klasma.github.io/Logging_1081/tillsynsmail/A 27307-2026 tillsynsbegäran mail.docx", "A 27307-2026")</f>
        <v/>
      </c>
    </row>
    <row r="90" ht="15" customHeight="1">
      <c r="A90" t="inlineStr">
        <is>
          <t>A 41421-2025</t>
        </is>
      </c>
      <c r="B90" t="inlineStr">
        <is>
          <t>avverkningsanmälan</t>
        </is>
      </c>
      <c r="C90" t="inlineStr">
        <is>
          <t>Föryngringsavverkning</t>
        </is>
      </c>
      <c r="D90" s="1" t="n">
        <v>45901</v>
      </c>
      <c r="E90" s="1" t="n">
        <v>46248</v>
      </c>
      <c r="F90" t="inlineStr">
        <is>
          <t>BLEKINGE LÄN</t>
        </is>
      </c>
      <c r="G90" t="inlineStr">
        <is>
          <t>KARLSKRONA</t>
        </is>
      </c>
      <c r="H90" t="inlineStr">
        <is>
          <t>Kommuner</t>
        </is>
      </c>
      <c r="I90" t="n">
        <v>4.2</v>
      </c>
      <c r="J90" t="n">
        <v>1</v>
      </c>
      <c r="K90" t="n">
        <v>1</v>
      </c>
      <c r="L90" t="n">
        <v>1</v>
      </c>
      <c r="M90" t="n">
        <v>0</v>
      </c>
      <c r="N90" t="n">
        <v>0</v>
      </c>
      <c r="O90" t="n">
        <v>0</v>
      </c>
      <c r="P90" t="n">
        <v>0</v>
      </c>
      <c r="Q90" t="n">
        <v>1</v>
      </c>
      <c r="R90" t="n">
        <v>0</v>
      </c>
      <c r="S90" t="n">
        <v>2</v>
      </c>
      <c r="T90" t="n">
        <v>4</v>
      </c>
      <c r="U90" t="n">
        <v>2</v>
      </c>
      <c r="V90" s="2" t="inlineStr">
        <is>
          <t>Sydlig sotticka
Ekoxe</t>
        </is>
      </c>
      <c r="W90">
        <f>HYPERLINK("https://klasma.github.io/Logging_1080/artfynd/A 41421-2025 artfynd.xlsx", "A 41421-2025")</f>
        <v/>
      </c>
      <c r="X90">
        <f>HYPERLINK("https://klasma.github.io/Logging_1080/kartor/A 41421-2025 karta.png", "A 41421-2025")</f>
        <v/>
      </c>
      <c r="Y90">
        <f>HYPERLINK("https://klasma.github.io/Logging_1080/kartor_geotiff/A 41421-2025 georefererad karta.tif", "A 41421-2025")</f>
        <v/>
      </c>
      <c r="AA90">
        <f>HYPERLINK("https://klasma.github.io/Logging_1080/klagomål/A 41421-2025 FSC-klagomål.docx", "A 41421-2025")</f>
        <v/>
      </c>
      <c r="AB90">
        <f>HYPERLINK("https://klasma.github.io/Logging_1080/klagomålsmail/A 41421-2025 FSC-klagomål mail.docx", "A 41421-2025")</f>
        <v/>
      </c>
      <c r="AC90">
        <f>HYPERLINK("https://klasma.github.io/Logging_1080/tillsyn/A 41421-2025 tillsynsbegäran.docx", "A 41421-2025")</f>
        <v/>
      </c>
      <c r="AD90">
        <f>HYPERLINK("https://klasma.github.io/Logging_1080/tillsynsmail/A 41421-2025 tillsynsbegäran mail.docx", "A 41421-2025")</f>
        <v/>
      </c>
    </row>
    <row r="91" ht="15" customHeight="1">
      <c r="A91" t="inlineStr">
        <is>
          <t>S 388-2025</t>
        </is>
      </c>
      <c r="B91" t="inlineStr">
        <is>
          <t>samrådsanmälan</t>
        </is>
      </c>
      <c r="C91" t="inlineStr">
        <is>
          <t>Annan skogsbruksåtgärd</t>
        </is>
      </c>
      <c r="D91" s="1" t="n">
        <v>45692</v>
      </c>
      <c r="E91" s="1" t="n">
        <v>46248</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46248</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46248</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46248</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46248</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46248</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46248</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46248</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46248</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46248</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45615-2021</t>
        </is>
      </c>
      <c r="B101" t="inlineStr">
        <is>
          <t>avverkningsanmälan</t>
        </is>
      </c>
      <c r="C101" t="inlineStr">
        <is>
          <t>Föryngringsavverkning</t>
        </is>
      </c>
      <c r="D101" s="1" t="n">
        <v>44440</v>
      </c>
      <c r="E101" s="1" t="n">
        <v>46248</v>
      </c>
      <c r="F101" t="inlineStr">
        <is>
          <t>BLEKINGE LÄN</t>
        </is>
      </c>
      <c r="G101" t="inlineStr">
        <is>
          <t>KARLSKRONA</t>
        </is>
      </c>
      <c r="H101" t="inlineStr">
        <is>
          <t>Kommuner</t>
        </is>
      </c>
      <c r="I101" t="n">
        <v>5.2</v>
      </c>
      <c r="J101" t="n">
        <v>1</v>
      </c>
      <c r="K101" t="n">
        <v>1</v>
      </c>
      <c r="L101" t="n">
        <v>0</v>
      </c>
      <c r="M101" t="n">
        <v>0</v>
      </c>
      <c r="N101" t="n">
        <v>0</v>
      </c>
      <c r="O101" t="n">
        <v>0</v>
      </c>
      <c r="P101" t="n">
        <v>0</v>
      </c>
      <c r="Q101" t="n">
        <v>0</v>
      </c>
      <c r="R101" t="n">
        <v>0</v>
      </c>
      <c r="S101" t="n">
        <v>1</v>
      </c>
      <c r="T101" t="n">
        <v>1</v>
      </c>
      <c r="U101" t="n">
        <v>1</v>
      </c>
      <c r="V101" s="2" t="inlineStr">
        <is>
          <t>Ekoxe</t>
        </is>
      </c>
      <c r="W101">
        <f>HYPERLINK("https://klasma.github.io/Logging_1080/artfynd/A 45615-2021 artfynd.xlsx", "A 45615-2021")</f>
        <v/>
      </c>
      <c r="X101">
        <f>HYPERLINK("https://klasma.github.io/Logging_1080/kartor/A 45615-2021 karta.png", "A 45615-2021")</f>
        <v/>
      </c>
      <c r="Y101">
        <f>HYPERLINK("https://klasma.github.io/Logging_1080/kartor_geotiff/A 45615-2021 georefererad karta.tif", "A 45615-2021")</f>
        <v/>
      </c>
      <c r="AA101">
        <f>HYPERLINK("https://klasma.github.io/Logging_1080/klagomål/A 45615-2021 FSC-klagomål.docx", "A 45615-2021")</f>
        <v/>
      </c>
      <c r="AB101">
        <f>HYPERLINK("https://klasma.github.io/Logging_1080/klagomålsmail/A 45615-2021 FSC-klagomål mail.docx", "A 45615-2021")</f>
        <v/>
      </c>
      <c r="AC101">
        <f>HYPERLINK("https://klasma.github.io/Logging_1080/tillsyn/A 45615-2021 tillsynsbegäran.docx", "A 45615-2021")</f>
        <v/>
      </c>
      <c r="AD101">
        <f>HYPERLINK("https://klasma.github.io/Logging_1080/tillsynsmail/A 45615-2021 tillsynsbegäran mail.docx", "A 45615-2021")</f>
        <v/>
      </c>
    </row>
    <row r="102" ht="15" customHeight="1">
      <c r="A102" t="inlineStr">
        <is>
          <t>A 61190-2021</t>
        </is>
      </c>
      <c r="B102" t="inlineStr">
        <is>
          <t>avverkningsanmälan</t>
        </is>
      </c>
      <c r="C102" t="inlineStr">
        <is>
          <t>Föryngringsavverkning</t>
        </is>
      </c>
      <c r="D102" s="1" t="n">
        <v>44498</v>
      </c>
      <c r="E102" s="1" t="n">
        <v>46248</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49902-2021</t>
        </is>
      </c>
      <c r="B103" t="inlineStr">
        <is>
          <t>avverkningsanmälan</t>
        </is>
      </c>
      <c r="C103" t="inlineStr">
        <is>
          <t>Föryngringsavverkning</t>
        </is>
      </c>
      <c r="D103" s="1" t="n">
        <v>44455</v>
      </c>
      <c r="E103" s="1" t="n">
        <v>46248</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69282-2021</t>
        </is>
      </c>
      <c r="B104" t="inlineStr">
        <is>
          <t>avverkningsanmälan</t>
        </is>
      </c>
      <c r="C104" t="inlineStr">
        <is>
          <t>Föryngringsavverkning</t>
        </is>
      </c>
      <c r="D104" s="1" t="n">
        <v>44531</v>
      </c>
      <c r="E104" s="1" t="n">
        <v>46248</v>
      </c>
      <c r="F104" t="inlineStr">
        <is>
          <t>BLEKINGE LÄN</t>
        </is>
      </c>
      <c r="G104" t="inlineStr">
        <is>
          <t>KARLSKRONA</t>
        </is>
      </c>
      <c r="I104" t="n">
        <v>5.2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HYPERLINK("https://klasma.github.io/Logging_1080/artfynd/A 69282-2021 artfynd.xlsx", "A 69282-2021")</f>
        <v/>
      </c>
      <c r="X104">
        <f>HYPERLINK("https://klasma.github.io/Logging_1080/kartor/A 69282-2021 karta.png", "A 69282-2021")</f>
        <v/>
      </c>
      <c r="Y104">
        <f>HYPERLINK("https://klasma.github.io/Logging_1080/kartor_geotiff/A 69282-2021 georefererad karta.tif", "A 69282-2021")</f>
        <v/>
      </c>
      <c r="AA104">
        <f>HYPERLINK("https://klasma.github.io/Logging_1080/klagomål/A 69282-2021 FSC-klagomål.docx", "A 69282-2021")</f>
        <v/>
      </c>
      <c r="AB104">
        <f>HYPERLINK("https://klasma.github.io/Logging_1080/klagomålsmail/A 69282-2021 FSC-klagomål mail.docx", "A 69282-2021")</f>
        <v/>
      </c>
      <c r="AC104">
        <f>HYPERLINK("https://klasma.github.io/Logging_1080/tillsyn/A 69282-2021 tillsynsbegäran.docx", "A 69282-2021")</f>
        <v/>
      </c>
      <c r="AD104">
        <f>HYPERLINK("https://klasma.github.io/Logging_1080/tillsynsmail/A 69282-2021 tillsynsbegäran mail.docx", "A 69282-2021")</f>
        <v/>
      </c>
    </row>
    <row r="105" ht="15" customHeight="1">
      <c r="A105" t="inlineStr">
        <is>
          <t>A 41708-2021</t>
        </is>
      </c>
      <c r="B105" t="inlineStr">
        <is>
          <t>avverkningsanmälan</t>
        </is>
      </c>
      <c r="C105" t="inlineStr">
        <is>
          <t>Föryngringsavverkning</t>
        </is>
      </c>
      <c r="D105" s="1" t="n">
        <v>44425</v>
      </c>
      <c r="E105" s="1" t="n">
        <v>46248</v>
      </c>
      <c r="F105" t="inlineStr">
        <is>
          <t>BLEKINGE LÄN</t>
        </is>
      </c>
      <c r="G105" t="inlineStr">
        <is>
          <t>RONNEBY</t>
        </is>
      </c>
      <c r="I105" t="n">
        <v>7.7</v>
      </c>
      <c r="J105" t="n">
        <v>0</v>
      </c>
      <c r="K105" t="n">
        <v>0</v>
      </c>
      <c r="L105" t="n">
        <v>1</v>
      </c>
      <c r="M105" t="n">
        <v>0</v>
      </c>
      <c r="N105" t="n">
        <v>0</v>
      </c>
      <c r="O105" t="n">
        <v>0</v>
      </c>
      <c r="P105" t="n">
        <v>0</v>
      </c>
      <c r="Q105" t="n">
        <v>1</v>
      </c>
      <c r="R105" t="n">
        <v>0</v>
      </c>
      <c r="S105" t="n">
        <v>1</v>
      </c>
      <c r="T105" t="n">
        <v>1</v>
      </c>
      <c r="U105" t="n">
        <v>1</v>
      </c>
      <c r="V105" s="2" t="inlineStr">
        <is>
          <t>Ekticka</t>
        </is>
      </c>
      <c r="W105">
        <f>HYPERLINK("https://klasma.github.io/Logging_1081/artfynd/A 41708-2021 artfynd.xlsx", "A 41708-2021")</f>
        <v/>
      </c>
      <c r="X105">
        <f>HYPERLINK("https://klasma.github.io/Logging_1081/kartor/A 41708-2021 karta.png", "A 41708-2021")</f>
        <v/>
      </c>
      <c r="Y105">
        <f>HYPERLINK("https://klasma.github.io/Logging_1081/kartor_geotiff/A 41708-2021 georefererad karta.tif", "A 41708-2021")</f>
        <v/>
      </c>
      <c r="AA105">
        <f>HYPERLINK("https://klasma.github.io/Logging_1081/klagomål/A 41708-2021 FSC-klagomål.docx", "A 41708-2021")</f>
        <v/>
      </c>
      <c r="AB105">
        <f>HYPERLINK("https://klasma.github.io/Logging_1081/klagomålsmail/A 41708-2021 FSC-klagomål mail.docx", "A 41708-2021")</f>
        <v/>
      </c>
      <c r="AC105">
        <f>HYPERLINK("https://klasma.github.io/Logging_1081/tillsyn/A 41708-2021 tillsynsbegäran.docx", "A 41708-2021")</f>
        <v/>
      </c>
      <c r="AD105">
        <f>HYPERLINK("https://klasma.github.io/Logging_1081/tillsynsmail/A 41708-2021 tillsynsbegäran mail.docx", "A 41708-2021")</f>
        <v/>
      </c>
    </row>
    <row r="106" ht="15" customHeight="1">
      <c r="A106" t="inlineStr">
        <is>
          <t>A 32159-2022</t>
        </is>
      </c>
      <c r="B106" t="inlineStr">
        <is>
          <t>avverkningsanmälan</t>
        </is>
      </c>
      <c r="C106" t="inlineStr">
        <is>
          <t>Föryngringsavverkning</t>
        </is>
      </c>
      <c r="D106" s="1" t="n">
        <v>44756</v>
      </c>
      <c r="E106" s="1" t="n">
        <v>46248</v>
      </c>
      <c r="F106" t="inlineStr">
        <is>
          <t>BLEKINGE LÄN</t>
        </is>
      </c>
      <c r="G106" t="inlineStr">
        <is>
          <t>RONNEBY</t>
        </is>
      </c>
      <c r="I106" t="n">
        <v>0.7</v>
      </c>
      <c r="J106" t="n">
        <v>1</v>
      </c>
      <c r="K106" t="n">
        <v>0</v>
      </c>
      <c r="L106" t="n">
        <v>0</v>
      </c>
      <c r="M106" t="n">
        <v>0</v>
      </c>
      <c r="N106" t="n">
        <v>0</v>
      </c>
      <c r="O106" t="n">
        <v>0</v>
      </c>
      <c r="P106" t="n">
        <v>0</v>
      </c>
      <c r="Q106" t="n">
        <v>0</v>
      </c>
      <c r="R106" t="n">
        <v>0</v>
      </c>
      <c r="S106" t="n">
        <v>1</v>
      </c>
      <c r="T106" t="n">
        <v>1</v>
      </c>
      <c r="U106" t="n">
        <v>0</v>
      </c>
      <c r="V106" s="2" t="inlineStr">
        <is>
          <t>Grönvit nattviol</t>
        </is>
      </c>
      <c r="W106">
        <f>HYPERLINK("https://klasma.github.io/Logging_1081/artfynd/A 32159-2022 artfynd.xlsx", "A 32159-2022")</f>
        <v/>
      </c>
      <c r="X106">
        <f>HYPERLINK("https://klasma.github.io/Logging_1081/kartor/A 32159-2022 karta.png", "A 32159-2022")</f>
        <v/>
      </c>
      <c r="Y106">
        <f>HYPERLINK("https://klasma.github.io/Logging_1081/kartor_geotiff/A 32159-2022 georefererad karta.tif", "A 32159-2022")</f>
        <v/>
      </c>
      <c r="AA106">
        <f>HYPERLINK("https://klasma.github.io/Logging_1081/klagomål/A 32159-2022 FSC-klagomål.docx", "A 32159-2022")</f>
        <v/>
      </c>
      <c r="AB106">
        <f>HYPERLINK("https://klasma.github.io/Logging_1081/klagomålsmail/A 32159-2022 FSC-klagomål mail.docx", "A 32159-2022")</f>
        <v/>
      </c>
      <c r="AC106">
        <f>HYPERLINK("https://klasma.github.io/Logging_1081/tillsyn/A 32159-2022 tillsynsbegäran.docx", "A 32159-2022")</f>
        <v/>
      </c>
      <c r="AD106">
        <f>HYPERLINK("https://klasma.github.io/Logging_1081/tillsynsmail/A 32159-2022 tillsynsbegäran mail.docx", "A 32159-2022")</f>
        <v/>
      </c>
    </row>
    <row r="107" ht="15" customHeight="1">
      <c r="A107" t="inlineStr">
        <is>
          <t>A 52837-2021</t>
        </is>
      </c>
      <c r="B107" t="inlineStr">
        <is>
          <t>avverkningsanmälan</t>
        </is>
      </c>
      <c r="C107" t="inlineStr">
        <is>
          <t>Föryngringsavverkning</t>
        </is>
      </c>
      <c r="D107" s="1" t="n">
        <v>44467</v>
      </c>
      <c r="E107" s="1" t="n">
        <v>46248</v>
      </c>
      <c r="F107" t="inlineStr">
        <is>
          <t>BLEKINGE LÄN</t>
        </is>
      </c>
      <c r="G107" t="inlineStr">
        <is>
          <t>KARLSKRONA</t>
        </is>
      </c>
      <c r="I107" t="n">
        <v>1.6</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HYPERLINK("https://klasma.github.io/Logging_1080/artfynd/A 52837-2021 artfynd.xlsx", "A 52837-2021")</f>
        <v/>
      </c>
      <c r="X107">
        <f>HYPERLINK("https://klasma.github.io/Logging_1080/kartor/A 52837-2021 karta.png", "A 52837-2021")</f>
        <v/>
      </c>
      <c r="Y107">
        <f>HYPERLINK("https://klasma.github.io/Logging_1080/kartor_geotiff/A 52837-2021 georefererad karta.tif", "A 52837-2021")</f>
        <v/>
      </c>
      <c r="AA107">
        <f>HYPERLINK("https://klasma.github.io/Logging_1080/klagomål/A 52837-2021 FSC-klagomål.docx", "A 52837-2021")</f>
        <v/>
      </c>
      <c r="AB107">
        <f>HYPERLINK("https://klasma.github.io/Logging_1080/klagomålsmail/A 52837-2021 FSC-klagomål mail.docx", "A 52837-2021")</f>
        <v/>
      </c>
      <c r="AC107">
        <f>HYPERLINK("https://klasma.github.io/Logging_1080/tillsyn/A 52837-2021 tillsynsbegäran.docx", "A 52837-2021")</f>
        <v/>
      </c>
      <c r="AD107">
        <f>HYPERLINK("https://klasma.github.io/Logging_1080/tillsynsmail/A 52837-2021 tillsynsbegäran mail.docx", "A 52837-2021")</f>
        <v/>
      </c>
    </row>
    <row r="108" ht="15" customHeight="1">
      <c r="A108" t="inlineStr">
        <is>
          <t>A 9316-2024</t>
        </is>
      </c>
      <c r="B108" t="inlineStr">
        <is>
          <t>avverkningsanmälan</t>
        </is>
      </c>
      <c r="C108" t="inlineStr">
        <is>
          <t>Föryngringsavverkning</t>
        </is>
      </c>
      <c r="D108" s="1" t="n">
        <v>45358</v>
      </c>
      <c r="E108" s="1" t="n">
        <v>46248</v>
      </c>
      <c r="F108" t="inlineStr">
        <is>
          <t>BLEKINGE LÄN</t>
        </is>
      </c>
      <c r="G108" t="inlineStr">
        <is>
          <t>SÖLVESBORG</t>
        </is>
      </c>
      <c r="I108" t="n">
        <v>4</v>
      </c>
      <c r="J108" t="n">
        <v>1</v>
      </c>
      <c r="K108" t="n">
        <v>0</v>
      </c>
      <c r="L108" t="n">
        <v>0</v>
      </c>
      <c r="M108" t="n">
        <v>0</v>
      </c>
      <c r="N108" t="n">
        <v>0</v>
      </c>
      <c r="O108" t="n">
        <v>0</v>
      </c>
      <c r="P108" t="n">
        <v>0</v>
      </c>
      <c r="Q108" t="n">
        <v>0</v>
      </c>
      <c r="R108" t="n">
        <v>0</v>
      </c>
      <c r="S108" t="n">
        <v>1</v>
      </c>
      <c r="T108" t="n">
        <v>1</v>
      </c>
      <c r="U108" t="n">
        <v>0</v>
      </c>
      <c r="V108" s="2" t="inlineStr">
        <is>
          <t>Gröngöling</t>
        </is>
      </c>
      <c r="W108">
        <f>HYPERLINK("https://klasma.github.io/Logging_1083/artfynd/A 9316-2024 artfynd.xlsx", "A 9316-2024")</f>
        <v/>
      </c>
      <c r="X108">
        <f>HYPERLINK("https://klasma.github.io/Logging_1083/kartor/A 9316-2024 karta.png", "A 9316-2024")</f>
        <v/>
      </c>
      <c r="Y108">
        <f>HYPERLINK("https://klasma.github.io/Logging_1083/kartor_geotiff/A 9316-2024 georefererad karta.tif", "A 9316-2024")</f>
        <v/>
      </c>
      <c r="AA108">
        <f>HYPERLINK("https://klasma.github.io/Logging_1083/klagomål/A 9316-2024 FSC-klagomål.docx", "A 9316-2024")</f>
        <v/>
      </c>
      <c r="AB108">
        <f>HYPERLINK("https://klasma.github.io/Logging_1083/klagomålsmail/A 9316-2024 FSC-klagomål mail.docx", "A 9316-2024")</f>
        <v/>
      </c>
      <c r="AC108">
        <f>HYPERLINK("https://klasma.github.io/Logging_1083/tillsyn/A 9316-2024 tillsynsbegäran.docx", "A 9316-2024")</f>
        <v/>
      </c>
      <c r="AD108">
        <f>HYPERLINK("https://klasma.github.io/Logging_1083/tillsynsmail/A 9316-2024 tillsynsbegäran mail.docx", "A 9316-2024")</f>
        <v/>
      </c>
    </row>
    <row r="109" ht="15" customHeight="1">
      <c r="A109" t="inlineStr">
        <is>
          <t>A 8961-2024</t>
        </is>
      </c>
      <c r="B109" t="inlineStr">
        <is>
          <t>avverkningsanmälan</t>
        </is>
      </c>
      <c r="C109" t="inlineStr">
        <is>
          <t>Föryngringsavverkning</t>
        </is>
      </c>
      <c r="D109" s="1" t="n">
        <v>45357</v>
      </c>
      <c r="E109" s="1" t="n">
        <v>46248</v>
      </c>
      <c r="F109" t="inlineStr">
        <is>
          <t>BLEKINGE LÄN</t>
        </is>
      </c>
      <c r="G109" t="inlineStr">
        <is>
          <t>RONNEBY</t>
        </is>
      </c>
      <c r="I109" t="n">
        <v>19.7</v>
      </c>
      <c r="J109" t="n">
        <v>1</v>
      </c>
      <c r="K109" t="n">
        <v>0</v>
      </c>
      <c r="L109" t="n">
        <v>0</v>
      </c>
      <c r="M109" t="n">
        <v>0</v>
      </c>
      <c r="N109" t="n">
        <v>0</v>
      </c>
      <c r="O109" t="n">
        <v>0</v>
      </c>
      <c r="P109" t="n">
        <v>0</v>
      </c>
      <c r="Q109" t="n">
        <v>0</v>
      </c>
      <c r="R109" t="n">
        <v>0</v>
      </c>
      <c r="S109" t="n">
        <v>1</v>
      </c>
      <c r="T109" t="n">
        <v>1</v>
      </c>
      <c r="U109" t="n">
        <v>1</v>
      </c>
      <c r="V109" s="2" t="inlineStr">
        <is>
          <t>Lopplummer (aggregat)</t>
        </is>
      </c>
      <c r="W109">
        <f>HYPERLINK("https://klasma.github.io/Logging_1081/artfynd/A 8961-2024 artfynd.xlsx", "A 8961-2024")</f>
        <v/>
      </c>
      <c r="X109">
        <f>HYPERLINK("https://klasma.github.io/Logging_1081/kartor/A 8961-2024 karta.png", "A 8961-2024")</f>
        <v/>
      </c>
      <c r="Y109">
        <f>HYPERLINK("https://klasma.github.io/Logging_1081/kartor_geotiff/A 8961-2024 georefererad karta.tif", "A 8961-2024")</f>
        <v/>
      </c>
      <c r="AA109">
        <f>HYPERLINK("https://klasma.github.io/Logging_1081/klagomål/A 8961-2024 FSC-klagomål.docx", "A 8961-2024")</f>
        <v/>
      </c>
      <c r="AB109">
        <f>HYPERLINK("https://klasma.github.io/Logging_1081/klagomålsmail/A 8961-2024 FSC-klagomål mail.docx", "A 8961-2024")</f>
        <v/>
      </c>
      <c r="AC109">
        <f>HYPERLINK("https://klasma.github.io/Logging_1081/tillsyn/A 8961-2024 tillsynsbegäran.docx", "A 8961-2024")</f>
        <v/>
      </c>
      <c r="AD109">
        <f>HYPERLINK("https://klasma.github.io/Logging_1081/tillsynsmail/A 8961-2024 tillsynsbegäran mail.docx", "A 8961-2024")</f>
        <v/>
      </c>
    </row>
    <row r="110" ht="15" customHeight="1">
      <c r="A110" t="inlineStr">
        <is>
          <t>A 47776-2023</t>
        </is>
      </c>
      <c r="B110" t="inlineStr">
        <is>
          <t>avverkningsanmälan</t>
        </is>
      </c>
      <c r="C110" t="inlineStr">
        <is>
          <t>Föryngringsavverkning</t>
        </is>
      </c>
      <c r="D110" s="1" t="n">
        <v>45203</v>
      </c>
      <c r="E110" s="1" t="n">
        <v>46248</v>
      </c>
      <c r="F110" t="inlineStr">
        <is>
          <t>BLEKINGE LÄN</t>
        </is>
      </c>
      <c r="G110" t="inlineStr">
        <is>
          <t>OLOFSTRÖM</t>
        </is>
      </c>
      <c r="I110" t="n">
        <v>1.4</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HYPERLINK("https://klasma.github.io/Logging_1060/artfynd/A 47776-2023 artfynd.xlsx", "A 47776-2023")</f>
        <v/>
      </c>
      <c r="X110">
        <f>HYPERLINK("https://klasma.github.io/Logging_1060/kartor/A 47776-2023 karta.png", "A 47776-2023")</f>
        <v/>
      </c>
      <c r="Y110">
        <f>HYPERLINK("https://klasma.github.io/Logging_1060/kartor_geotiff/A 47776-2023 georefererad karta.tif", "A 47776-2023")</f>
        <v/>
      </c>
      <c r="AA110">
        <f>HYPERLINK("https://klasma.github.io/Logging_1060/klagomål/A 47776-2023 FSC-klagomål.docx", "A 47776-2023")</f>
        <v/>
      </c>
      <c r="AB110">
        <f>HYPERLINK("https://klasma.github.io/Logging_1060/klagomålsmail/A 47776-2023 FSC-klagomål mail.docx", "A 47776-2023")</f>
        <v/>
      </c>
      <c r="AC110">
        <f>HYPERLINK("https://klasma.github.io/Logging_1060/tillsyn/A 47776-2023 tillsynsbegäran.docx", "A 47776-2023")</f>
        <v/>
      </c>
      <c r="AD110">
        <f>HYPERLINK("https://klasma.github.io/Logging_1060/tillsynsmail/A 47776-2023 tillsynsbegäran mail.docx", "A 47776-2023")</f>
        <v/>
      </c>
    </row>
    <row r="111" ht="15" customHeight="1">
      <c r="A111" t="inlineStr">
        <is>
          <t>A 12792-2025</t>
        </is>
      </c>
      <c r="B111" t="inlineStr">
        <is>
          <t>avverkningsanmälan</t>
        </is>
      </c>
      <c r="C111" t="inlineStr">
        <is>
          <t>Föryngringsavverkning</t>
        </is>
      </c>
      <c r="D111" s="1" t="n">
        <v>45733</v>
      </c>
      <c r="E111" s="1" t="n">
        <v>46248</v>
      </c>
      <c r="F111" t="inlineStr">
        <is>
          <t>BLEKINGE LÄN</t>
        </is>
      </c>
      <c r="G111" t="inlineStr">
        <is>
          <t>OLOFSTRÖM</t>
        </is>
      </c>
      <c r="I111" t="n">
        <v>2.4</v>
      </c>
      <c r="J111" t="n">
        <v>1</v>
      </c>
      <c r="K111" t="n">
        <v>0</v>
      </c>
      <c r="L111" t="n">
        <v>0</v>
      </c>
      <c r="M111" t="n">
        <v>0</v>
      </c>
      <c r="N111" t="n">
        <v>0</v>
      </c>
      <c r="O111" t="n">
        <v>0</v>
      </c>
      <c r="P111" t="n">
        <v>0</v>
      </c>
      <c r="Q111" t="n">
        <v>0</v>
      </c>
      <c r="R111" t="n">
        <v>0</v>
      </c>
      <c r="S111" t="n">
        <v>1</v>
      </c>
      <c r="T111" t="n">
        <v>1</v>
      </c>
      <c r="U111" t="n">
        <v>0</v>
      </c>
      <c r="V111" s="2" t="inlineStr">
        <is>
          <t>Mattlummer</t>
        </is>
      </c>
      <c r="W111">
        <f>HYPERLINK("https://klasma.github.io/Logging_1060/artfynd/A 12792-2025 artfynd.xlsx", "A 12792-2025")</f>
        <v/>
      </c>
      <c r="X111">
        <f>HYPERLINK("https://klasma.github.io/Logging_1060/kartor/A 12792-2025 karta.png", "A 12792-2025")</f>
        <v/>
      </c>
      <c r="Y111">
        <f>HYPERLINK("https://klasma.github.io/Logging_1060/kartor_geotiff/A 12792-2025 georefererad karta.tif", "A 12792-2025")</f>
        <v/>
      </c>
      <c r="AA111">
        <f>HYPERLINK("https://klasma.github.io/Logging_1060/klagomål/A 12792-2025 FSC-klagomål.docx", "A 12792-2025")</f>
        <v/>
      </c>
      <c r="AB111">
        <f>HYPERLINK("https://klasma.github.io/Logging_1060/klagomålsmail/A 12792-2025 FSC-klagomål mail.docx", "A 12792-2025")</f>
        <v/>
      </c>
      <c r="AC111">
        <f>HYPERLINK("https://klasma.github.io/Logging_1060/tillsyn/A 12792-2025 tillsynsbegäran.docx", "A 12792-2025")</f>
        <v/>
      </c>
      <c r="AD111">
        <f>HYPERLINK("https://klasma.github.io/Logging_1060/tillsynsmail/A 12792-2025 tillsynsbegäran mail.docx", "A 12792-2025")</f>
        <v/>
      </c>
    </row>
    <row r="112" ht="15" customHeight="1">
      <c r="A112" t="inlineStr">
        <is>
          <t>A 39085-2024</t>
        </is>
      </c>
      <c r="B112" t="inlineStr">
        <is>
          <t>avverkningsanmälan</t>
        </is>
      </c>
      <c r="C112" t="inlineStr">
        <is>
          <t>Föryngringsavverkning</t>
        </is>
      </c>
      <c r="D112" s="1" t="n">
        <v>45548</v>
      </c>
      <c r="E112" s="1" t="n">
        <v>46248</v>
      </c>
      <c r="F112" t="inlineStr">
        <is>
          <t>BLEKINGE LÄN</t>
        </is>
      </c>
      <c r="G112" t="inlineStr">
        <is>
          <t>OLOFSTRÖM</t>
        </is>
      </c>
      <c r="I112" t="n">
        <v>2.3</v>
      </c>
      <c r="J112" t="n">
        <v>1</v>
      </c>
      <c r="K112" t="n">
        <v>1</v>
      </c>
      <c r="L112" t="n">
        <v>0</v>
      </c>
      <c r="M112" t="n">
        <v>0</v>
      </c>
      <c r="N112" t="n">
        <v>0</v>
      </c>
      <c r="O112" t="n">
        <v>0</v>
      </c>
      <c r="P112" t="n">
        <v>0</v>
      </c>
      <c r="Q112" t="n">
        <v>0</v>
      </c>
      <c r="R112" t="n">
        <v>0</v>
      </c>
      <c r="S112" t="n">
        <v>1</v>
      </c>
      <c r="T112" t="n">
        <v>1</v>
      </c>
      <c r="U112" t="n">
        <v>1</v>
      </c>
      <c r="V112" s="2" t="inlineStr">
        <is>
          <t>Korallrot</t>
        </is>
      </c>
      <c r="W112">
        <f>HYPERLINK("https://klasma.github.io/Logging_1060/artfynd/A 39085-2024 artfynd.xlsx", "A 39085-2024")</f>
        <v/>
      </c>
      <c r="X112">
        <f>HYPERLINK("https://klasma.github.io/Logging_1060/kartor/A 39085-2024 karta.png", "A 39085-2024")</f>
        <v/>
      </c>
      <c r="Y112">
        <f>HYPERLINK("https://klasma.github.io/Logging_1060/kartor_geotiff/A 39085-2024 georefererad karta.tif", "A 39085-2024")</f>
        <v/>
      </c>
      <c r="AA112">
        <f>HYPERLINK("https://klasma.github.io/Logging_1060/klagomål/A 39085-2024 FSC-klagomål.docx", "A 39085-2024")</f>
        <v/>
      </c>
      <c r="AB112">
        <f>HYPERLINK("https://klasma.github.io/Logging_1060/klagomålsmail/A 39085-2024 FSC-klagomål mail.docx", "A 39085-2024")</f>
        <v/>
      </c>
      <c r="AC112">
        <f>HYPERLINK("https://klasma.github.io/Logging_1060/tillsyn/A 39085-2024 tillsynsbegäran.docx", "A 39085-2024")</f>
        <v/>
      </c>
      <c r="AD112">
        <f>HYPERLINK("https://klasma.github.io/Logging_1060/tillsynsmail/A 39085-2024 tillsynsbegäran mail.docx", "A 39085-2024")</f>
        <v/>
      </c>
    </row>
    <row r="113" ht="15" customHeight="1">
      <c r="A113" t="inlineStr">
        <is>
          <t>A 39104-2024</t>
        </is>
      </c>
      <c r="B113" t="inlineStr">
        <is>
          <t>avverkningsanmälan</t>
        </is>
      </c>
      <c r="C113" t="inlineStr">
        <is>
          <t>Föryngringsavverkning</t>
        </is>
      </c>
      <c r="D113" s="1" t="n">
        <v>45548</v>
      </c>
      <c r="E113" s="1" t="n">
        <v>46248</v>
      </c>
      <c r="F113" t="inlineStr">
        <is>
          <t>BLEKINGE LÄN</t>
        </is>
      </c>
      <c r="G113" t="inlineStr">
        <is>
          <t>OLOFSTRÖM</t>
        </is>
      </c>
      <c r="I113" t="n">
        <v>7.7</v>
      </c>
      <c r="J113" t="n">
        <v>0</v>
      </c>
      <c r="K113" t="n">
        <v>1</v>
      </c>
      <c r="L113" t="n">
        <v>0</v>
      </c>
      <c r="M113" t="n">
        <v>0</v>
      </c>
      <c r="N113" t="n">
        <v>0</v>
      </c>
      <c r="O113" t="n">
        <v>0</v>
      </c>
      <c r="P113" t="n">
        <v>0</v>
      </c>
      <c r="Q113" t="n">
        <v>0</v>
      </c>
      <c r="R113" t="n">
        <v>0</v>
      </c>
      <c r="S113" t="n">
        <v>1</v>
      </c>
      <c r="T113" t="n">
        <v>1</v>
      </c>
      <c r="U113" t="n">
        <v>0</v>
      </c>
      <c r="V113" s="2" t="inlineStr">
        <is>
          <t>Sotriska</t>
        </is>
      </c>
      <c r="W113">
        <f>HYPERLINK("https://klasma.github.io/Logging_1060/artfynd/A 39104-2024 artfynd.xlsx", "A 39104-2024")</f>
        <v/>
      </c>
      <c r="X113">
        <f>HYPERLINK("https://klasma.github.io/Logging_1060/kartor/A 39104-2024 karta.png", "A 39104-2024")</f>
        <v/>
      </c>
      <c r="Y113">
        <f>HYPERLINK("https://klasma.github.io/Logging_1060/kartor_geotiff/A 39104-2024 georefererad karta.tif", "A 39104-2024")</f>
        <v/>
      </c>
      <c r="AA113">
        <f>HYPERLINK("https://klasma.github.io/Logging_1060/klagomål/A 39104-2024 FSC-klagomål.docx", "A 39104-2024")</f>
        <v/>
      </c>
      <c r="AB113">
        <f>HYPERLINK("https://klasma.github.io/Logging_1060/klagomålsmail/A 39104-2024 FSC-klagomål mail.docx", "A 39104-2024")</f>
        <v/>
      </c>
      <c r="AC113">
        <f>HYPERLINK("https://klasma.github.io/Logging_1060/tillsyn/A 39104-2024 tillsynsbegäran.docx", "A 39104-2024")</f>
        <v/>
      </c>
      <c r="AD113">
        <f>HYPERLINK("https://klasma.github.io/Logging_1060/tillsynsmail/A 39104-2024 tillsynsbegäran mail.docx", "A 39104-2024")</f>
        <v/>
      </c>
    </row>
    <row r="114" ht="15" customHeight="1">
      <c r="A114" t="inlineStr">
        <is>
          <t>A 45688-2023</t>
        </is>
      </c>
      <c r="B114" t="inlineStr">
        <is>
          <t>avverkningsanmälan</t>
        </is>
      </c>
      <c r="C114" t="inlineStr">
        <is>
          <t>Föryngringsavverkning</t>
        </is>
      </c>
      <c r="D114" s="1" t="n">
        <v>45195</v>
      </c>
      <c r="E114" s="1" t="n">
        <v>46248</v>
      </c>
      <c r="F114" t="inlineStr">
        <is>
          <t>BLEKINGE LÄN</t>
        </is>
      </c>
      <c r="G114" t="inlineStr">
        <is>
          <t>OLOFSTRÖM</t>
        </is>
      </c>
      <c r="I114" t="n">
        <v>6.7</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HYPERLINK("https://klasma.github.io/Logging_1060/artfynd/A 45688-2023 artfynd.xlsx", "A 45688-2023")</f>
        <v/>
      </c>
      <c r="X114">
        <f>HYPERLINK("https://klasma.github.io/Logging_1060/kartor/A 45688-2023 karta.png", "A 45688-2023")</f>
        <v/>
      </c>
      <c r="Y114">
        <f>HYPERLINK("https://klasma.github.io/Logging_1060/kartor_geotiff/A 45688-2023 georefererad karta.tif", "A 45688-2023")</f>
        <v/>
      </c>
      <c r="AA114">
        <f>HYPERLINK("https://klasma.github.io/Logging_1060/klagomål/A 45688-2023 FSC-klagomål.docx", "A 45688-2023")</f>
        <v/>
      </c>
      <c r="AB114">
        <f>HYPERLINK("https://klasma.github.io/Logging_1060/klagomålsmail/A 45688-2023 FSC-klagomål mail.docx", "A 45688-2023")</f>
        <v/>
      </c>
      <c r="AC114">
        <f>HYPERLINK("https://klasma.github.io/Logging_1060/tillsyn/A 45688-2023 tillsynsbegäran.docx", "A 45688-2023")</f>
        <v/>
      </c>
      <c r="AD114">
        <f>HYPERLINK("https://klasma.github.io/Logging_1060/tillsynsmail/A 45688-2023 tillsynsbegäran mail.docx", "A 45688-2023")</f>
        <v/>
      </c>
    </row>
    <row r="115" ht="15" customHeight="1">
      <c r="A115" t="inlineStr">
        <is>
          <t>A 650-2022</t>
        </is>
      </c>
      <c r="B115" t="inlineStr">
        <is>
          <t>avverkningsanmälan</t>
        </is>
      </c>
      <c r="C115" t="inlineStr">
        <is>
          <t>Föryngringsavverkning</t>
        </is>
      </c>
      <c r="D115" s="1" t="n">
        <v>44568</v>
      </c>
      <c r="E115" s="1" t="n">
        <v>46248</v>
      </c>
      <c r="F115" t="inlineStr">
        <is>
          <t>BLEKINGE LÄN</t>
        </is>
      </c>
      <c r="G115" t="inlineStr">
        <is>
          <t>OLOFSTRÖM</t>
        </is>
      </c>
      <c r="H115" t="inlineStr">
        <is>
          <t>Sveaskog</t>
        </is>
      </c>
      <c r="I115" t="n">
        <v>5.8</v>
      </c>
      <c r="J115" t="n">
        <v>0</v>
      </c>
      <c r="K115" t="n">
        <v>1</v>
      </c>
      <c r="L115" t="n">
        <v>0</v>
      </c>
      <c r="M115" t="n">
        <v>0</v>
      </c>
      <c r="N115" t="n">
        <v>0</v>
      </c>
      <c r="O115" t="n">
        <v>0</v>
      </c>
      <c r="P115" t="n">
        <v>0</v>
      </c>
      <c r="Q115" t="n">
        <v>0</v>
      </c>
      <c r="R115" t="n">
        <v>0</v>
      </c>
      <c r="S115" t="n">
        <v>1</v>
      </c>
      <c r="T115" t="n">
        <v>1</v>
      </c>
      <c r="U115" t="n">
        <v>1</v>
      </c>
      <c r="V115" s="2" t="inlineStr">
        <is>
          <t>Stor revmossa</t>
        </is>
      </c>
      <c r="W115">
        <f>HYPERLINK("https://klasma.github.io/Logging_1060/artfynd/A 650-2022 artfynd.xlsx", "A 650-2022")</f>
        <v/>
      </c>
      <c r="X115">
        <f>HYPERLINK("https://klasma.github.io/Logging_1060/kartor/A 650-2022 karta.png", "A 650-2022")</f>
        <v/>
      </c>
      <c r="Y115">
        <f>HYPERLINK("https://klasma.github.io/Logging_1060/kartor_geotiff/A 650-2022 georefererad karta.tif", "A 650-2022")</f>
        <v/>
      </c>
      <c r="AA115">
        <f>HYPERLINK("https://klasma.github.io/Logging_1060/klagomål/A 650-2022 FSC-klagomål.docx", "A 650-2022")</f>
        <v/>
      </c>
      <c r="AB115">
        <f>HYPERLINK("https://klasma.github.io/Logging_1060/klagomålsmail/A 650-2022 FSC-klagomål mail.docx", "A 650-2022")</f>
        <v/>
      </c>
      <c r="AC115">
        <f>HYPERLINK("https://klasma.github.io/Logging_1060/tillsyn/A 650-2022 tillsynsbegäran.docx", "A 650-2022")</f>
        <v/>
      </c>
      <c r="AD115">
        <f>HYPERLINK("https://klasma.github.io/Logging_1060/tillsynsmail/A 650-2022 tillsynsbegäran mail.docx", "A 650-2022")</f>
        <v/>
      </c>
    </row>
    <row r="116" ht="15" customHeight="1">
      <c r="A116" t="inlineStr">
        <is>
          <t>A 27979-2023</t>
        </is>
      </c>
      <c r="B116" t="inlineStr">
        <is>
          <t>avverkningsanmälan</t>
        </is>
      </c>
      <c r="C116" t="inlineStr">
        <is>
          <t>Föryngringsavverkning</t>
        </is>
      </c>
      <c r="D116" s="1" t="n">
        <v>45098</v>
      </c>
      <c r="E116" s="1" t="n">
        <v>46248</v>
      </c>
      <c r="F116" t="inlineStr">
        <is>
          <t>BLEKINGE LÄN</t>
        </is>
      </c>
      <c r="G116" t="inlineStr">
        <is>
          <t>OLOFSTRÖM</t>
        </is>
      </c>
      <c r="I116" t="n">
        <v>1.9</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HYPERLINK("https://klasma.github.io/Logging_1060/artfynd/A 27979-2023 artfynd.xlsx", "A 27979-2023")</f>
        <v/>
      </c>
      <c r="X116">
        <f>HYPERLINK("https://klasma.github.io/Logging_1060/kartor/A 27979-2023 karta.png", "A 27979-2023")</f>
        <v/>
      </c>
      <c r="Y116">
        <f>HYPERLINK("https://klasma.github.io/Logging_1060/kartor_geotiff/A 27979-2023 georefererad karta.tif", "A 27979-2023")</f>
        <v/>
      </c>
      <c r="AA116">
        <f>HYPERLINK("https://klasma.github.io/Logging_1060/klagomål/A 27979-2023 FSC-klagomål.docx", "A 27979-2023")</f>
        <v/>
      </c>
      <c r="AB116">
        <f>HYPERLINK("https://klasma.github.io/Logging_1060/klagomålsmail/A 27979-2023 FSC-klagomål mail.docx", "A 27979-2023")</f>
        <v/>
      </c>
      <c r="AC116">
        <f>HYPERLINK("https://klasma.github.io/Logging_1060/tillsyn/A 27979-2023 tillsynsbegäran.docx", "A 27979-2023")</f>
        <v/>
      </c>
      <c r="AD116">
        <f>HYPERLINK("https://klasma.github.io/Logging_1060/tillsynsmail/A 27979-2023 tillsynsbegäran mail.docx", "A 27979-2023")</f>
        <v/>
      </c>
    </row>
    <row r="117" ht="15" customHeight="1">
      <c r="A117" t="inlineStr">
        <is>
          <t>A 33416-2023</t>
        </is>
      </c>
      <c r="B117" t="inlineStr">
        <is>
          <t>avverkningsanmälan</t>
        </is>
      </c>
      <c r="C117" t="inlineStr">
        <is>
          <t>Föryngringsavverkning</t>
        </is>
      </c>
      <c r="D117" s="1" t="n">
        <v>45117</v>
      </c>
      <c r="E117" s="1" t="n">
        <v>46248</v>
      </c>
      <c r="F117" t="inlineStr">
        <is>
          <t>BLEKINGE LÄN</t>
        </is>
      </c>
      <c r="G117" t="inlineStr">
        <is>
          <t>OLOFSTRÖM</t>
        </is>
      </c>
      <c r="I117" t="n">
        <v>2.1</v>
      </c>
      <c r="J117" t="n">
        <v>0</v>
      </c>
      <c r="K117" t="n">
        <v>1</v>
      </c>
      <c r="L117" t="n">
        <v>0</v>
      </c>
      <c r="M117" t="n">
        <v>0</v>
      </c>
      <c r="N117" t="n">
        <v>0</v>
      </c>
      <c r="O117" t="n">
        <v>0</v>
      </c>
      <c r="P117" t="n">
        <v>0</v>
      </c>
      <c r="Q117" t="n">
        <v>0</v>
      </c>
      <c r="R117" t="n">
        <v>0</v>
      </c>
      <c r="S117" t="n">
        <v>1</v>
      </c>
      <c r="T117" t="n">
        <v>1</v>
      </c>
      <c r="U117" t="n">
        <v>0</v>
      </c>
      <c r="V117" s="2" t="inlineStr">
        <is>
          <t>Skogsbräsma</t>
        </is>
      </c>
      <c r="W117">
        <f>HYPERLINK("https://klasma.github.io/Logging_1060/artfynd/A 33416-2023 artfynd.xlsx", "A 33416-2023")</f>
        <v/>
      </c>
      <c r="X117">
        <f>HYPERLINK("https://klasma.github.io/Logging_1060/kartor/A 33416-2023 karta.png", "A 33416-2023")</f>
        <v/>
      </c>
      <c r="Y117">
        <f>HYPERLINK("https://klasma.github.io/Logging_1060/kartor_geotiff/A 33416-2023 georefererad karta.tif", "A 33416-2023")</f>
        <v/>
      </c>
      <c r="AA117">
        <f>HYPERLINK("https://klasma.github.io/Logging_1060/klagomål/A 33416-2023 FSC-klagomål.docx", "A 33416-2023")</f>
        <v/>
      </c>
      <c r="AB117">
        <f>HYPERLINK("https://klasma.github.io/Logging_1060/klagomålsmail/A 33416-2023 FSC-klagomål mail.docx", "A 33416-2023")</f>
        <v/>
      </c>
      <c r="AC117">
        <f>HYPERLINK("https://klasma.github.io/Logging_1060/tillsyn/A 33416-2023 tillsynsbegäran.docx", "A 33416-2023")</f>
        <v/>
      </c>
      <c r="AD117">
        <f>HYPERLINK("https://klasma.github.io/Logging_1060/tillsynsmail/A 33416-2023 tillsynsbegäran mail.docx", "A 33416-2023")</f>
        <v/>
      </c>
    </row>
    <row r="118" ht="15" customHeight="1">
      <c r="A118" t="inlineStr">
        <is>
          <t>A 19600-2023</t>
        </is>
      </c>
      <c r="B118" t="inlineStr">
        <is>
          <t>avverkningsanmälan</t>
        </is>
      </c>
      <c r="C118" t="inlineStr">
        <is>
          <t>Föryngringsavverkning</t>
        </is>
      </c>
      <c r="D118" s="1" t="n">
        <v>45050</v>
      </c>
      <c r="E118" s="1" t="n">
        <v>46248</v>
      </c>
      <c r="F118" t="inlineStr">
        <is>
          <t>BLEKINGE LÄN</t>
        </is>
      </c>
      <c r="G118" t="inlineStr">
        <is>
          <t>KARLSKRONA</t>
        </is>
      </c>
      <c r="I118" t="n">
        <v>4.1</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HYPERLINK("https://klasma.github.io/Logging_1080/artfynd/A 19600-2023 artfynd.xlsx", "A 19600-2023")</f>
        <v/>
      </c>
      <c r="X118">
        <f>HYPERLINK("https://klasma.github.io/Logging_1080/kartor/A 19600-2023 karta.png", "A 19600-2023")</f>
        <v/>
      </c>
      <c r="Y118">
        <f>HYPERLINK("https://klasma.github.io/Logging_1080/kartor_geotiff/A 19600-2023 georefererad karta.tif", "A 19600-2023")</f>
        <v/>
      </c>
      <c r="AA118">
        <f>HYPERLINK("https://klasma.github.io/Logging_1080/klagomål/A 19600-2023 FSC-klagomål.docx", "A 19600-2023")</f>
        <v/>
      </c>
      <c r="AB118">
        <f>HYPERLINK("https://klasma.github.io/Logging_1080/klagomålsmail/A 19600-2023 FSC-klagomål mail.docx", "A 19600-2023")</f>
        <v/>
      </c>
      <c r="AC118">
        <f>HYPERLINK("https://klasma.github.io/Logging_1080/tillsyn/A 19600-2023 tillsynsbegäran.docx", "A 19600-2023")</f>
        <v/>
      </c>
      <c r="AD118">
        <f>HYPERLINK("https://klasma.github.io/Logging_1080/tillsynsmail/A 19600-2023 tillsynsbegäran mail.docx", "A 19600-2023")</f>
        <v/>
      </c>
    </row>
    <row r="119" ht="15" customHeight="1">
      <c r="A119" t="inlineStr">
        <is>
          <t>A 45186-2021</t>
        </is>
      </c>
      <c r="B119" t="inlineStr">
        <is>
          <t>avverkningsanmälan</t>
        </is>
      </c>
      <c r="C119" t="inlineStr">
        <is>
          <t>Föryngringsavverkning</t>
        </is>
      </c>
      <c r="D119" s="1" t="n">
        <v>44439</v>
      </c>
      <c r="E119" s="1" t="n">
        <v>46248</v>
      </c>
      <c r="F119" t="inlineStr">
        <is>
          <t>BLEKINGE LÄN</t>
        </is>
      </c>
      <c r="G119" t="inlineStr">
        <is>
          <t>RONNEBY</t>
        </is>
      </c>
      <c r="I119" t="n">
        <v>3.7</v>
      </c>
      <c r="J119" t="n">
        <v>1</v>
      </c>
      <c r="K119" t="n">
        <v>0</v>
      </c>
      <c r="L119" t="n">
        <v>0</v>
      </c>
      <c r="M119" t="n">
        <v>0</v>
      </c>
      <c r="N119" t="n">
        <v>0</v>
      </c>
      <c r="O119" t="n">
        <v>0</v>
      </c>
      <c r="P119" t="n">
        <v>0</v>
      </c>
      <c r="Q119" t="n">
        <v>0</v>
      </c>
      <c r="R119" t="n">
        <v>0</v>
      </c>
      <c r="S119" t="n">
        <v>1</v>
      </c>
      <c r="T119" t="n">
        <v>1</v>
      </c>
      <c r="U119" t="n">
        <v>0</v>
      </c>
      <c r="V119" s="2" t="inlineStr">
        <is>
          <t>Röd glada</t>
        </is>
      </c>
      <c r="W119">
        <f>HYPERLINK("https://klasma.github.io/Logging_1081/artfynd/A 45186-2021 artfynd.xlsx", "A 45186-2021")</f>
        <v/>
      </c>
      <c r="X119">
        <f>HYPERLINK("https://klasma.github.io/Logging_1081/kartor/A 45186-2021 karta.png", "A 45186-2021")</f>
        <v/>
      </c>
      <c r="Y119">
        <f>HYPERLINK("https://klasma.github.io/Logging_1081/kartor_geotiff/A 45186-2021 georefererad karta.tif", "A 45186-2021")</f>
        <v/>
      </c>
      <c r="AA119">
        <f>HYPERLINK("https://klasma.github.io/Logging_1081/klagomål/A 45186-2021 FSC-klagomål.docx", "A 45186-2021")</f>
        <v/>
      </c>
      <c r="AB119">
        <f>HYPERLINK("https://klasma.github.io/Logging_1081/klagomålsmail/A 45186-2021 FSC-klagomål mail.docx", "A 45186-2021")</f>
        <v/>
      </c>
      <c r="AC119">
        <f>HYPERLINK("https://klasma.github.io/Logging_1081/tillsyn/A 45186-2021 tillsynsbegäran.docx", "A 45186-2021")</f>
        <v/>
      </c>
      <c r="AD119">
        <f>HYPERLINK("https://klasma.github.io/Logging_1081/tillsynsmail/A 45186-2021 tillsynsbegäran mail.docx", "A 45186-2021")</f>
        <v/>
      </c>
      <c r="AE119">
        <f>HYPERLINK("https://klasma.github.io/Logging_1081/fåglar/A 45186-2021 prioriterade fågelarter.docx", "A 45186-2021")</f>
        <v/>
      </c>
    </row>
    <row r="120" ht="15" customHeight="1">
      <c r="A120" t="inlineStr">
        <is>
          <t>A 28642-2023</t>
        </is>
      </c>
      <c r="B120" t="inlineStr">
        <is>
          <t>avverkningsanmälan</t>
        </is>
      </c>
      <c r="C120" t="inlineStr">
        <is>
          <t>Föryngringsavverkning</t>
        </is>
      </c>
      <c r="D120" s="1" t="n">
        <v>45103</v>
      </c>
      <c r="E120" s="1" t="n">
        <v>46248</v>
      </c>
      <c r="F120" t="inlineStr">
        <is>
          <t>BLEKINGE LÄN</t>
        </is>
      </c>
      <c r="G120" t="inlineStr">
        <is>
          <t>KARLSKRONA</t>
        </is>
      </c>
      <c r="I120" t="n">
        <v>3.8</v>
      </c>
      <c r="J120" t="n">
        <v>0</v>
      </c>
      <c r="K120" t="n">
        <v>0</v>
      </c>
      <c r="L120" t="n">
        <v>0</v>
      </c>
      <c r="M120" t="n">
        <v>0</v>
      </c>
      <c r="N120" t="n">
        <v>1</v>
      </c>
      <c r="O120" t="n">
        <v>0</v>
      </c>
      <c r="P120" t="n">
        <v>0</v>
      </c>
      <c r="Q120" t="n">
        <v>1</v>
      </c>
      <c r="R120" t="n">
        <v>1</v>
      </c>
      <c r="S120" t="n">
        <v>1</v>
      </c>
      <c r="T120" t="n">
        <v>1</v>
      </c>
      <c r="U120" t="n">
        <v>0</v>
      </c>
      <c r="V120" s="2" t="inlineStr">
        <is>
          <t>Skogsalm</t>
        </is>
      </c>
      <c r="W120">
        <f>HYPERLINK("https://klasma.github.io/Logging_1080/artfynd/A 28642-2023 artfynd.xlsx", "A 28642-2023")</f>
        <v/>
      </c>
      <c r="X120">
        <f>HYPERLINK("https://klasma.github.io/Logging_1080/kartor/A 28642-2023 karta.png", "A 28642-2023")</f>
        <v/>
      </c>
      <c r="Y120">
        <f>HYPERLINK("https://klasma.github.io/Logging_1080/kartor_geotiff/A 28642-2023 georefererad karta.tif", "A 28642-2023")</f>
        <v/>
      </c>
      <c r="AA120">
        <f>HYPERLINK("https://klasma.github.io/Logging_1080/klagomål/A 28642-2023 FSC-klagomål.docx", "A 28642-2023")</f>
        <v/>
      </c>
      <c r="AB120">
        <f>HYPERLINK("https://klasma.github.io/Logging_1080/klagomålsmail/A 28642-2023 FSC-klagomål mail.docx", "A 28642-2023")</f>
        <v/>
      </c>
      <c r="AC120">
        <f>HYPERLINK("https://klasma.github.io/Logging_1080/tillsyn/A 28642-2023 tillsynsbegäran.docx", "A 28642-2023")</f>
        <v/>
      </c>
      <c r="AD120">
        <f>HYPERLINK("https://klasma.github.io/Logging_1080/tillsynsmail/A 28642-2023 tillsynsbegäran mail.docx", "A 28642-2023")</f>
        <v/>
      </c>
    </row>
    <row r="121" ht="15" customHeight="1">
      <c r="A121" t="inlineStr">
        <is>
          <t>A 41053-2024</t>
        </is>
      </c>
      <c r="B121" t="inlineStr">
        <is>
          <t>avverkningsanmälan</t>
        </is>
      </c>
      <c r="C121" t="inlineStr">
        <is>
          <t>Föryngringsavverkning</t>
        </is>
      </c>
      <c r="D121" s="1" t="n">
        <v>45559</v>
      </c>
      <c r="E121" s="1" t="n">
        <v>46248</v>
      </c>
      <c r="F121" t="inlineStr">
        <is>
          <t>BLEKINGE LÄN</t>
        </is>
      </c>
      <c r="G121" t="inlineStr">
        <is>
          <t>RONNEBY</t>
        </is>
      </c>
      <c r="H121" t="inlineStr">
        <is>
          <t>Övriga Aktiebolag</t>
        </is>
      </c>
      <c r="I121" t="n">
        <v>2.8</v>
      </c>
      <c r="J121" t="n">
        <v>1</v>
      </c>
      <c r="K121" t="n">
        <v>0</v>
      </c>
      <c r="L121" t="n">
        <v>0</v>
      </c>
      <c r="M121" t="n">
        <v>0</v>
      </c>
      <c r="N121" t="n">
        <v>0</v>
      </c>
      <c r="O121" t="n">
        <v>0</v>
      </c>
      <c r="P121" t="n">
        <v>0</v>
      </c>
      <c r="Q121" t="n">
        <v>0</v>
      </c>
      <c r="R121" t="n">
        <v>0</v>
      </c>
      <c r="S121" t="n">
        <v>1</v>
      </c>
      <c r="T121" t="n">
        <v>1</v>
      </c>
      <c r="U121" t="n">
        <v>0</v>
      </c>
      <c r="V121" s="2" t="inlineStr">
        <is>
          <t>Hårklomossa</t>
        </is>
      </c>
      <c r="W121">
        <f>HYPERLINK("https://klasma.github.io/Logging_1081/artfynd/A 41053-2024 artfynd.xlsx", "A 41053-2024")</f>
        <v/>
      </c>
      <c r="X121">
        <f>HYPERLINK("https://klasma.github.io/Logging_1081/kartor/A 41053-2024 karta.png", "A 41053-2024")</f>
        <v/>
      </c>
      <c r="Y121">
        <f>HYPERLINK("https://klasma.github.io/Logging_1081/kartor_geotiff/A 41053-2024 georefererad karta.tif", "A 41053-2024")</f>
        <v/>
      </c>
      <c r="AA121">
        <f>HYPERLINK("https://klasma.github.io/Logging_1081/klagomål/A 41053-2024 FSC-klagomål.docx", "A 41053-2024")</f>
        <v/>
      </c>
      <c r="AB121">
        <f>HYPERLINK("https://klasma.github.io/Logging_1081/klagomålsmail/A 41053-2024 FSC-klagomål mail.docx", "A 41053-2024")</f>
        <v/>
      </c>
      <c r="AC121">
        <f>HYPERLINK("https://klasma.github.io/Logging_1081/tillsyn/A 41053-2024 tillsynsbegäran.docx", "A 41053-2024")</f>
        <v/>
      </c>
      <c r="AD121">
        <f>HYPERLINK("https://klasma.github.io/Logging_1081/tillsynsmail/A 41053-2024 tillsynsbegäran mail.docx", "A 41053-2024")</f>
        <v/>
      </c>
    </row>
    <row r="122" ht="15" customHeight="1">
      <c r="A122" t="inlineStr">
        <is>
          <t>A 34742-2023</t>
        </is>
      </c>
      <c r="B122" t="inlineStr">
        <is>
          <t>avverkningsanmälan</t>
        </is>
      </c>
      <c r="C122" t="inlineStr">
        <is>
          <t>Föryngringsavverkning</t>
        </is>
      </c>
      <c r="D122" s="1" t="n">
        <v>45141</v>
      </c>
      <c r="E122" s="1" t="n">
        <v>46248</v>
      </c>
      <c r="F122" t="inlineStr">
        <is>
          <t>BLEKINGE LÄN</t>
        </is>
      </c>
      <c r="G122" t="inlineStr">
        <is>
          <t>OLOFSTRÖM</t>
        </is>
      </c>
      <c r="I122" t="n">
        <v>3.6</v>
      </c>
      <c r="J122" t="n">
        <v>0</v>
      </c>
      <c r="K122" t="n">
        <v>1</v>
      </c>
      <c r="L122" t="n">
        <v>0</v>
      </c>
      <c r="M122" t="n">
        <v>0</v>
      </c>
      <c r="N122" t="n">
        <v>0</v>
      </c>
      <c r="O122" t="n">
        <v>0</v>
      </c>
      <c r="P122" t="n">
        <v>0</v>
      </c>
      <c r="Q122" t="n">
        <v>0</v>
      </c>
      <c r="R122" t="n">
        <v>0</v>
      </c>
      <c r="S122" t="n">
        <v>1</v>
      </c>
      <c r="T122" t="n">
        <v>1</v>
      </c>
      <c r="U122" t="n">
        <v>1</v>
      </c>
      <c r="V122" s="2" t="inlineStr">
        <is>
          <t>Guldlockmossa</t>
        </is>
      </c>
      <c r="W122">
        <f>HYPERLINK("https://klasma.github.io/Logging_1060/artfynd/A 34742-2023 artfynd.xlsx", "A 34742-2023")</f>
        <v/>
      </c>
      <c r="X122">
        <f>HYPERLINK("https://klasma.github.io/Logging_1060/kartor/A 34742-2023 karta.png", "A 34742-2023")</f>
        <v/>
      </c>
      <c r="Y122">
        <f>HYPERLINK("https://klasma.github.io/Logging_1060/kartor_geotiff/A 34742-2023 georefererad karta.tif", "A 34742-2023")</f>
        <v/>
      </c>
      <c r="AA122">
        <f>HYPERLINK("https://klasma.github.io/Logging_1060/klagomål/A 34742-2023 FSC-klagomål.docx", "A 34742-2023")</f>
        <v/>
      </c>
      <c r="AB122">
        <f>HYPERLINK("https://klasma.github.io/Logging_1060/klagomålsmail/A 34742-2023 FSC-klagomål mail.docx", "A 34742-2023")</f>
        <v/>
      </c>
      <c r="AC122">
        <f>HYPERLINK("https://klasma.github.io/Logging_1060/tillsyn/A 34742-2023 tillsynsbegäran.docx", "A 34742-2023")</f>
        <v/>
      </c>
      <c r="AD122">
        <f>HYPERLINK("https://klasma.github.io/Logging_1060/tillsynsmail/A 34742-2023 tillsynsbegäran mail.docx", "A 34742-2023")</f>
        <v/>
      </c>
    </row>
    <row r="123" ht="15" customHeight="1">
      <c r="A123" t="inlineStr">
        <is>
          <t>A 30181-2023</t>
        </is>
      </c>
      <c r="B123" t="inlineStr">
        <is>
          <t>avverkningsanmälan</t>
        </is>
      </c>
      <c r="C123" t="inlineStr">
        <is>
          <t>Föryngringsavverkning</t>
        </is>
      </c>
      <c r="D123" s="1" t="n">
        <v>45110</v>
      </c>
      <c r="E123" s="1" t="n">
        <v>46248</v>
      </c>
      <c r="F123" t="inlineStr">
        <is>
          <t>BLEKINGE LÄN</t>
        </is>
      </c>
      <c r="G123" t="inlineStr">
        <is>
          <t>KARLSKRONA</t>
        </is>
      </c>
      <c r="I123" t="n">
        <v>3</v>
      </c>
      <c r="J123" t="n">
        <v>1</v>
      </c>
      <c r="K123" t="n">
        <v>0</v>
      </c>
      <c r="L123" t="n">
        <v>0</v>
      </c>
      <c r="M123" t="n">
        <v>1</v>
      </c>
      <c r="N123" t="n">
        <v>0</v>
      </c>
      <c r="O123" t="n">
        <v>0</v>
      </c>
      <c r="P123" t="n">
        <v>0</v>
      </c>
      <c r="Q123" t="n">
        <v>1</v>
      </c>
      <c r="R123" t="n">
        <v>1</v>
      </c>
      <c r="S123" t="n">
        <v>1</v>
      </c>
      <c r="T123" t="n">
        <v>1</v>
      </c>
      <c r="U123" t="n">
        <v>1</v>
      </c>
      <c r="V123" s="2" t="inlineStr">
        <is>
          <t>Hasselsnok</t>
        </is>
      </c>
      <c r="W123">
        <f>HYPERLINK("https://klasma.github.io/Logging_1080/artfynd/A 30181-2023 artfynd.xlsx", "A 30181-2023")</f>
        <v/>
      </c>
      <c r="X123">
        <f>HYPERLINK("https://klasma.github.io/Logging_1080/kartor/A 30181-2023 karta.png", "A 30181-2023")</f>
        <v/>
      </c>
      <c r="Y123">
        <f>HYPERLINK("https://klasma.github.io/Logging_1080/kartor_geotiff/A 30181-2023 georefererad karta.tif", "A 30181-2023")</f>
        <v/>
      </c>
      <c r="AA123">
        <f>HYPERLINK("https://klasma.github.io/Logging_1080/klagomål/A 30181-2023 FSC-klagomål.docx", "A 30181-2023")</f>
        <v/>
      </c>
      <c r="AB123">
        <f>HYPERLINK("https://klasma.github.io/Logging_1080/klagomålsmail/A 30181-2023 FSC-klagomål mail.docx", "A 30181-2023")</f>
        <v/>
      </c>
      <c r="AC123">
        <f>HYPERLINK("https://klasma.github.io/Logging_1080/tillsyn/A 30181-2023 tillsynsbegäran.docx", "A 30181-2023")</f>
        <v/>
      </c>
      <c r="AD123">
        <f>HYPERLINK("https://klasma.github.io/Logging_1080/tillsynsmail/A 30181-2023 tillsynsbegäran mail.docx", "A 30181-2023")</f>
        <v/>
      </c>
    </row>
    <row r="124" ht="15" customHeight="1">
      <c r="A124" t="inlineStr">
        <is>
          <t>A 13533-2024</t>
        </is>
      </c>
      <c r="B124" t="inlineStr">
        <is>
          <t>avverkningsanmälan</t>
        </is>
      </c>
      <c r="C124" t="inlineStr">
        <is>
          <t>Föryngringsavverkning</t>
        </is>
      </c>
      <c r="D124" s="1" t="n">
        <v>45387</v>
      </c>
      <c r="E124" s="1" t="n">
        <v>46248</v>
      </c>
      <c r="F124" t="inlineStr">
        <is>
          <t>BLEKINGE LÄN</t>
        </is>
      </c>
      <c r="G124" t="inlineStr">
        <is>
          <t>KARLSKRONA</t>
        </is>
      </c>
      <c r="I124" t="n">
        <v>1.3</v>
      </c>
      <c r="J124" t="n">
        <v>0</v>
      </c>
      <c r="K124" t="n">
        <v>0</v>
      </c>
      <c r="L124" t="n">
        <v>1</v>
      </c>
      <c r="M124" t="n">
        <v>0</v>
      </c>
      <c r="N124" t="n">
        <v>0</v>
      </c>
      <c r="O124" t="n">
        <v>0</v>
      </c>
      <c r="P124" t="n">
        <v>0</v>
      </c>
      <c r="Q124" t="n">
        <v>1</v>
      </c>
      <c r="R124" t="n">
        <v>0</v>
      </c>
      <c r="S124" t="n">
        <v>1</v>
      </c>
      <c r="T124" t="n">
        <v>3</v>
      </c>
      <c r="U124" t="n">
        <v>0</v>
      </c>
      <c r="V124" s="2" t="inlineStr">
        <is>
          <t>Polabiskt björnbär</t>
        </is>
      </c>
      <c r="W124">
        <f>HYPERLINK("https://klasma.github.io/Logging_1080/artfynd/A 13533-2024 artfynd.xlsx", "A 13533-2024")</f>
        <v/>
      </c>
      <c r="X124">
        <f>HYPERLINK("https://klasma.github.io/Logging_1080/kartor/A 13533-2024 karta.png", "A 13533-2024")</f>
        <v/>
      </c>
      <c r="Y124">
        <f>HYPERLINK("https://klasma.github.io/Logging_1080/kartor_geotiff/A 13533-2024 georefererad karta.tif", "A 13533-2024")</f>
        <v/>
      </c>
      <c r="AA124">
        <f>HYPERLINK("https://klasma.github.io/Logging_1080/klagomål/A 13533-2024 FSC-klagomål.docx", "A 13533-2024")</f>
        <v/>
      </c>
      <c r="AB124">
        <f>HYPERLINK("https://klasma.github.io/Logging_1080/klagomålsmail/A 13533-2024 FSC-klagomål mail.docx", "A 13533-2024")</f>
        <v/>
      </c>
      <c r="AC124">
        <f>HYPERLINK("https://klasma.github.io/Logging_1080/tillsyn/A 13533-2024 tillsynsbegäran.docx", "A 13533-2024")</f>
        <v/>
      </c>
      <c r="AD124">
        <f>HYPERLINK("https://klasma.github.io/Logging_1080/tillsynsmail/A 13533-2024 tillsynsbegäran mail.docx", "A 13533-2024")</f>
        <v/>
      </c>
    </row>
    <row r="125" ht="15" customHeight="1">
      <c r="A125" t="inlineStr">
        <is>
          <t>A 19602-2023</t>
        </is>
      </c>
      <c r="B125" t="inlineStr">
        <is>
          <t>avverkningsanmälan</t>
        </is>
      </c>
      <c r="C125" t="inlineStr">
        <is>
          <t>Föryngringsavverkning</t>
        </is>
      </c>
      <c r="D125" s="1" t="n">
        <v>45050</v>
      </c>
      <c r="E125" s="1" t="n">
        <v>46248</v>
      </c>
      <c r="F125" t="inlineStr">
        <is>
          <t>BLEKINGE LÄN</t>
        </is>
      </c>
      <c r="G125" t="inlineStr">
        <is>
          <t>KARLSKRONA</t>
        </is>
      </c>
      <c r="I125" t="n">
        <v>19.5</v>
      </c>
      <c r="J125" t="n">
        <v>1</v>
      </c>
      <c r="K125" t="n">
        <v>0</v>
      </c>
      <c r="L125" t="n">
        <v>0</v>
      </c>
      <c r="M125" t="n">
        <v>1</v>
      </c>
      <c r="N125" t="n">
        <v>0</v>
      </c>
      <c r="O125" t="n">
        <v>0</v>
      </c>
      <c r="P125" t="n">
        <v>0</v>
      </c>
      <c r="Q125" t="n">
        <v>1</v>
      </c>
      <c r="R125" t="n">
        <v>1</v>
      </c>
      <c r="S125" t="n">
        <v>1</v>
      </c>
      <c r="T125" t="n">
        <v>2</v>
      </c>
      <c r="U125" t="n">
        <v>0</v>
      </c>
      <c r="V125" s="2" t="inlineStr">
        <is>
          <t>Backsippa</t>
        </is>
      </c>
      <c r="W125">
        <f>HYPERLINK("https://klasma.github.io/Logging_1080/artfynd/A 19602-2023 artfynd.xlsx", "A 19602-2023")</f>
        <v/>
      </c>
      <c r="X125">
        <f>HYPERLINK("https://klasma.github.io/Logging_1080/kartor/A 19602-2023 karta.png", "A 19602-2023")</f>
        <v/>
      </c>
      <c r="Y125">
        <f>HYPERLINK("https://klasma.github.io/Logging_1080/kartor_geotiff/A 19602-2023 georefererad karta.tif", "A 19602-2023")</f>
        <v/>
      </c>
      <c r="AA125">
        <f>HYPERLINK("https://klasma.github.io/Logging_1080/klagomål/A 19602-2023 FSC-klagomål.docx", "A 19602-2023")</f>
        <v/>
      </c>
      <c r="AB125">
        <f>HYPERLINK("https://klasma.github.io/Logging_1080/klagomålsmail/A 19602-2023 FSC-klagomål mail.docx", "A 19602-2023")</f>
        <v/>
      </c>
      <c r="AC125">
        <f>HYPERLINK("https://klasma.github.io/Logging_1080/tillsyn/A 19602-2023 tillsynsbegäran.docx", "A 19602-2023")</f>
        <v/>
      </c>
      <c r="AD125">
        <f>HYPERLINK("https://klasma.github.io/Logging_1080/tillsynsmail/A 19602-2023 tillsynsbegäran mail.docx", "A 19602-2023")</f>
        <v/>
      </c>
    </row>
    <row r="126" ht="15" customHeight="1">
      <c r="A126" t="inlineStr">
        <is>
          <t>A 1356-2024</t>
        </is>
      </c>
      <c r="B126" t="inlineStr">
        <is>
          <t>avverkningsanmälan</t>
        </is>
      </c>
      <c r="C126" t="inlineStr">
        <is>
          <t>Föryngringsavverkning</t>
        </is>
      </c>
      <c r="D126" s="1" t="n">
        <v>45303</v>
      </c>
      <c r="E126" s="1" t="n">
        <v>46248</v>
      </c>
      <c r="F126" t="inlineStr">
        <is>
          <t>BLEKINGE LÄN</t>
        </is>
      </c>
      <c r="G126" t="inlineStr">
        <is>
          <t>KARLSKRONA</t>
        </is>
      </c>
      <c r="I126" t="n">
        <v>2.4</v>
      </c>
      <c r="J126" t="n">
        <v>1</v>
      </c>
      <c r="K126" t="n">
        <v>1</v>
      </c>
      <c r="L126" t="n">
        <v>0</v>
      </c>
      <c r="M126" t="n">
        <v>0</v>
      </c>
      <c r="N126" t="n">
        <v>0</v>
      </c>
      <c r="O126" t="n">
        <v>0</v>
      </c>
      <c r="P126" t="n">
        <v>0</v>
      </c>
      <c r="Q126" t="n">
        <v>0</v>
      </c>
      <c r="R126" t="n">
        <v>0</v>
      </c>
      <c r="S126" t="n">
        <v>1</v>
      </c>
      <c r="T126" t="n">
        <v>2</v>
      </c>
      <c r="U126" t="n">
        <v>0</v>
      </c>
      <c r="V126" s="2" t="inlineStr">
        <is>
          <t>Ekoxe</t>
        </is>
      </c>
      <c r="W126">
        <f>HYPERLINK("https://klasma.github.io/Logging_1080/artfynd/A 1356-2024 artfynd.xlsx", "A 1356-2024")</f>
        <v/>
      </c>
      <c r="X126">
        <f>HYPERLINK("https://klasma.github.io/Logging_1080/kartor/A 1356-2024 karta.png", "A 1356-2024")</f>
        <v/>
      </c>
      <c r="Y126">
        <f>HYPERLINK("https://klasma.github.io/Logging_1080/kartor_geotiff/A 1356-2024 georefererad karta.tif", "A 1356-2024")</f>
        <v/>
      </c>
      <c r="AA126">
        <f>HYPERLINK("https://klasma.github.io/Logging_1080/klagomål/A 1356-2024 FSC-klagomål.docx", "A 1356-2024")</f>
        <v/>
      </c>
      <c r="AB126">
        <f>HYPERLINK("https://klasma.github.io/Logging_1080/klagomålsmail/A 1356-2024 FSC-klagomål mail.docx", "A 1356-2024")</f>
        <v/>
      </c>
      <c r="AC126">
        <f>HYPERLINK("https://klasma.github.io/Logging_1080/tillsyn/A 1356-2024 tillsynsbegäran.docx", "A 1356-2024")</f>
        <v/>
      </c>
      <c r="AD126">
        <f>HYPERLINK("https://klasma.github.io/Logging_1080/tillsynsmail/A 1356-2024 tillsynsbegäran mail.docx", "A 1356-2024")</f>
        <v/>
      </c>
    </row>
    <row r="127" ht="15" customHeight="1">
      <c r="A127" t="inlineStr">
        <is>
          <t>A 14345-2023</t>
        </is>
      </c>
      <c r="B127" t="inlineStr">
        <is>
          <t>avverkningsanmälan</t>
        </is>
      </c>
      <c r="C127" t="inlineStr">
        <is>
          <t>Föryngringsavverkning</t>
        </is>
      </c>
      <c r="D127" s="1" t="n">
        <v>45012</v>
      </c>
      <c r="E127" s="1" t="n">
        <v>46248</v>
      </c>
      <c r="F127" t="inlineStr">
        <is>
          <t>BLEKINGE LÄN</t>
        </is>
      </c>
      <c r="G127" t="inlineStr">
        <is>
          <t>KARLSKRONA</t>
        </is>
      </c>
      <c r="I127" t="n">
        <v>4.4</v>
      </c>
      <c r="J127" t="n">
        <v>0</v>
      </c>
      <c r="K127" t="n">
        <v>0</v>
      </c>
      <c r="L127" t="n">
        <v>1</v>
      </c>
      <c r="M127" t="n">
        <v>0</v>
      </c>
      <c r="N127" t="n">
        <v>0</v>
      </c>
      <c r="O127" t="n">
        <v>0</v>
      </c>
      <c r="P127" t="n">
        <v>0</v>
      </c>
      <c r="Q127" t="n">
        <v>1</v>
      </c>
      <c r="R127" t="n">
        <v>0</v>
      </c>
      <c r="S127" t="n">
        <v>1</v>
      </c>
      <c r="T127" t="n">
        <v>1</v>
      </c>
      <c r="U127" t="n">
        <v>0</v>
      </c>
      <c r="V127" s="2" t="inlineStr">
        <is>
          <t>Kavelhirs</t>
        </is>
      </c>
      <c r="W127">
        <f>HYPERLINK("https://klasma.github.io/Logging_1080/artfynd/A 14345-2023 artfynd.xlsx", "A 14345-2023")</f>
        <v/>
      </c>
      <c r="X127">
        <f>HYPERLINK("https://klasma.github.io/Logging_1080/kartor/A 14345-2023 karta.png", "A 14345-2023")</f>
        <v/>
      </c>
      <c r="Y127">
        <f>HYPERLINK("https://klasma.github.io/Logging_1080/kartor_geotiff/A 14345-2023 georefererad karta.tif", "A 14345-2023")</f>
        <v/>
      </c>
      <c r="AA127">
        <f>HYPERLINK("https://klasma.github.io/Logging_1080/klagomål/A 14345-2023 FSC-klagomål.docx", "A 14345-2023")</f>
        <v/>
      </c>
      <c r="AB127">
        <f>HYPERLINK("https://klasma.github.io/Logging_1080/klagomålsmail/A 14345-2023 FSC-klagomål mail.docx", "A 14345-2023")</f>
        <v/>
      </c>
      <c r="AC127">
        <f>HYPERLINK("https://klasma.github.io/Logging_1080/tillsyn/A 14345-2023 tillsynsbegäran.docx", "A 14345-2023")</f>
        <v/>
      </c>
      <c r="AD127">
        <f>HYPERLINK("https://klasma.github.io/Logging_1080/tillsynsmail/A 14345-2023 tillsynsbegäran mail.docx", "A 14345-2023")</f>
        <v/>
      </c>
    </row>
    <row r="128" ht="15" customHeight="1">
      <c r="A128" t="inlineStr">
        <is>
          <t>A 53806-2022</t>
        </is>
      </c>
      <c r="B128" t="inlineStr">
        <is>
          <t>avverkningsanmälan</t>
        </is>
      </c>
      <c r="C128" t="inlineStr">
        <is>
          <t>Föryngringsavverkning</t>
        </is>
      </c>
      <c r="D128" s="1" t="n">
        <v>44880</v>
      </c>
      <c r="E128" s="1" t="n">
        <v>46248</v>
      </c>
      <c r="F128" t="inlineStr">
        <is>
          <t>BLEKINGE LÄN</t>
        </is>
      </c>
      <c r="G128" t="inlineStr">
        <is>
          <t>OLOFSTRÖM</t>
        </is>
      </c>
      <c r="I128" t="n">
        <v>11.5</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HYPERLINK("https://klasma.github.io/Logging_1060/artfynd/A 53806-2022 artfynd.xlsx", "A 53806-2022")</f>
        <v/>
      </c>
      <c r="X128">
        <f>HYPERLINK("https://klasma.github.io/Logging_1060/kartor/A 53806-2022 karta.png", "A 53806-2022")</f>
        <v/>
      </c>
      <c r="Y128">
        <f>HYPERLINK("https://klasma.github.io/Logging_1060/kartor_geotiff/A 53806-2022 georefererad karta.tif", "A 53806-2022")</f>
        <v/>
      </c>
      <c r="AA128">
        <f>HYPERLINK("https://klasma.github.io/Logging_1060/klagomål/A 53806-2022 FSC-klagomål.docx", "A 53806-2022")</f>
        <v/>
      </c>
      <c r="AB128">
        <f>HYPERLINK("https://klasma.github.io/Logging_1060/klagomålsmail/A 53806-2022 FSC-klagomål mail.docx", "A 53806-2022")</f>
        <v/>
      </c>
      <c r="AC128">
        <f>HYPERLINK("https://klasma.github.io/Logging_1060/tillsyn/A 53806-2022 tillsynsbegäran.docx", "A 53806-2022")</f>
        <v/>
      </c>
      <c r="AD128">
        <f>HYPERLINK("https://klasma.github.io/Logging_1060/tillsynsmail/A 53806-2022 tillsynsbegäran mail.docx", "A 53806-2022")</f>
        <v/>
      </c>
    </row>
    <row r="129" ht="15" customHeight="1">
      <c r="A129" t="inlineStr">
        <is>
          <t>A 45413-2023</t>
        </is>
      </c>
      <c r="B129" t="inlineStr">
        <is>
          <t>avverkningsanmälan</t>
        </is>
      </c>
      <c r="C129" t="inlineStr">
        <is>
          <t>Föryngringsavverkning</t>
        </is>
      </c>
      <c r="D129" s="1" t="n">
        <v>45194</v>
      </c>
      <c r="E129" s="1" t="n">
        <v>46248</v>
      </c>
      <c r="F129" t="inlineStr">
        <is>
          <t>BLEKINGE LÄN</t>
        </is>
      </c>
      <c r="G129" t="inlineStr">
        <is>
          <t>RONNEBY</t>
        </is>
      </c>
      <c r="I129" t="n">
        <v>2.2</v>
      </c>
      <c r="J129" t="n">
        <v>0</v>
      </c>
      <c r="K129" t="n">
        <v>0</v>
      </c>
      <c r="L129" t="n">
        <v>1</v>
      </c>
      <c r="M129" t="n">
        <v>0</v>
      </c>
      <c r="N129" t="n">
        <v>0</v>
      </c>
      <c r="O129" t="n">
        <v>0</v>
      </c>
      <c r="P129" t="n">
        <v>0</v>
      </c>
      <c r="Q129" t="n">
        <v>1</v>
      </c>
      <c r="R129" t="n">
        <v>0</v>
      </c>
      <c r="S129" t="n">
        <v>1</v>
      </c>
      <c r="T129" t="n">
        <v>1</v>
      </c>
      <c r="U129" t="n">
        <v>1</v>
      </c>
      <c r="V129" s="2" t="inlineStr">
        <is>
          <t>Jungfrulin</t>
        </is>
      </c>
      <c r="W129">
        <f>HYPERLINK("https://klasma.github.io/Logging_1081/artfynd/A 45413-2023 artfynd.xlsx", "A 45413-2023")</f>
        <v/>
      </c>
      <c r="X129">
        <f>HYPERLINK("https://klasma.github.io/Logging_1081/kartor/A 45413-2023 karta.png", "A 45413-2023")</f>
        <v/>
      </c>
      <c r="Y129">
        <f>HYPERLINK("https://klasma.github.io/Logging_1081/kartor_geotiff/A 45413-2023 georefererad karta.tif", "A 45413-2023")</f>
        <v/>
      </c>
      <c r="AA129">
        <f>HYPERLINK("https://klasma.github.io/Logging_1081/klagomål/A 45413-2023 FSC-klagomål.docx", "A 45413-2023")</f>
        <v/>
      </c>
      <c r="AB129">
        <f>HYPERLINK("https://klasma.github.io/Logging_1081/klagomålsmail/A 45413-2023 FSC-klagomål mail.docx", "A 45413-2023")</f>
        <v/>
      </c>
      <c r="AC129">
        <f>HYPERLINK("https://klasma.github.io/Logging_1081/tillsyn/A 45413-2023 tillsynsbegäran.docx", "A 45413-2023")</f>
        <v/>
      </c>
      <c r="AD129">
        <f>HYPERLINK("https://klasma.github.io/Logging_1081/tillsynsmail/A 45413-2023 tillsynsbegäran mail.docx", "A 45413-2023")</f>
        <v/>
      </c>
    </row>
    <row r="130" ht="15" customHeight="1">
      <c r="A130" t="inlineStr">
        <is>
          <t>A 5571-2023</t>
        </is>
      </c>
      <c r="B130" t="inlineStr">
        <is>
          <t>avverkningsanmälan</t>
        </is>
      </c>
      <c r="C130" t="inlineStr">
        <is>
          <t>Föryngringsavverkning</t>
        </is>
      </c>
      <c r="D130" s="1" t="n">
        <v>44957</v>
      </c>
      <c r="E130" s="1" t="n">
        <v>46248</v>
      </c>
      <c r="F130" t="inlineStr">
        <is>
          <t>BLEKINGE LÄN</t>
        </is>
      </c>
      <c r="G130" t="inlineStr">
        <is>
          <t>RONNEBY</t>
        </is>
      </c>
      <c r="I130" t="n">
        <v>1.3</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HYPERLINK("https://klasma.github.io/Logging_1081/artfynd/A 5571-2023 artfynd.xlsx", "A 5571-2023")</f>
        <v/>
      </c>
      <c r="X130">
        <f>HYPERLINK("https://klasma.github.io/Logging_1081/kartor/A 5571-2023 karta.png", "A 5571-2023")</f>
        <v/>
      </c>
      <c r="Y130">
        <f>HYPERLINK("https://klasma.github.io/Logging_1081/kartor_geotiff/A 5571-2023 georefererad karta.tif", "A 5571-2023")</f>
        <v/>
      </c>
      <c r="AA130">
        <f>HYPERLINK("https://klasma.github.io/Logging_1081/klagomål/A 5571-2023 FSC-klagomål.docx", "A 5571-2023")</f>
        <v/>
      </c>
      <c r="AB130">
        <f>HYPERLINK("https://klasma.github.io/Logging_1081/klagomålsmail/A 5571-2023 FSC-klagomål mail.docx", "A 5571-2023")</f>
        <v/>
      </c>
      <c r="AC130">
        <f>HYPERLINK("https://klasma.github.io/Logging_1081/tillsyn/A 5571-2023 tillsynsbegäran.docx", "A 5571-2023")</f>
        <v/>
      </c>
      <c r="AD130">
        <f>HYPERLINK("https://klasma.github.io/Logging_1081/tillsynsmail/A 5571-2023 tillsynsbegäran mail.docx", "A 5571-2023")</f>
        <v/>
      </c>
    </row>
    <row r="131" ht="15" customHeight="1">
      <c r="A131" t="inlineStr">
        <is>
          <t>A 6221-2024</t>
        </is>
      </c>
      <c r="B131" t="inlineStr">
        <is>
          <t>avverkningsanmälan</t>
        </is>
      </c>
      <c r="C131" t="inlineStr">
        <is>
          <t>Föryngringsavverkning</t>
        </is>
      </c>
      <c r="D131" s="1" t="n">
        <v>45337</v>
      </c>
      <c r="E131" s="1" t="n">
        <v>46248</v>
      </c>
      <c r="F131" t="inlineStr">
        <is>
          <t>BLEKINGE LÄN</t>
        </is>
      </c>
      <c r="G131" t="inlineStr">
        <is>
          <t>KARLSKRONA</t>
        </is>
      </c>
      <c r="I131" t="n">
        <v>0.8</v>
      </c>
      <c r="J131" t="n">
        <v>1</v>
      </c>
      <c r="K131" t="n">
        <v>1</v>
      </c>
      <c r="L131" t="n">
        <v>0</v>
      </c>
      <c r="M131" t="n">
        <v>0</v>
      </c>
      <c r="N131" t="n">
        <v>0</v>
      </c>
      <c r="O131" t="n">
        <v>0</v>
      </c>
      <c r="P131" t="n">
        <v>0</v>
      </c>
      <c r="Q131" t="n">
        <v>0</v>
      </c>
      <c r="R131" t="n">
        <v>0</v>
      </c>
      <c r="S131" t="n">
        <v>1</v>
      </c>
      <c r="T131" t="n">
        <v>4</v>
      </c>
      <c r="U131" t="n">
        <v>3</v>
      </c>
      <c r="V131" s="2" t="inlineStr">
        <is>
          <t>Ekoxe</t>
        </is>
      </c>
      <c r="W131">
        <f>HYPERLINK("https://klasma.github.io/Logging_1080/artfynd/A 6221-2024 artfynd.xlsx", "A 6221-2024")</f>
        <v/>
      </c>
      <c r="X131">
        <f>HYPERLINK("https://klasma.github.io/Logging_1080/kartor/A 6221-2024 karta.png", "A 6221-2024")</f>
        <v/>
      </c>
      <c r="Y131">
        <f>HYPERLINK("https://klasma.github.io/Logging_1080/kartor_geotiff/A 6221-2024 georefererad karta.tif", "A 6221-2024")</f>
        <v/>
      </c>
      <c r="AA131">
        <f>HYPERLINK("https://klasma.github.io/Logging_1080/klagomål/A 6221-2024 FSC-klagomål.docx", "A 6221-2024")</f>
        <v/>
      </c>
      <c r="AB131">
        <f>HYPERLINK("https://klasma.github.io/Logging_1080/klagomålsmail/A 6221-2024 FSC-klagomål mail.docx", "A 6221-2024")</f>
        <v/>
      </c>
      <c r="AC131">
        <f>HYPERLINK("https://klasma.github.io/Logging_1080/tillsyn/A 6221-2024 tillsynsbegäran.docx", "A 6221-2024")</f>
        <v/>
      </c>
      <c r="AD131">
        <f>HYPERLINK("https://klasma.github.io/Logging_1080/tillsynsmail/A 6221-2024 tillsynsbegäran mail.docx", "A 6221-2024")</f>
        <v/>
      </c>
    </row>
    <row r="132" ht="15" customHeight="1">
      <c r="A132" t="inlineStr">
        <is>
          <t>A 58004-2024</t>
        </is>
      </c>
      <c r="B132" t="inlineStr">
        <is>
          <t>avverkningsanmälan</t>
        </is>
      </c>
      <c r="C132" t="inlineStr">
        <is>
          <t>Avverkning för annat ändamål</t>
        </is>
      </c>
      <c r="D132" s="1" t="n">
        <v>45631</v>
      </c>
      <c r="E132" s="1" t="n">
        <v>46248</v>
      </c>
      <c r="F132" t="inlineStr">
        <is>
          <t>BLEKINGE LÄN</t>
        </is>
      </c>
      <c r="G132" t="inlineStr">
        <is>
          <t>KARLSKRONA</t>
        </is>
      </c>
      <c r="I132" t="n">
        <v>1.2</v>
      </c>
      <c r="J132" t="n">
        <v>0</v>
      </c>
      <c r="K132" t="n">
        <v>0</v>
      </c>
      <c r="L132" t="n">
        <v>1</v>
      </c>
      <c r="M132" t="n">
        <v>0</v>
      </c>
      <c r="N132" t="n">
        <v>0</v>
      </c>
      <c r="O132" t="n">
        <v>0</v>
      </c>
      <c r="P132" t="n">
        <v>0</v>
      </c>
      <c r="Q132" t="n">
        <v>1</v>
      </c>
      <c r="R132" t="n">
        <v>0</v>
      </c>
      <c r="S132" t="n">
        <v>1</v>
      </c>
      <c r="T132" t="n">
        <v>1</v>
      </c>
      <c r="U132" t="n">
        <v>0</v>
      </c>
      <c r="V132" s="2" t="inlineStr">
        <is>
          <t>Korskovall</t>
        </is>
      </c>
      <c r="W132">
        <f>HYPERLINK("https://klasma.github.io/Logging_1080/artfynd/A 58004-2024 artfynd.xlsx", "A 58004-2024")</f>
        <v/>
      </c>
      <c r="X132">
        <f>HYPERLINK("https://klasma.github.io/Logging_1080/kartor/A 58004-2024 karta.png", "A 58004-2024")</f>
        <v/>
      </c>
      <c r="Y132">
        <f>HYPERLINK("https://klasma.github.io/Logging_1080/kartor_geotiff/A 58004-2024 georefererad karta.tif", "A 58004-2024")</f>
        <v/>
      </c>
      <c r="AA132">
        <f>HYPERLINK("https://klasma.github.io/Logging_1080/klagomål/A 58004-2024 FSC-klagomål.docx", "A 58004-2024")</f>
        <v/>
      </c>
      <c r="AB132">
        <f>HYPERLINK("https://klasma.github.io/Logging_1080/klagomålsmail/A 58004-2024 FSC-klagomål mail.docx", "A 58004-2024")</f>
        <v/>
      </c>
      <c r="AC132">
        <f>HYPERLINK("https://klasma.github.io/Logging_1080/tillsyn/A 58004-2024 tillsynsbegäran.docx", "A 58004-2024")</f>
        <v/>
      </c>
      <c r="AD132">
        <f>HYPERLINK("https://klasma.github.io/Logging_1080/tillsynsmail/A 58004-2024 tillsynsbegäran mail.docx", "A 58004-2024")</f>
        <v/>
      </c>
    </row>
    <row r="133" ht="15" customHeight="1">
      <c r="A133" t="inlineStr">
        <is>
          <t>A 28478-2023</t>
        </is>
      </c>
      <c r="B133" t="inlineStr">
        <is>
          <t>avverkningsanmälan</t>
        </is>
      </c>
      <c r="C133" t="inlineStr">
        <is>
          <t>Föryngringsavverkning</t>
        </is>
      </c>
      <c r="D133" s="1" t="n">
        <v>45103</v>
      </c>
      <c r="E133" s="1" t="n">
        <v>46248</v>
      </c>
      <c r="F133" t="inlineStr">
        <is>
          <t>BLEKINGE LÄN</t>
        </is>
      </c>
      <c r="G133" t="inlineStr">
        <is>
          <t>SÖLVESBORG</t>
        </is>
      </c>
      <c r="I133" t="n">
        <v>3</v>
      </c>
      <c r="J133" t="n">
        <v>1</v>
      </c>
      <c r="K133" t="n">
        <v>0</v>
      </c>
      <c r="L133" t="n">
        <v>0</v>
      </c>
      <c r="M133" t="n">
        <v>0</v>
      </c>
      <c r="N133" t="n">
        <v>0</v>
      </c>
      <c r="O133" t="n">
        <v>0</v>
      </c>
      <c r="P133" t="n">
        <v>0</v>
      </c>
      <c r="Q133" t="n">
        <v>0</v>
      </c>
      <c r="R133" t="n">
        <v>0</v>
      </c>
      <c r="S133" t="n">
        <v>1</v>
      </c>
      <c r="T133" t="n">
        <v>1</v>
      </c>
      <c r="U133" t="n">
        <v>1</v>
      </c>
      <c r="V133" s="2" t="inlineStr">
        <is>
          <t>Dvärgpipistrell</t>
        </is>
      </c>
      <c r="W133">
        <f>HYPERLINK("https://klasma.github.io/Logging_1083/artfynd/A 28478-2023 artfynd.xlsx", "A 28478-2023")</f>
        <v/>
      </c>
      <c r="X133">
        <f>HYPERLINK("https://klasma.github.io/Logging_1083/kartor/A 28478-2023 karta.png", "A 28478-2023")</f>
        <v/>
      </c>
      <c r="Y133">
        <f>HYPERLINK("https://klasma.github.io/Logging_1083/kartor_geotiff/A 28478-2023 georefererad karta.tif", "A 28478-2023")</f>
        <v/>
      </c>
      <c r="AA133">
        <f>HYPERLINK("https://klasma.github.io/Logging_1083/klagomål/A 28478-2023 FSC-klagomål.docx", "A 28478-2023")</f>
        <v/>
      </c>
      <c r="AB133">
        <f>HYPERLINK("https://klasma.github.io/Logging_1083/klagomålsmail/A 28478-2023 FSC-klagomål mail.docx", "A 28478-2023")</f>
        <v/>
      </c>
      <c r="AC133">
        <f>HYPERLINK("https://klasma.github.io/Logging_1083/tillsyn/A 28478-2023 tillsynsbegäran.docx", "A 28478-2023")</f>
        <v/>
      </c>
      <c r="AD133">
        <f>HYPERLINK("https://klasma.github.io/Logging_1083/tillsynsmail/A 28478-2023 tillsynsbegäran mail.docx", "A 28478-2023")</f>
        <v/>
      </c>
    </row>
    <row r="134" ht="15" customHeight="1">
      <c r="A134" t="inlineStr">
        <is>
          <t>A 9309-2023</t>
        </is>
      </c>
      <c r="B134" t="inlineStr">
        <is>
          <t>avverkningsanmälan</t>
        </is>
      </c>
      <c r="C134" t="inlineStr">
        <is>
          <t>Föryngringsavverkning</t>
        </is>
      </c>
      <c r="D134" s="1" t="n">
        <v>44980</v>
      </c>
      <c r="E134" s="1" t="n">
        <v>46248</v>
      </c>
      <c r="F134" t="inlineStr">
        <is>
          <t>BLEKINGE LÄN</t>
        </is>
      </c>
      <c r="G134" t="inlineStr">
        <is>
          <t>RONNEBY</t>
        </is>
      </c>
      <c r="H134" t="inlineStr">
        <is>
          <t>Övriga Aktiebolag</t>
        </is>
      </c>
      <c r="I134" t="n">
        <v>0.9</v>
      </c>
      <c r="J134" t="n">
        <v>0</v>
      </c>
      <c r="K134" t="n">
        <v>1</v>
      </c>
      <c r="L134" t="n">
        <v>0</v>
      </c>
      <c r="M134" t="n">
        <v>0</v>
      </c>
      <c r="N134" t="n">
        <v>0</v>
      </c>
      <c r="O134" t="n">
        <v>0</v>
      </c>
      <c r="P134" t="n">
        <v>0</v>
      </c>
      <c r="Q134" t="n">
        <v>0</v>
      </c>
      <c r="R134" t="n">
        <v>0</v>
      </c>
      <c r="S134" t="n">
        <v>1</v>
      </c>
      <c r="T134" t="n">
        <v>2</v>
      </c>
      <c r="U134" t="n">
        <v>0</v>
      </c>
      <c r="V134" s="2" t="inlineStr">
        <is>
          <t>Tibast</t>
        </is>
      </c>
      <c r="W134">
        <f>HYPERLINK("https://klasma.github.io/Logging_1081/artfynd/A 9309-2023 artfynd.xlsx", "A 9309-2023")</f>
        <v/>
      </c>
      <c r="X134">
        <f>HYPERLINK("https://klasma.github.io/Logging_1081/kartor/A 9309-2023 karta.png", "A 9309-2023")</f>
        <v/>
      </c>
      <c r="Y134">
        <f>HYPERLINK("https://klasma.github.io/Logging_1081/kartor_geotiff/A 9309-2023 georefererad karta.tif", "A 9309-2023")</f>
        <v/>
      </c>
      <c r="AA134">
        <f>HYPERLINK("https://klasma.github.io/Logging_1081/klagomål/A 9309-2023 FSC-klagomål.docx", "A 9309-2023")</f>
        <v/>
      </c>
      <c r="AB134">
        <f>HYPERLINK("https://klasma.github.io/Logging_1081/klagomålsmail/A 9309-2023 FSC-klagomål mail.docx", "A 9309-2023")</f>
        <v/>
      </c>
      <c r="AC134">
        <f>HYPERLINK("https://klasma.github.io/Logging_1081/tillsyn/A 9309-2023 tillsynsbegäran.docx", "A 9309-2023")</f>
        <v/>
      </c>
      <c r="AD134">
        <f>HYPERLINK("https://klasma.github.io/Logging_1081/tillsynsmail/A 9309-2023 tillsynsbegäran mail.docx", "A 9309-2023")</f>
        <v/>
      </c>
    </row>
    <row r="135" ht="15" customHeight="1">
      <c r="A135" t="inlineStr">
        <is>
          <t>A 48467-2022</t>
        </is>
      </c>
      <c r="B135" t="inlineStr">
        <is>
          <t>avverkningsanmälan</t>
        </is>
      </c>
      <c r="C135" t="inlineStr">
        <is>
          <t>Föryngringsavverkning</t>
        </is>
      </c>
      <c r="D135" s="1" t="n">
        <v>44858</v>
      </c>
      <c r="E135" s="1" t="n">
        <v>46248</v>
      </c>
      <c r="F135" t="inlineStr">
        <is>
          <t>BLEKINGE LÄN</t>
        </is>
      </c>
      <c r="G135" t="inlineStr">
        <is>
          <t>OLOFSTRÖM</t>
        </is>
      </c>
      <c r="I135" t="n">
        <v>2.7</v>
      </c>
      <c r="J135" t="n">
        <v>0</v>
      </c>
      <c r="K135" t="n">
        <v>0</v>
      </c>
      <c r="L135" t="n">
        <v>0</v>
      </c>
      <c r="M135" t="n">
        <v>1</v>
      </c>
      <c r="N135" t="n">
        <v>0</v>
      </c>
      <c r="O135" t="n">
        <v>0</v>
      </c>
      <c r="P135" t="n">
        <v>0</v>
      </c>
      <c r="Q135" t="n">
        <v>1</v>
      </c>
      <c r="R135" t="n">
        <v>1</v>
      </c>
      <c r="S135" t="n">
        <v>1</v>
      </c>
      <c r="T135" t="n">
        <v>1</v>
      </c>
      <c r="U135" t="n">
        <v>0</v>
      </c>
      <c r="V135" s="2" t="inlineStr">
        <is>
          <t>Småvänderot</t>
        </is>
      </c>
      <c r="W135">
        <f>HYPERLINK("https://klasma.github.io/Logging_1060/artfynd/A 48467-2022 artfynd.xlsx", "A 48467-2022")</f>
        <v/>
      </c>
      <c r="X135">
        <f>HYPERLINK("https://klasma.github.io/Logging_1060/kartor/A 48467-2022 karta.png", "A 48467-2022")</f>
        <v/>
      </c>
      <c r="Y135">
        <f>HYPERLINK("https://klasma.github.io/Logging_1060/kartor_geotiff/A 48467-2022 georefererad karta.tif", "A 48467-2022")</f>
        <v/>
      </c>
      <c r="AA135">
        <f>HYPERLINK("https://klasma.github.io/Logging_1060/klagomål/A 48467-2022 FSC-klagomål.docx", "A 48467-2022")</f>
        <v/>
      </c>
      <c r="AB135">
        <f>HYPERLINK("https://klasma.github.io/Logging_1060/klagomålsmail/A 48467-2022 FSC-klagomål mail.docx", "A 48467-2022")</f>
        <v/>
      </c>
      <c r="AC135">
        <f>HYPERLINK("https://klasma.github.io/Logging_1060/tillsyn/A 48467-2022 tillsynsbegäran.docx", "A 48467-2022")</f>
        <v/>
      </c>
      <c r="AD135">
        <f>HYPERLINK("https://klasma.github.io/Logging_1060/tillsynsmail/A 48467-2022 tillsynsbegäran mail.docx", "A 48467-2022")</f>
        <v/>
      </c>
    </row>
    <row r="136" ht="15" customHeight="1">
      <c r="A136" t="inlineStr">
        <is>
          <t>A 58405-2022</t>
        </is>
      </c>
      <c r="B136" t="inlineStr">
        <is>
          <t>avverkningsanmälan</t>
        </is>
      </c>
      <c r="C136" t="inlineStr">
        <is>
          <t>Föryngringsavverkning</t>
        </is>
      </c>
      <c r="D136" s="1" t="n">
        <v>44901</v>
      </c>
      <c r="E136" s="1" t="n">
        <v>46248</v>
      </c>
      <c r="F136" t="inlineStr">
        <is>
          <t>BLEKINGE LÄN</t>
        </is>
      </c>
      <c r="G136" t="inlineStr">
        <is>
          <t>KARLSHAMN</t>
        </is>
      </c>
      <c r="H136" t="inlineStr">
        <is>
          <t>Kommuner</t>
        </is>
      </c>
      <c r="I136" t="n">
        <v>1.2</v>
      </c>
      <c r="J136" t="n">
        <v>1</v>
      </c>
      <c r="K136" t="n">
        <v>0</v>
      </c>
      <c r="L136" t="n">
        <v>1</v>
      </c>
      <c r="M136" t="n">
        <v>0</v>
      </c>
      <c r="N136" t="n">
        <v>0</v>
      </c>
      <c r="O136" t="n">
        <v>0</v>
      </c>
      <c r="P136" t="n">
        <v>0</v>
      </c>
      <c r="Q136" t="n">
        <v>1</v>
      </c>
      <c r="R136" t="n">
        <v>0</v>
      </c>
      <c r="S136" t="n">
        <v>1</v>
      </c>
      <c r="T136" t="n">
        <v>1</v>
      </c>
      <c r="U136" t="n">
        <v>1</v>
      </c>
      <c r="V136" s="2" t="inlineStr">
        <is>
          <t>Grönsångare</t>
        </is>
      </c>
      <c r="W136">
        <f>HYPERLINK("https://klasma.github.io/Logging_1082/artfynd/A 58405-2022 artfynd.xlsx", "A 58405-2022")</f>
        <v/>
      </c>
      <c r="X136">
        <f>HYPERLINK("https://klasma.github.io/Logging_1082/kartor/A 58405-2022 karta.png", "A 58405-2022")</f>
        <v/>
      </c>
      <c r="Y136">
        <f>HYPERLINK("https://klasma.github.io/Logging_1082/kartor_geotiff/A 58405-2022 georefererad karta.tif", "A 58405-2022")</f>
        <v/>
      </c>
      <c r="AA136">
        <f>HYPERLINK("https://klasma.github.io/Logging_1082/klagomål/A 58405-2022 FSC-klagomål.docx", "A 58405-2022")</f>
        <v/>
      </c>
      <c r="AB136">
        <f>HYPERLINK("https://klasma.github.io/Logging_1082/klagomålsmail/A 58405-2022 FSC-klagomål mail.docx", "A 58405-2022")</f>
        <v/>
      </c>
      <c r="AC136">
        <f>HYPERLINK("https://klasma.github.io/Logging_1082/tillsyn/A 58405-2022 tillsynsbegäran.docx", "A 58405-2022")</f>
        <v/>
      </c>
      <c r="AD136">
        <f>HYPERLINK("https://klasma.github.io/Logging_1082/tillsynsmail/A 58405-2022 tillsynsbegäran mail.docx", "A 58405-2022")</f>
        <v/>
      </c>
      <c r="AE136">
        <f>HYPERLINK("https://klasma.github.io/Logging_1082/fåglar/A 58405-2022 prioriterade fågelarter.docx", "A 58405-2022")</f>
        <v/>
      </c>
    </row>
    <row r="137" ht="15" customHeight="1">
      <c r="A137" t="inlineStr">
        <is>
          <t>A 13289-2023</t>
        </is>
      </c>
      <c r="B137" t="inlineStr">
        <is>
          <t>avverkningsanmälan</t>
        </is>
      </c>
      <c r="C137" t="inlineStr">
        <is>
          <t>Föryngringsavverkning</t>
        </is>
      </c>
      <c r="D137" s="1" t="n">
        <v>45004</v>
      </c>
      <c r="E137" s="1" t="n">
        <v>46248</v>
      </c>
      <c r="F137" t="inlineStr">
        <is>
          <t>BLEKINGE LÄN</t>
        </is>
      </c>
      <c r="G137" t="inlineStr">
        <is>
          <t>KARLSKRONA</t>
        </is>
      </c>
      <c r="I137" t="n">
        <v>2</v>
      </c>
      <c r="J137" t="n">
        <v>0</v>
      </c>
      <c r="K137" t="n">
        <v>1</v>
      </c>
      <c r="L137" t="n">
        <v>0</v>
      </c>
      <c r="M137" t="n">
        <v>0</v>
      </c>
      <c r="N137" t="n">
        <v>0</v>
      </c>
      <c r="O137" t="n">
        <v>0</v>
      </c>
      <c r="P137" t="n">
        <v>0</v>
      </c>
      <c r="Q137" t="n">
        <v>0</v>
      </c>
      <c r="R137" t="n">
        <v>0</v>
      </c>
      <c r="S137" t="n">
        <v>1</v>
      </c>
      <c r="T137" t="n">
        <v>1</v>
      </c>
      <c r="U137" t="n">
        <v>1</v>
      </c>
      <c r="V137" s="2" t="inlineStr">
        <is>
          <t>Rävticka</t>
        </is>
      </c>
      <c r="W137">
        <f>HYPERLINK("https://klasma.github.io/Logging_1080/artfynd/A 13289-2023 artfynd.xlsx", "A 13289-2023")</f>
        <v/>
      </c>
      <c r="X137">
        <f>HYPERLINK("https://klasma.github.io/Logging_1080/kartor/A 13289-2023 karta.png", "A 13289-2023")</f>
        <v/>
      </c>
      <c r="Y137">
        <f>HYPERLINK("https://klasma.github.io/Logging_1080/kartor_geotiff/A 13289-2023 georefererad karta.tif", "A 13289-2023")</f>
        <v/>
      </c>
      <c r="AA137">
        <f>HYPERLINK("https://klasma.github.io/Logging_1080/klagomål/A 13289-2023 FSC-klagomål.docx", "A 13289-2023")</f>
        <v/>
      </c>
      <c r="AB137">
        <f>HYPERLINK("https://klasma.github.io/Logging_1080/klagomålsmail/A 13289-2023 FSC-klagomål mail.docx", "A 13289-2023")</f>
        <v/>
      </c>
      <c r="AC137">
        <f>HYPERLINK("https://klasma.github.io/Logging_1080/tillsyn/A 13289-2023 tillsynsbegäran.docx", "A 13289-2023")</f>
        <v/>
      </c>
      <c r="AD137">
        <f>HYPERLINK("https://klasma.github.io/Logging_1080/tillsynsmail/A 13289-2023 tillsynsbegäran mail.docx", "A 13289-2023")</f>
        <v/>
      </c>
    </row>
    <row r="138" ht="15" customHeight="1">
      <c r="A138" t="inlineStr">
        <is>
          <t>A 13497-2025</t>
        </is>
      </c>
      <c r="B138" t="inlineStr">
        <is>
          <t>avverkningsanmälan</t>
        </is>
      </c>
      <c r="C138" t="inlineStr">
        <is>
          <t>Föryngringsavverkning</t>
        </is>
      </c>
      <c r="D138" s="1" t="n">
        <v>45736</v>
      </c>
      <c r="E138" s="1" t="n">
        <v>46248</v>
      </c>
      <c r="F138" t="inlineStr">
        <is>
          <t>BLEKINGE LÄN</t>
        </is>
      </c>
      <c r="G138" t="inlineStr">
        <is>
          <t>KARLSKRONA</t>
        </is>
      </c>
      <c r="I138" t="n">
        <v>0.5</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HYPERLINK("https://klasma.github.io/Logging_1080/artfynd/A 13497-2025 artfynd.xlsx", "A 13497-2025")</f>
        <v/>
      </c>
      <c r="X138">
        <f>HYPERLINK("https://klasma.github.io/Logging_1080/kartor/A 13497-2025 karta.png", "A 13497-2025")</f>
        <v/>
      </c>
      <c r="Y138">
        <f>HYPERLINK("https://klasma.github.io/Logging_1080/kartor_geotiff/A 13497-2025 georefererad karta.tif", "A 13497-2025")</f>
        <v/>
      </c>
      <c r="AA138">
        <f>HYPERLINK("https://klasma.github.io/Logging_1080/klagomål/A 13497-2025 FSC-klagomål.docx", "A 13497-2025")</f>
        <v/>
      </c>
      <c r="AB138">
        <f>HYPERLINK("https://klasma.github.io/Logging_1080/klagomålsmail/A 13497-2025 FSC-klagomål mail.docx", "A 13497-2025")</f>
        <v/>
      </c>
      <c r="AC138">
        <f>HYPERLINK("https://klasma.github.io/Logging_1080/tillsyn/A 13497-2025 tillsynsbegäran.docx", "A 13497-2025")</f>
        <v/>
      </c>
      <c r="AD138">
        <f>HYPERLINK("https://klasma.github.io/Logging_1080/tillsynsmail/A 13497-2025 tillsynsbegäran mail.docx", "A 13497-2025")</f>
        <v/>
      </c>
    </row>
    <row r="139" ht="15" customHeight="1">
      <c r="A139" t="inlineStr">
        <is>
          <t>A 45591-2024</t>
        </is>
      </c>
      <c r="B139" t="inlineStr">
        <is>
          <t>avverkningsanmälan</t>
        </is>
      </c>
      <c r="C139" t="inlineStr">
        <is>
          <t>Föryngringsavverkning</t>
        </is>
      </c>
      <c r="D139" s="1" t="n">
        <v>45579</v>
      </c>
      <c r="E139" s="1" t="n">
        <v>46248</v>
      </c>
      <c r="F139" t="inlineStr">
        <is>
          <t>BLEKINGE LÄN</t>
        </is>
      </c>
      <c r="G139" t="inlineStr">
        <is>
          <t>KARLSKRONA</t>
        </is>
      </c>
      <c r="I139" t="n">
        <v>0.8</v>
      </c>
      <c r="J139" t="n">
        <v>0</v>
      </c>
      <c r="K139" t="n">
        <v>0</v>
      </c>
      <c r="L139" t="n">
        <v>1</v>
      </c>
      <c r="M139" t="n">
        <v>0</v>
      </c>
      <c r="N139" t="n">
        <v>0</v>
      </c>
      <c r="O139" t="n">
        <v>0</v>
      </c>
      <c r="P139" t="n">
        <v>0</v>
      </c>
      <c r="Q139" t="n">
        <v>1</v>
      </c>
      <c r="R139" t="n">
        <v>0</v>
      </c>
      <c r="S139" t="n">
        <v>1</v>
      </c>
      <c r="T139" t="n">
        <v>1</v>
      </c>
      <c r="U139" t="n">
        <v>1</v>
      </c>
      <c r="V139" s="2" t="inlineStr">
        <is>
          <t>Svartvit taggsvamp</t>
        </is>
      </c>
      <c r="W139">
        <f>HYPERLINK("https://klasma.github.io/Logging_1080/artfynd/A 45591-2024 artfynd.xlsx", "A 45591-2024")</f>
        <v/>
      </c>
      <c r="X139">
        <f>HYPERLINK("https://klasma.github.io/Logging_1080/kartor/A 45591-2024 karta.png", "A 45591-2024")</f>
        <v/>
      </c>
      <c r="Y139">
        <f>HYPERLINK("https://klasma.github.io/Logging_1080/kartor_geotiff/A 45591-2024 georefererad karta.tif", "A 45591-2024")</f>
        <v/>
      </c>
      <c r="AA139">
        <f>HYPERLINK("https://klasma.github.io/Logging_1080/klagomål/A 45591-2024 FSC-klagomål.docx", "A 45591-2024")</f>
        <v/>
      </c>
      <c r="AB139">
        <f>HYPERLINK("https://klasma.github.io/Logging_1080/klagomålsmail/A 45591-2024 FSC-klagomål mail.docx", "A 45591-2024")</f>
        <v/>
      </c>
      <c r="AC139">
        <f>HYPERLINK("https://klasma.github.io/Logging_1080/tillsyn/A 45591-2024 tillsynsbegäran.docx", "A 45591-2024")</f>
        <v/>
      </c>
      <c r="AD139">
        <f>HYPERLINK("https://klasma.github.io/Logging_1080/tillsynsmail/A 45591-2024 tillsynsbegäran mail.docx", "A 45591-2024")</f>
        <v/>
      </c>
    </row>
    <row r="140" ht="15" customHeight="1">
      <c r="A140" t="inlineStr">
        <is>
          <t>A 5339-2024</t>
        </is>
      </c>
      <c r="B140" t="inlineStr">
        <is>
          <t>avverkningsanmälan</t>
        </is>
      </c>
      <c r="C140" t="inlineStr">
        <is>
          <t>Föryngringsavverkning</t>
        </is>
      </c>
      <c r="D140" s="1" t="n">
        <v>45331</v>
      </c>
      <c r="E140" s="1" t="n">
        <v>46248</v>
      </c>
      <c r="F140" t="inlineStr">
        <is>
          <t>BLEKINGE LÄN</t>
        </is>
      </c>
      <c r="G140" t="inlineStr">
        <is>
          <t>SÖLVESBORG</t>
        </is>
      </c>
      <c r="I140" t="n">
        <v>1.9</v>
      </c>
      <c r="J140" t="n">
        <v>0</v>
      </c>
      <c r="K140" t="n">
        <v>0</v>
      </c>
      <c r="L140" t="n">
        <v>1</v>
      </c>
      <c r="M140" t="n">
        <v>0</v>
      </c>
      <c r="N140" t="n">
        <v>0</v>
      </c>
      <c r="O140" t="n">
        <v>0</v>
      </c>
      <c r="P140" t="n">
        <v>0</v>
      </c>
      <c r="Q140" t="n">
        <v>1</v>
      </c>
      <c r="R140" t="n">
        <v>0</v>
      </c>
      <c r="S140" t="n">
        <v>1</v>
      </c>
      <c r="T140" t="n">
        <v>1</v>
      </c>
      <c r="U140" t="n">
        <v>0</v>
      </c>
      <c r="V140" s="2" t="inlineStr">
        <is>
          <t>Kösa</t>
        </is>
      </c>
      <c r="W140">
        <f>HYPERLINK("https://klasma.github.io/Logging_1083/artfynd/A 5339-2024 artfynd.xlsx", "A 5339-2024")</f>
        <v/>
      </c>
      <c r="X140">
        <f>HYPERLINK("https://klasma.github.io/Logging_1083/kartor/A 5339-2024 karta.png", "A 5339-2024")</f>
        <v/>
      </c>
      <c r="Y140">
        <f>HYPERLINK("https://klasma.github.io/Logging_1083/kartor_geotiff/A 5339-2024 georefererad karta.tif", "A 5339-2024")</f>
        <v/>
      </c>
      <c r="AA140">
        <f>HYPERLINK("https://klasma.github.io/Logging_1083/klagomål/A 5339-2024 FSC-klagomål.docx", "A 5339-2024")</f>
        <v/>
      </c>
      <c r="AB140">
        <f>HYPERLINK("https://klasma.github.io/Logging_1083/klagomålsmail/A 5339-2024 FSC-klagomål mail.docx", "A 5339-2024")</f>
        <v/>
      </c>
      <c r="AC140">
        <f>HYPERLINK("https://klasma.github.io/Logging_1083/tillsyn/A 5339-2024 tillsynsbegäran.docx", "A 5339-2024")</f>
        <v/>
      </c>
      <c r="AD140">
        <f>HYPERLINK("https://klasma.github.io/Logging_1083/tillsynsmail/A 5339-2024 tillsynsbegäran mail.docx", "A 5339-2024")</f>
        <v/>
      </c>
    </row>
    <row r="141" ht="15" customHeight="1">
      <c r="A141" t="inlineStr">
        <is>
          <t>A 7842-2023</t>
        </is>
      </c>
      <c r="B141" t="inlineStr">
        <is>
          <t>avverkningsanmälan</t>
        </is>
      </c>
      <c r="C141" t="inlineStr">
        <is>
          <t>Föryngringsavverkning</t>
        </is>
      </c>
      <c r="D141" s="1" t="n">
        <v>44973</v>
      </c>
      <c r="E141" s="1" t="n">
        <v>46248</v>
      </c>
      <c r="F141" t="inlineStr">
        <is>
          <t>BLEKINGE LÄN</t>
        </is>
      </c>
      <c r="G141" t="inlineStr">
        <is>
          <t>RONNEBY</t>
        </is>
      </c>
      <c r="H141" t="inlineStr">
        <is>
          <t>Övriga Aktiebolag</t>
        </is>
      </c>
      <c r="I141" t="n">
        <v>2.9</v>
      </c>
      <c r="J141" t="n">
        <v>0</v>
      </c>
      <c r="K141" t="n">
        <v>0</v>
      </c>
      <c r="L141" t="n">
        <v>1</v>
      </c>
      <c r="M141" t="n">
        <v>0</v>
      </c>
      <c r="N141" t="n">
        <v>0</v>
      </c>
      <c r="O141" t="n">
        <v>0</v>
      </c>
      <c r="P141" t="n">
        <v>0</v>
      </c>
      <c r="Q141" t="n">
        <v>1</v>
      </c>
      <c r="R141" t="n">
        <v>0</v>
      </c>
      <c r="S141" t="n">
        <v>1</v>
      </c>
      <c r="T141" t="n">
        <v>1</v>
      </c>
      <c r="U141" t="n">
        <v>0</v>
      </c>
      <c r="V141" s="2" t="inlineStr">
        <is>
          <t>Bokvårtlav</t>
        </is>
      </c>
      <c r="W141">
        <f>HYPERLINK("https://klasma.github.io/Logging_1081/artfynd/A 7842-2023 artfynd.xlsx", "A 7842-2023")</f>
        <v/>
      </c>
      <c r="X141">
        <f>HYPERLINK("https://klasma.github.io/Logging_1081/kartor/A 7842-2023 karta.png", "A 7842-2023")</f>
        <v/>
      </c>
      <c r="Y141">
        <f>HYPERLINK("https://klasma.github.io/Logging_1081/kartor_geotiff/A 7842-2023 georefererad karta.tif", "A 7842-2023")</f>
        <v/>
      </c>
      <c r="AA141">
        <f>HYPERLINK("https://klasma.github.io/Logging_1081/klagomål/A 7842-2023 FSC-klagomål.docx", "A 7842-2023")</f>
        <v/>
      </c>
      <c r="AB141">
        <f>HYPERLINK("https://klasma.github.io/Logging_1081/klagomålsmail/A 7842-2023 FSC-klagomål mail.docx", "A 7842-2023")</f>
        <v/>
      </c>
      <c r="AC141">
        <f>HYPERLINK("https://klasma.github.io/Logging_1081/tillsyn/A 7842-2023 tillsynsbegäran.docx", "A 7842-2023")</f>
        <v/>
      </c>
      <c r="AD141">
        <f>HYPERLINK("https://klasma.github.io/Logging_1081/tillsynsmail/A 7842-2023 tillsynsbegäran mail.docx", "A 7842-2023")</f>
        <v/>
      </c>
    </row>
    <row r="142" ht="15" customHeight="1">
      <c r="A142" t="inlineStr">
        <is>
          <t>A 14598-2022</t>
        </is>
      </c>
      <c r="B142" t="inlineStr">
        <is>
          <t>avverkningsanmälan</t>
        </is>
      </c>
      <c r="C142" t="inlineStr">
        <is>
          <t>Föryngringsavverkning</t>
        </is>
      </c>
      <c r="D142" s="1" t="n">
        <v>44655</v>
      </c>
      <c r="E142" s="1" t="n">
        <v>46248</v>
      </c>
      <c r="F142" t="inlineStr">
        <is>
          <t>BLEKINGE LÄN</t>
        </is>
      </c>
      <c r="G142" t="inlineStr">
        <is>
          <t>KARLSHAMN</t>
        </is>
      </c>
      <c r="I142" t="n">
        <v>1.9</v>
      </c>
      <c r="J142" t="n">
        <v>0</v>
      </c>
      <c r="K142" t="n">
        <v>1</v>
      </c>
      <c r="L142" t="n">
        <v>0</v>
      </c>
      <c r="M142" t="n">
        <v>0</v>
      </c>
      <c r="N142" t="n">
        <v>0</v>
      </c>
      <c r="O142" t="n">
        <v>0</v>
      </c>
      <c r="P142" t="n">
        <v>0</v>
      </c>
      <c r="Q142" t="n">
        <v>0</v>
      </c>
      <c r="R142" t="n">
        <v>0</v>
      </c>
      <c r="S142" t="n">
        <v>1</v>
      </c>
      <c r="T142" t="n">
        <v>1</v>
      </c>
      <c r="U142" t="n">
        <v>0</v>
      </c>
      <c r="V142" s="2" t="inlineStr">
        <is>
          <t>Tibast</t>
        </is>
      </c>
      <c r="W142">
        <f>HYPERLINK("https://klasma.github.io/Logging_1082/artfynd/A 14598-2022 artfynd.xlsx", "A 14598-2022")</f>
        <v/>
      </c>
      <c r="X142">
        <f>HYPERLINK("https://klasma.github.io/Logging_1082/kartor/A 14598-2022 karta.png", "A 14598-2022")</f>
        <v/>
      </c>
      <c r="Y142">
        <f>HYPERLINK("https://klasma.github.io/Logging_1082/kartor_geotiff/A 14598-2022 georefererad karta.tif", "A 14598-2022")</f>
        <v/>
      </c>
      <c r="AA142">
        <f>HYPERLINK("https://klasma.github.io/Logging_1082/klagomål/A 14598-2022 FSC-klagomål.docx", "A 14598-2022")</f>
        <v/>
      </c>
      <c r="AB142">
        <f>HYPERLINK("https://klasma.github.io/Logging_1082/klagomålsmail/A 14598-2022 FSC-klagomål mail.docx", "A 14598-2022")</f>
        <v/>
      </c>
      <c r="AC142">
        <f>HYPERLINK("https://klasma.github.io/Logging_1082/tillsyn/A 14598-2022 tillsynsbegäran.docx", "A 14598-2022")</f>
        <v/>
      </c>
      <c r="AD142">
        <f>HYPERLINK("https://klasma.github.io/Logging_1082/tillsynsmail/A 14598-2022 tillsynsbegäran mail.docx", "A 14598-2022")</f>
        <v/>
      </c>
    </row>
    <row r="143" ht="15" customHeight="1">
      <c r="A143" t="inlineStr">
        <is>
          <t>A 9922-2025</t>
        </is>
      </c>
      <c r="B143" t="inlineStr">
        <is>
          <t>avverkningsanmälan</t>
        </is>
      </c>
      <c r="C143" t="inlineStr">
        <is>
          <t>Föryngringsavverkning</t>
        </is>
      </c>
      <c r="D143" s="1" t="n">
        <v>45717</v>
      </c>
      <c r="E143" s="1" t="n">
        <v>46248</v>
      </c>
      <c r="F143" t="inlineStr">
        <is>
          <t>BLEKINGE LÄN</t>
        </is>
      </c>
      <c r="G143" t="inlineStr">
        <is>
          <t>RONNEBY</t>
        </is>
      </c>
      <c r="I143" t="n">
        <v>2.3</v>
      </c>
      <c r="J143" t="n">
        <v>0</v>
      </c>
      <c r="K143" t="n">
        <v>1</v>
      </c>
      <c r="L143" t="n">
        <v>0</v>
      </c>
      <c r="M143" t="n">
        <v>0</v>
      </c>
      <c r="N143" t="n">
        <v>0</v>
      </c>
      <c r="O143" t="n">
        <v>0</v>
      </c>
      <c r="P143" t="n">
        <v>0</v>
      </c>
      <c r="Q143" t="n">
        <v>0</v>
      </c>
      <c r="R143" t="n">
        <v>0</v>
      </c>
      <c r="S143" t="n">
        <v>1</v>
      </c>
      <c r="T143" t="n">
        <v>1</v>
      </c>
      <c r="U143" t="n">
        <v>1</v>
      </c>
      <c r="V143" s="2" t="inlineStr">
        <is>
          <t>Trädporella</t>
        </is>
      </c>
      <c r="W143">
        <f>HYPERLINK("https://klasma.github.io/Logging_1081/artfynd/A 9922-2025 artfynd.xlsx", "A 9922-2025")</f>
        <v/>
      </c>
      <c r="X143">
        <f>HYPERLINK("https://klasma.github.io/Logging_1081/kartor/A 9922-2025 karta.png", "A 9922-2025")</f>
        <v/>
      </c>
      <c r="Y143">
        <f>HYPERLINK("https://klasma.github.io/Logging_1081/kartor_geotiff/A 9922-2025 georefererad karta.tif", "A 9922-2025")</f>
        <v/>
      </c>
      <c r="AA143">
        <f>HYPERLINK("https://klasma.github.io/Logging_1081/klagomål/A 9922-2025 FSC-klagomål.docx", "A 9922-2025")</f>
        <v/>
      </c>
      <c r="AB143">
        <f>HYPERLINK("https://klasma.github.io/Logging_1081/klagomålsmail/A 9922-2025 FSC-klagomål mail.docx", "A 9922-2025")</f>
        <v/>
      </c>
      <c r="AC143">
        <f>HYPERLINK("https://klasma.github.io/Logging_1081/tillsyn/A 9922-2025 tillsynsbegäran.docx", "A 9922-2025")</f>
        <v/>
      </c>
      <c r="AD143">
        <f>HYPERLINK("https://klasma.github.io/Logging_1081/tillsynsmail/A 9922-2025 tillsynsbegäran mail.docx", "A 9922-2025")</f>
        <v/>
      </c>
    </row>
    <row r="144" ht="15" customHeight="1">
      <c r="A144" t="inlineStr">
        <is>
          <t>A 3711-2025</t>
        </is>
      </c>
      <c r="B144" t="inlineStr">
        <is>
          <t>avverkningsanmälan</t>
        </is>
      </c>
      <c r="C144" t="inlineStr">
        <is>
          <t>Föryngringsavverkning</t>
        </is>
      </c>
      <c r="D144" s="1" t="n">
        <v>45681</v>
      </c>
      <c r="E144" s="1" t="n">
        <v>46248</v>
      </c>
      <c r="F144" t="inlineStr">
        <is>
          <t>BLEKINGE LÄN</t>
        </is>
      </c>
      <c r="G144" t="inlineStr">
        <is>
          <t>OLOFSTRÖM</t>
        </is>
      </c>
      <c r="I144" t="n">
        <v>8.1</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HYPERLINK("https://klasma.github.io/Logging_1060/artfynd/A 3711-2025 artfynd.xlsx", "A 3711-2025")</f>
        <v/>
      </c>
      <c r="X144">
        <f>HYPERLINK("https://klasma.github.io/Logging_1060/kartor/A 3711-2025 karta.png", "A 3711-2025")</f>
        <v/>
      </c>
      <c r="Y144">
        <f>HYPERLINK("https://klasma.github.io/Logging_1060/kartor_geotiff/A 3711-2025 georefererad karta.tif", "A 3711-2025")</f>
        <v/>
      </c>
      <c r="AA144">
        <f>HYPERLINK("https://klasma.github.io/Logging_1060/klagomål/A 3711-2025 FSC-klagomål.docx", "A 3711-2025")</f>
        <v/>
      </c>
      <c r="AB144">
        <f>HYPERLINK("https://klasma.github.io/Logging_1060/klagomålsmail/A 3711-2025 FSC-klagomål mail.docx", "A 3711-2025")</f>
        <v/>
      </c>
      <c r="AC144">
        <f>HYPERLINK("https://klasma.github.io/Logging_1060/tillsyn/A 3711-2025 tillsynsbegäran.docx", "A 3711-2025")</f>
        <v/>
      </c>
      <c r="AD144">
        <f>HYPERLINK("https://klasma.github.io/Logging_1060/tillsynsmail/A 3711-2025 tillsynsbegäran mail.docx", "A 3711-2025")</f>
        <v/>
      </c>
    </row>
    <row r="145" ht="15" customHeight="1">
      <c r="A145" t="inlineStr">
        <is>
          <t>A 24942-2023</t>
        </is>
      </c>
      <c r="B145" t="inlineStr">
        <is>
          <t>avverkningsanmälan</t>
        </is>
      </c>
      <c r="C145" t="inlineStr">
        <is>
          <t>Föryngringsavverkning</t>
        </is>
      </c>
      <c r="D145" s="1" t="n">
        <v>45085</v>
      </c>
      <c r="E145" s="1" t="n">
        <v>46248</v>
      </c>
      <c r="F145" t="inlineStr">
        <is>
          <t>BLEKINGE LÄN</t>
        </is>
      </c>
      <c r="G145" t="inlineStr">
        <is>
          <t>KARLSKRONA</t>
        </is>
      </c>
      <c r="I145" t="n">
        <v>1.4</v>
      </c>
      <c r="J145" t="n">
        <v>0</v>
      </c>
      <c r="K145" t="n">
        <v>0</v>
      </c>
      <c r="L145" t="n">
        <v>0</v>
      </c>
      <c r="M145" t="n">
        <v>1</v>
      </c>
      <c r="N145" t="n">
        <v>0</v>
      </c>
      <c r="O145" t="n">
        <v>0</v>
      </c>
      <c r="P145" t="n">
        <v>0</v>
      </c>
      <c r="Q145" t="n">
        <v>1</v>
      </c>
      <c r="R145" t="n">
        <v>1</v>
      </c>
      <c r="S145" t="n">
        <v>1</v>
      </c>
      <c r="T145" t="n">
        <v>1</v>
      </c>
      <c r="U145" t="n">
        <v>0</v>
      </c>
      <c r="V145" s="2" t="inlineStr">
        <is>
          <t>Stortimjan</t>
        </is>
      </c>
      <c r="W145">
        <f>HYPERLINK("https://klasma.github.io/Logging_1080/artfynd/A 24942-2023 artfynd.xlsx", "A 24942-2023")</f>
        <v/>
      </c>
      <c r="X145">
        <f>HYPERLINK("https://klasma.github.io/Logging_1080/kartor/A 24942-2023 karta.png", "A 24942-2023")</f>
        <v/>
      </c>
      <c r="Y145">
        <f>HYPERLINK("https://klasma.github.io/Logging_1080/kartor_geotiff/A 24942-2023 georefererad karta.tif", "A 24942-2023")</f>
        <v/>
      </c>
      <c r="AA145">
        <f>HYPERLINK("https://klasma.github.io/Logging_1080/klagomål/A 24942-2023 FSC-klagomål.docx", "A 24942-2023")</f>
        <v/>
      </c>
      <c r="AB145">
        <f>HYPERLINK("https://klasma.github.io/Logging_1080/klagomålsmail/A 24942-2023 FSC-klagomål mail.docx", "A 24942-2023")</f>
        <v/>
      </c>
      <c r="AC145">
        <f>HYPERLINK("https://klasma.github.io/Logging_1080/tillsyn/A 24942-2023 tillsynsbegäran.docx", "A 24942-2023")</f>
        <v/>
      </c>
      <c r="AD145">
        <f>HYPERLINK("https://klasma.github.io/Logging_1080/tillsynsmail/A 24942-2023 tillsynsbegäran mail.docx", "A 24942-2023")</f>
        <v/>
      </c>
    </row>
    <row r="146" ht="15" customHeight="1">
      <c r="A146" t="inlineStr">
        <is>
          <t>A 14940-2023</t>
        </is>
      </c>
      <c r="B146" t="inlineStr">
        <is>
          <t>avverkningsanmälan</t>
        </is>
      </c>
      <c r="C146" t="inlineStr">
        <is>
          <t>Föryngringsavverkning</t>
        </is>
      </c>
      <c r="D146" s="1" t="n">
        <v>45012</v>
      </c>
      <c r="E146" s="1" t="n">
        <v>46248</v>
      </c>
      <c r="F146" t="inlineStr">
        <is>
          <t>BLEKINGE LÄN</t>
        </is>
      </c>
      <c r="G146" t="inlineStr">
        <is>
          <t>RONNEBY</t>
        </is>
      </c>
      <c r="H146" t="inlineStr">
        <is>
          <t>Övriga statliga verk och myndigheter</t>
        </is>
      </c>
      <c r="I146" t="n">
        <v>5</v>
      </c>
      <c r="J146" t="n">
        <v>0</v>
      </c>
      <c r="K146" t="n">
        <v>0</v>
      </c>
      <c r="L146" t="n">
        <v>1</v>
      </c>
      <c r="M146" t="n">
        <v>0</v>
      </c>
      <c r="N146" t="n">
        <v>0</v>
      </c>
      <c r="O146" t="n">
        <v>0</v>
      </c>
      <c r="P146" t="n">
        <v>0</v>
      </c>
      <c r="Q146" t="n">
        <v>1</v>
      </c>
      <c r="R146" t="n">
        <v>0</v>
      </c>
      <c r="S146" t="n">
        <v>1</v>
      </c>
      <c r="T146" t="n">
        <v>1</v>
      </c>
      <c r="U146" t="n">
        <v>0</v>
      </c>
      <c r="V146" s="2" t="inlineStr">
        <is>
          <t>Grönhjon</t>
        </is>
      </c>
      <c r="W146">
        <f>HYPERLINK("https://klasma.github.io/Logging_1081/artfynd/A 14940-2023 artfynd.xlsx", "A 14940-2023")</f>
        <v/>
      </c>
      <c r="X146">
        <f>HYPERLINK("https://klasma.github.io/Logging_1081/kartor/A 14940-2023 karta.png", "A 14940-2023")</f>
        <v/>
      </c>
      <c r="Y146">
        <f>HYPERLINK("https://klasma.github.io/Logging_1081/kartor_geotiff/A 14940-2023 georefererad karta.tif", "A 14940-2023")</f>
        <v/>
      </c>
      <c r="AA146">
        <f>HYPERLINK("https://klasma.github.io/Logging_1081/klagomål/A 14940-2023 FSC-klagomål.docx", "A 14940-2023")</f>
        <v/>
      </c>
      <c r="AB146">
        <f>HYPERLINK("https://klasma.github.io/Logging_1081/klagomålsmail/A 14940-2023 FSC-klagomål mail.docx", "A 14940-2023")</f>
        <v/>
      </c>
      <c r="AC146">
        <f>HYPERLINK("https://klasma.github.io/Logging_1081/tillsyn/A 14940-2023 tillsynsbegäran.docx", "A 14940-2023")</f>
        <v/>
      </c>
      <c r="AD146">
        <f>HYPERLINK("https://klasma.github.io/Logging_1081/tillsynsmail/A 14940-2023 tillsynsbegäran mail.docx", "A 14940-2023")</f>
        <v/>
      </c>
    </row>
    <row r="147" ht="15" customHeight="1">
      <c r="A147" t="inlineStr">
        <is>
          <t>A 49574-2022</t>
        </is>
      </c>
      <c r="B147" t="inlineStr">
        <is>
          <t>avverkningsanmälan</t>
        </is>
      </c>
      <c r="C147" t="inlineStr">
        <is>
          <t>Föryngringsavverkning</t>
        </is>
      </c>
      <c r="D147" s="1" t="n">
        <v>44862</v>
      </c>
      <c r="E147" s="1" t="n">
        <v>46248</v>
      </c>
      <c r="F147" t="inlineStr">
        <is>
          <t>BLEKINGE LÄN</t>
        </is>
      </c>
      <c r="G147" t="inlineStr">
        <is>
          <t>KARLSHAMN</t>
        </is>
      </c>
      <c r="H147" t="inlineStr">
        <is>
          <t>Sveaskog</t>
        </is>
      </c>
      <c r="I147" t="n">
        <v>3.4</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HYPERLINK("https://klasma.github.io/Logging_1082/artfynd/A 49574-2022 artfynd.xlsx", "A 49574-2022")</f>
        <v/>
      </c>
      <c r="X147">
        <f>HYPERLINK("https://klasma.github.io/Logging_1082/kartor/A 49574-2022 karta.png", "A 49574-2022")</f>
        <v/>
      </c>
      <c r="Y147">
        <f>HYPERLINK("https://klasma.github.io/Logging_1082/kartor_geotiff/A 49574-2022 georefererad karta.tif", "A 49574-2022")</f>
        <v/>
      </c>
      <c r="AA147">
        <f>HYPERLINK("https://klasma.github.io/Logging_1082/klagomål/A 49574-2022 FSC-klagomål.docx", "A 49574-2022")</f>
        <v/>
      </c>
      <c r="AB147">
        <f>HYPERLINK("https://klasma.github.io/Logging_1082/klagomålsmail/A 49574-2022 FSC-klagomål mail.docx", "A 49574-2022")</f>
        <v/>
      </c>
      <c r="AC147">
        <f>HYPERLINK("https://klasma.github.io/Logging_1082/tillsyn/A 49574-2022 tillsynsbegäran.docx", "A 49574-2022")</f>
        <v/>
      </c>
      <c r="AD147">
        <f>HYPERLINK("https://klasma.github.io/Logging_1082/tillsynsmail/A 49574-2022 tillsynsbegäran mail.docx", "A 49574-2022")</f>
        <v/>
      </c>
    </row>
    <row r="148" ht="15" customHeight="1">
      <c r="A148" t="inlineStr">
        <is>
          <t>A 13201-2023</t>
        </is>
      </c>
      <c r="B148" t="inlineStr">
        <is>
          <t>avverkningsanmälan</t>
        </is>
      </c>
      <c r="C148" t="inlineStr">
        <is>
          <t>Föryngringsavverkning</t>
        </is>
      </c>
      <c r="D148" s="1" t="n">
        <v>45002</v>
      </c>
      <c r="E148" s="1" t="n">
        <v>46248</v>
      </c>
      <c r="F148" t="inlineStr">
        <is>
          <t>BLEKINGE LÄN</t>
        </is>
      </c>
      <c r="G148" t="inlineStr">
        <is>
          <t>KARLSKRONA</t>
        </is>
      </c>
      <c r="I148" t="n">
        <v>6</v>
      </c>
      <c r="J148" t="n">
        <v>0</v>
      </c>
      <c r="K148" t="n">
        <v>0</v>
      </c>
      <c r="L148" t="n">
        <v>0</v>
      </c>
      <c r="M148" t="n">
        <v>1</v>
      </c>
      <c r="N148" t="n">
        <v>0</v>
      </c>
      <c r="O148" t="n">
        <v>0</v>
      </c>
      <c r="P148" t="n">
        <v>0</v>
      </c>
      <c r="Q148" t="n">
        <v>1</v>
      </c>
      <c r="R148" t="n">
        <v>1</v>
      </c>
      <c r="S148" t="n">
        <v>1</v>
      </c>
      <c r="T148" t="n">
        <v>1</v>
      </c>
      <c r="U148" t="n">
        <v>1</v>
      </c>
      <c r="V148" s="2" t="inlineStr">
        <is>
          <t>Stortimjan</t>
        </is>
      </c>
      <c r="W148">
        <f>HYPERLINK("https://klasma.github.io/Logging_1080/artfynd/A 13201-2023 artfynd.xlsx", "A 13201-2023")</f>
        <v/>
      </c>
      <c r="X148">
        <f>HYPERLINK("https://klasma.github.io/Logging_1080/kartor/A 13201-2023 karta.png", "A 13201-2023")</f>
        <v/>
      </c>
      <c r="Y148">
        <f>HYPERLINK("https://klasma.github.io/Logging_1080/kartor_geotiff/A 13201-2023 georefererad karta.tif", "A 13201-2023")</f>
        <v/>
      </c>
      <c r="AA148">
        <f>HYPERLINK("https://klasma.github.io/Logging_1080/klagomål/A 13201-2023 FSC-klagomål.docx", "A 13201-2023")</f>
        <v/>
      </c>
      <c r="AB148">
        <f>HYPERLINK("https://klasma.github.io/Logging_1080/klagomålsmail/A 13201-2023 FSC-klagomål mail.docx", "A 13201-2023")</f>
        <v/>
      </c>
      <c r="AC148">
        <f>HYPERLINK("https://klasma.github.io/Logging_1080/tillsyn/A 13201-2023 tillsynsbegäran.docx", "A 13201-2023")</f>
        <v/>
      </c>
      <c r="AD148">
        <f>HYPERLINK("https://klasma.github.io/Logging_1080/tillsynsmail/A 13201-2023 tillsynsbegäran mail.docx", "A 13201-2023")</f>
        <v/>
      </c>
    </row>
    <row r="149" ht="15" customHeight="1">
      <c r="A149" t="inlineStr">
        <is>
          <t>A 21446-2023</t>
        </is>
      </c>
      <c r="B149" t="inlineStr">
        <is>
          <t>avverkningsanmälan</t>
        </is>
      </c>
      <c r="C149" t="inlineStr">
        <is>
          <t>Föryngringsavverkning</t>
        </is>
      </c>
      <c r="D149" s="1" t="n">
        <v>45063</v>
      </c>
      <c r="E149" s="1" t="n">
        <v>46248</v>
      </c>
      <c r="F149" t="inlineStr">
        <is>
          <t>BLEKINGE LÄN</t>
        </is>
      </c>
      <c r="G149" t="inlineStr">
        <is>
          <t>RONNEBY</t>
        </is>
      </c>
      <c r="H149" t="inlineStr">
        <is>
          <t>Kommuner</t>
        </is>
      </c>
      <c r="I149" t="n">
        <v>2</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HYPERLINK("https://klasma.github.io/Logging_1081/artfynd/A 21446-2023 artfynd.xlsx", "A 21446-2023")</f>
        <v/>
      </c>
      <c r="X149">
        <f>HYPERLINK("https://klasma.github.io/Logging_1081/kartor/A 21446-2023 karta.png", "A 21446-2023")</f>
        <v/>
      </c>
      <c r="Y149">
        <f>HYPERLINK("https://klasma.github.io/Logging_1081/kartor_geotiff/A 21446-2023 georefererad karta.tif", "A 21446-2023")</f>
        <v/>
      </c>
      <c r="AA149">
        <f>HYPERLINK("https://klasma.github.io/Logging_1081/klagomål/A 21446-2023 FSC-klagomål.docx", "A 21446-2023")</f>
        <v/>
      </c>
      <c r="AB149">
        <f>HYPERLINK("https://klasma.github.io/Logging_1081/klagomålsmail/A 21446-2023 FSC-klagomål mail.docx", "A 21446-2023")</f>
        <v/>
      </c>
      <c r="AC149">
        <f>HYPERLINK("https://klasma.github.io/Logging_1081/tillsyn/A 21446-2023 tillsynsbegäran.docx", "A 21446-2023")</f>
        <v/>
      </c>
      <c r="AD149">
        <f>HYPERLINK("https://klasma.github.io/Logging_1081/tillsynsmail/A 21446-2023 tillsynsbegäran mail.docx", "A 21446-2023")</f>
        <v/>
      </c>
    </row>
    <row r="150" ht="15" customHeight="1">
      <c r="A150" t="inlineStr">
        <is>
          <t>A 41867-2024</t>
        </is>
      </c>
      <c r="B150" t="inlineStr">
        <is>
          <t>avverkningsanmälan</t>
        </is>
      </c>
      <c r="C150" t="inlineStr">
        <is>
          <t>Avverkning för annat ändamål</t>
        </is>
      </c>
      <c r="D150" s="1" t="n">
        <v>45561</v>
      </c>
      <c r="E150" s="1" t="n">
        <v>46248</v>
      </c>
      <c r="F150" t="inlineStr">
        <is>
          <t>BLEKINGE LÄN</t>
        </is>
      </c>
      <c r="G150" t="inlineStr">
        <is>
          <t>KARLSKRONA</t>
        </is>
      </c>
      <c r="I150" t="n">
        <v>11</v>
      </c>
      <c r="J150" t="n">
        <v>1</v>
      </c>
      <c r="K150" t="n">
        <v>1</v>
      </c>
      <c r="L150" t="n">
        <v>0</v>
      </c>
      <c r="M150" t="n">
        <v>0</v>
      </c>
      <c r="N150" t="n">
        <v>0</v>
      </c>
      <c r="O150" t="n">
        <v>0</v>
      </c>
      <c r="P150" t="n">
        <v>0</v>
      </c>
      <c r="Q150" t="n">
        <v>0</v>
      </c>
      <c r="R150" t="n">
        <v>0</v>
      </c>
      <c r="S150" t="n">
        <v>1</v>
      </c>
      <c r="T150" t="n">
        <v>2</v>
      </c>
      <c r="U150" t="n">
        <v>0</v>
      </c>
      <c r="V150" s="2" t="inlineStr">
        <is>
          <t>Ekoxe</t>
        </is>
      </c>
      <c r="W150">
        <f>HYPERLINK("https://klasma.github.io/Logging_1080/artfynd/A 41867-2024 artfynd.xlsx", "A 41867-2024")</f>
        <v/>
      </c>
      <c r="X150">
        <f>HYPERLINK("https://klasma.github.io/Logging_1080/kartor/A 41867-2024 karta.png", "A 41867-2024")</f>
        <v/>
      </c>
      <c r="Y150">
        <f>HYPERLINK("https://klasma.github.io/Logging_1080/kartor_geotiff/A 41867-2024 georefererad karta.tif", "A 41867-2024")</f>
        <v/>
      </c>
      <c r="AA150">
        <f>HYPERLINK("https://klasma.github.io/Logging_1080/klagomål/A 41867-2024 FSC-klagomål.docx", "A 41867-2024")</f>
        <v/>
      </c>
      <c r="AB150">
        <f>HYPERLINK("https://klasma.github.io/Logging_1080/klagomålsmail/A 41867-2024 FSC-klagomål mail.docx", "A 41867-2024")</f>
        <v/>
      </c>
      <c r="AC150">
        <f>HYPERLINK("https://klasma.github.io/Logging_1080/tillsyn/A 41867-2024 tillsynsbegäran.docx", "A 41867-2024")</f>
        <v/>
      </c>
      <c r="AD150">
        <f>HYPERLINK("https://klasma.github.io/Logging_1080/tillsynsmail/A 41867-2024 tillsynsbegäran mail.docx", "A 41867-2024")</f>
        <v/>
      </c>
    </row>
    <row r="151" ht="15" customHeight="1">
      <c r="A151" t="inlineStr">
        <is>
          <t>A 29904-2025</t>
        </is>
      </c>
      <c r="B151" t="inlineStr">
        <is>
          <t>avverkningsanmälan</t>
        </is>
      </c>
      <c r="C151" t="inlineStr">
        <is>
          <t>Föryngringsavverkning</t>
        </is>
      </c>
      <c r="D151" s="1" t="n">
        <v>45826</v>
      </c>
      <c r="E151" s="1" t="n">
        <v>46248</v>
      </c>
      <c r="F151" t="inlineStr">
        <is>
          <t>BLEKINGE LÄN</t>
        </is>
      </c>
      <c r="G151" t="inlineStr">
        <is>
          <t>KARLSHAMN</t>
        </is>
      </c>
      <c r="H151" t="inlineStr">
        <is>
          <t>Sveaskog</t>
        </is>
      </c>
      <c r="I151" t="n">
        <v>10.1</v>
      </c>
      <c r="J151" t="n">
        <v>1</v>
      </c>
      <c r="K151" t="n">
        <v>0</v>
      </c>
      <c r="L151" t="n">
        <v>0</v>
      </c>
      <c r="M151" t="n">
        <v>0</v>
      </c>
      <c r="N151" t="n">
        <v>0</v>
      </c>
      <c r="O151" t="n">
        <v>0</v>
      </c>
      <c r="P151" t="n">
        <v>0</v>
      </c>
      <c r="Q151" t="n">
        <v>0</v>
      </c>
      <c r="R151" t="n">
        <v>0</v>
      </c>
      <c r="S151" t="n">
        <v>1</v>
      </c>
      <c r="T151" t="n">
        <v>1</v>
      </c>
      <c r="U151" t="n">
        <v>0</v>
      </c>
      <c r="V151" s="2" t="inlineStr">
        <is>
          <t>Tjäder</t>
        </is>
      </c>
      <c r="W151">
        <f>HYPERLINK("https://klasma.github.io/Logging_1082/artfynd/A 29904-2025 artfynd.xlsx", "A 29904-2025")</f>
        <v/>
      </c>
      <c r="X151">
        <f>HYPERLINK("https://klasma.github.io/Logging_1082/kartor/A 29904-2025 karta.png", "A 29904-2025")</f>
        <v/>
      </c>
      <c r="Y151">
        <f>HYPERLINK("https://klasma.github.io/Logging_1082/kartor_geotiff/A 29904-2025 georefererad karta.tif", "A 29904-2025")</f>
        <v/>
      </c>
      <c r="AA151">
        <f>HYPERLINK("https://klasma.github.io/Logging_1082/klagomål/A 29904-2025 FSC-klagomål.docx", "A 29904-2025")</f>
        <v/>
      </c>
      <c r="AB151">
        <f>HYPERLINK("https://klasma.github.io/Logging_1082/klagomålsmail/A 29904-2025 FSC-klagomål mail.docx", "A 29904-2025")</f>
        <v/>
      </c>
      <c r="AC151">
        <f>HYPERLINK("https://klasma.github.io/Logging_1082/tillsyn/A 29904-2025 tillsynsbegäran.docx", "A 29904-2025")</f>
        <v/>
      </c>
      <c r="AD151">
        <f>HYPERLINK("https://klasma.github.io/Logging_1082/tillsynsmail/A 29904-2025 tillsynsbegäran mail.docx", "A 29904-2025")</f>
        <v/>
      </c>
      <c r="AE151">
        <f>HYPERLINK("https://klasma.github.io/Logging_1082/fåglar/A 29904-2025 prioriterade fågelarter.docx", "A 29904-2025")</f>
        <v/>
      </c>
    </row>
    <row r="152" ht="15" customHeight="1">
      <c r="A152" t="inlineStr">
        <is>
          <t>A 48309-2024</t>
        </is>
      </c>
      <c r="B152" t="inlineStr">
        <is>
          <t>avverkningsanmälan</t>
        </is>
      </c>
      <c r="C152" t="inlineStr">
        <is>
          <t>Föryngringsavverkning</t>
        </is>
      </c>
      <c r="D152" s="1" t="n">
        <v>45590</v>
      </c>
      <c r="E152" s="1" t="n">
        <v>46248</v>
      </c>
      <c r="F152" t="inlineStr">
        <is>
          <t>BLEKINGE LÄN</t>
        </is>
      </c>
      <c r="G152" t="inlineStr">
        <is>
          <t>SÖLVESBORG</t>
        </is>
      </c>
      <c r="I152" t="n">
        <v>1.5</v>
      </c>
      <c r="J152" t="n">
        <v>1</v>
      </c>
      <c r="K152" t="n">
        <v>0</v>
      </c>
      <c r="L152" t="n">
        <v>0</v>
      </c>
      <c r="M152" t="n">
        <v>0</v>
      </c>
      <c r="N152" t="n">
        <v>0</v>
      </c>
      <c r="O152" t="n">
        <v>0</v>
      </c>
      <c r="P152" t="n">
        <v>0</v>
      </c>
      <c r="Q152" t="n">
        <v>0</v>
      </c>
      <c r="R152" t="n">
        <v>0</v>
      </c>
      <c r="S152" t="n">
        <v>1</v>
      </c>
      <c r="T152" t="n">
        <v>1</v>
      </c>
      <c r="U152" t="n">
        <v>0</v>
      </c>
      <c r="V152" s="2" t="inlineStr">
        <is>
          <t>Revlummer</t>
        </is>
      </c>
      <c r="W152">
        <f>HYPERLINK("https://klasma.github.io/Logging_1083/artfynd/A 48309-2024 artfynd.xlsx", "A 48309-2024")</f>
        <v/>
      </c>
      <c r="X152">
        <f>HYPERLINK("https://klasma.github.io/Logging_1083/kartor/A 48309-2024 karta.png", "A 48309-2024")</f>
        <v/>
      </c>
      <c r="Y152">
        <f>HYPERLINK("https://klasma.github.io/Logging_1083/kartor_geotiff/A 48309-2024 georefererad karta.tif", "A 48309-2024")</f>
        <v/>
      </c>
      <c r="AA152">
        <f>HYPERLINK("https://klasma.github.io/Logging_1083/klagomål/A 48309-2024 FSC-klagomål.docx", "A 48309-2024")</f>
        <v/>
      </c>
      <c r="AB152">
        <f>HYPERLINK("https://klasma.github.io/Logging_1083/klagomålsmail/A 48309-2024 FSC-klagomål mail.docx", "A 48309-2024")</f>
        <v/>
      </c>
      <c r="AC152">
        <f>HYPERLINK("https://klasma.github.io/Logging_1083/tillsyn/A 48309-2024 tillsynsbegäran.docx", "A 48309-2024")</f>
        <v/>
      </c>
      <c r="AD152">
        <f>HYPERLINK("https://klasma.github.io/Logging_1083/tillsynsmail/A 48309-2024 tillsynsbegäran mail.docx", "A 48309-2024")</f>
        <v/>
      </c>
    </row>
    <row r="153" ht="15" customHeight="1">
      <c r="A153" t="inlineStr">
        <is>
          <t>A 46675-2024</t>
        </is>
      </c>
      <c r="B153" t="inlineStr">
        <is>
          <t>avverkningsanmälan</t>
        </is>
      </c>
      <c r="C153" t="inlineStr">
        <is>
          <t>Föryngringsavverkning</t>
        </is>
      </c>
      <c r="D153" s="1" t="n">
        <v>45583</v>
      </c>
      <c r="E153" s="1" t="n">
        <v>46248</v>
      </c>
      <c r="F153" t="inlineStr">
        <is>
          <t>BLEKINGE LÄN</t>
        </is>
      </c>
      <c r="G153" t="inlineStr">
        <is>
          <t>OLOFSTRÖM</t>
        </is>
      </c>
      <c r="I153" t="n">
        <v>2.7</v>
      </c>
      <c r="J153" t="n">
        <v>0</v>
      </c>
      <c r="K153" t="n">
        <v>0</v>
      </c>
      <c r="L153" t="n">
        <v>1</v>
      </c>
      <c r="M153" t="n">
        <v>0</v>
      </c>
      <c r="N153" t="n">
        <v>0</v>
      </c>
      <c r="O153" t="n">
        <v>0</v>
      </c>
      <c r="P153" t="n">
        <v>0</v>
      </c>
      <c r="Q153" t="n">
        <v>1</v>
      </c>
      <c r="R153" t="n">
        <v>0</v>
      </c>
      <c r="S153" t="n">
        <v>1</v>
      </c>
      <c r="T153" t="n">
        <v>1</v>
      </c>
      <c r="U153" t="n">
        <v>0</v>
      </c>
      <c r="V153" s="2" t="inlineStr">
        <is>
          <t>Sommarfibbla</t>
        </is>
      </c>
      <c r="W153">
        <f>HYPERLINK("https://klasma.github.io/Logging_1060/artfynd/A 46675-2024 artfynd.xlsx", "A 46675-2024")</f>
        <v/>
      </c>
      <c r="X153">
        <f>HYPERLINK("https://klasma.github.io/Logging_1060/kartor/A 46675-2024 karta.png", "A 46675-2024")</f>
        <v/>
      </c>
      <c r="Y153">
        <f>HYPERLINK("https://klasma.github.io/Logging_1060/kartor_geotiff/A 46675-2024 georefererad karta.tif", "A 46675-2024")</f>
        <v/>
      </c>
      <c r="AA153">
        <f>HYPERLINK("https://klasma.github.io/Logging_1060/klagomål/A 46675-2024 FSC-klagomål.docx", "A 46675-2024")</f>
        <v/>
      </c>
      <c r="AB153">
        <f>HYPERLINK("https://klasma.github.io/Logging_1060/klagomålsmail/A 46675-2024 FSC-klagomål mail.docx", "A 46675-2024")</f>
        <v/>
      </c>
      <c r="AC153">
        <f>HYPERLINK("https://klasma.github.io/Logging_1060/tillsyn/A 46675-2024 tillsynsbegäran.docx", "A 46675-2024")</f>
        <v/>
      </c>
      <c r="AD153">
        <f>HYPERLINK("https://klasma.github.io/Logging_1060/tillsynsmail/A 46675-2024 tillsynsbegäran mail.docx", "A 46675-2024")</f>
        <v/>
      </c>
    </row>
    <row r="154" ht="15" customHeight="1">
      <c r="A154" t="inlineStr">
        <is>
          <t>A 29000-2023</t>
        </is>
      </c>
      <c r="B154" t="inlineStr">
        <is>
          <t>avverkningsanmälan</t>
        </is>
      </c>
      <c r="C154" t="inlineStr">
        <is>
          <t>Föryngringsavverkning</t>
        </is>
      </c>
      <c r="D154" s="1" t="n">
        <v>45104</v>
      </c>
      <c r="E154" s="1" t="n">
        <v>46248</v>
      </c>
      <c r="F154" t="inlineStr">
        <is>
          <t>BLEKINGE LÄN</t>
        </is>
      </c>
      <c r="G154" t="inlineStr">
        <is>
          <t>KARLSHAMN</t>
        </is>
      </c>
      <c r="I154" t="n">
        <v>2.2</v>
      </c>
      <c r="J154" t="n">
        <v>0</v>
      </c>
      <c r="K154" t="n">
        <v>0</v>
      </c>
      <c r="L154" t="n">
        <v>1</v>
      </c>
      <c r="M154" t="n">
        <v>0</v>
      </c>
      <c r="N154" t="n">
        <v>0</v>
      </c>
      <c r="O154" t="n">
        <v>0</v>
      </c>
      <c r="P154" t="n">
        <v>0</v>
      </c>
      <c r="Q154" t="n">
        <v>1</v>
      </c>
      <c r="R154" t="n">
        <v>0</v>
      </c>
      <c r="S154" t="n">
        <v>1</v>
      </c>
      <c r="T154" t="n">
        <v>1</v>
      </c>
      <c r="U154" t="n">
        <v>0</v>
      </c>
      <c r="V154" s="2" t="inlineStr">
        <is>
          <t>Grönhjon</t>
        </is>
      </c>
      <c r="W154">
        <f>HYPERLINK("https://klasma.github.io/Logging_1082/artfynd/A 29000-2023 artfynd.xlsx", "A 29000-2023")</f>
        <v/>
      </c>
      <c r="X154">
        <f>HYPERLINK("https://klasma.github.io/Logging_1082/kartor/A 29000-2023 karta.png", "A 29000-2023")</f>
        <v/>
      </c>
      <c r="Y154">
        <f>HYPERLINK("https://klasma.github.io/Logging_1082/kartor_geotiff/A 29000-2023 georefererad karta.tif", "A 29000-2023")</f>
        <v/>
      </c>
      <c r="AA154">
        <f>HYPERLINK("https://klasma.github.io/Logging_1082/klagomål/A 29000-2023 FSC-klagomål.docx", "A 29000-2023")</f>
        <v/>
      </c>
      <c r="AB154">
        <f>HYPERLINK("https://klasma.github.io/Logging_1082/klagomålsmail/A 29000-2023 FSC-klagomål mail.docx", "A 29000-2023")</f>
        <v/>
      </c>
      <c r="AC154">
        <f>HYPERLINK("https://klasma.github.io/Logging_1082/tillsyn/A 29000-2023 tillsynsbegäran.docx", "A 29000-2023")</f>
        <v/>
      </c>
      <c r="AD154">
        <f>HYPERLINK("https://klasma.github.io/Logging_1082/tillsynsmail/A 29000-2023 tillsynsbegäran mail.docx", "A 29000-2023")</f>
        <v/>
      </c>
    </row>
    <row r="155" ht="15" customHeight="1">
      <c r="A155" t="inlineStr">
        <is>
          <t>A 34609-2025</t>
        </is>
      </c>
      <c r="B155" t="inlineStr">
        <is>
          <t>avverkningsanmälan</t>
        </is>
      </c>
      <c r="C155" t="inlineStr">
        <is>
          <t>Föryngringsavverkning</t>
        </is>
      </c>
      <c r="D155" s="1" t="n">
        <v>45847</v>
      </c>
      <c r="E155" s="1" t="n">
        <v>46248</v>
      </c>
      <c r="F155" t="inlineStr">
        <is>
          <t>BLEKINGE LÄN</t>
        </is>
      </c>
      <c r="G155" t="inlineStr">
        <is>
          <t>KARLSKRONA</t>
        </is>
      </c>
      <c r="I155" t="n">
        <v>1</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HYPERLINK("https://klasma.github.io/Logging_1080/artfynd/A 34609-2025 artfynd.xlsx", "A 34609-2025")</f>
        <v/>
      </c>
      <c r="X155">
        <f>HYPERLINK("https://klasma.github.io/Logging_1080/kartor/A 34609-2025 karta.png", "A 34609-2025")</f>
        <v/>
      </c>
      <c r="Y155">
        <f>HYPERLINK("https://klasma.github.io/Logging_1080/kartor_geotiff/A 34609-2025 georefererad karta.tif", "A 34609-2025")</f>
        <v/>
      </c>
      <c r="AA155">
        <f>HYPERLINK("https://klasma.github.io/Logging_1080/klagomål/A 34609-2025 FSC-klagomål.docx", "A 34609-2025")</f>
        <v/>
      </c>
      <c r="AB155">
        <f>HYPERLINK("https://klasma.github.io/Logging_1080/klagomålsmail/A 34609-2025 FSC-klagomål mail.docx", "A 34609-2025")</f>
        <v/>
      </c>
      <c r="AC155">
        <f>HYPERLINK("https://klasma.github.io/Logging_1080/tillsyn/A 34609-2025 tillsynsbegäran.docx", "A 34609-2025")</f>
        <v/>
      </c>
      <c r="AD155">
        <f>HYPERLINK("https://klasma.github.io/Logging_1080/tillsynsmail/A 34609-2025 tillsynsbegäran mail.docx", "A 34609-2025")</f>
        <v/>
      </c>
    </row>
    <row r="156" ht="15" customHeight="1">
      <c r="A156" t="inlineStr">
        <is>
          <t>A 20881-2026</t>
        </is>
      </c>
      <c r="B156" t="inlineStr">
        <is>
          <t>avverkningsanmälan</t>
        </is>
      </c>
      <c r="C156" t="inlineStr">
        <is>
          <t>Avverkning för annat ändamål</t>
        </is>
      </c>
      <c r="D156" s="1" t="n">
        <v>46142</v>
      </c>
      <c r="E156" s="1" t="n">
        <v>46248</v>
      </c>
      <c r="F156" t="inlineStr">
        <is>
          <t>BLEKINGE LÄN</t>
        </is>
      </c>
      <c r="G156" t="inlineStr">
        <is>
          <t>KARLSKRONA</t>
        </is>
      </c>
      <c r="H156" t="inlineStr">
        <is>
          <t>Kommuner</t>
        </is>
      </c>
      <c r="I156" t="n">
        <v>0.8</v>
      </c>
      <c r="J156" t="n">
        <v>1</v>
      </c>
      <c r="K156" t="n">
        <v>0</v>
      </c>
      <c r="L156" t="n">
        <v>0</v>
      </c>
      <c r="M156" t="n">
        <v>0</v>
      </c>
      <c r="N156" t="n">
        <v>0</v>
      </c>
      <c r="O156" t="n">
        <v>0</v>
      </c>
      <c r="P156" t="n">
        <v>0</v>
      </c>
      <c r="Q156" t="n">
        <v>0</v>
      </c>
      <c r="R156" t="n">
        <v>0</v>
      </c>
      <c r="S156" t="n">
        <v>1</v>
      </c>
      <c r="T156" t="n">
        <v>1</v>
      </c>
      <c r="U156" t="n">
        <v>0</v>
      </c>
      <c r="V156" s="2" t="inlineStr">
        <is>
          <t>Kopparödla</t>
        </is>
      </c>
      <c r="W156">
        <f>HYPERLINK("https://klasma.github.io/Logging_1080/artfynd/A 20881-2026 artfynd.xlsx", "A 20881-2026")</f>
        <v/>
      </c>
      <c r="X156">
        <f>HYPERLINK("https://klasma.github.io/Logging_1080/kartor/A 20881-2026 karta.png", "A 20881-2026")</f>
        <v/>
      </c>
      <c r="Y156">
        <f>HYPERLINK("https://klasma.github.io/Logging_1080/kartor_geotiff/A 20881-2026 georefererad karta.tif", "A 20881-2026")</f>
        <v/>
      </c>
      <c r="AA156">
        <f>HYPERLINK("https://klasma.github.io/Logging_1080/klagomål/A 20881-2026 FSC-klagomål.docx", "A 20881-2026")</f>
        <v/>
      </c>
      <c r="AB156">
        <f>HYPERLINK("https://klasma.github.io/Logging_1080/klagomålsmail/A 20881-2026 FSC-klagomål mail.docx", "A 20881-2026")</f>
        <v/>
      </c>
      <c r="AC156">
        <f>HYPERLINK("https://klasma.github.io/Logging_1080/tillsyn/A 20881-2026 tillsynsbegäran.docx", "A 20881-2026")</f>
        <v/>
      </c>
      <c r="AD156">
        <f>HYPERLINK("https://klasma.github.io/Logging_1080/tillsynsmail/A 20881-2026 tillsynsbegäran mail.docx", "A 20881-2026")</f>
        <v/>
      </c>
    </row>
    <row r="157" ht="15" customHeight="1">
      <c r="A157" t="inlineStr">
        <is>
          <t>A 56476-2024</t>
        </is>
      </c>
      <c r="B157" t="inlineStr">
        <is>
          <t>avverkningsanmälan</t>
        </is>
      </c>
      <c r="C157" t="inlineStr">
        <is>
          <t>Föryngringsavverkning</t>
        </is>
      </c>
      <c r="D157" s="1" t="n">
        <v>45625</v>
      </c>
      <c r="E157" s="1" t="n">
        <v>46248</v>
      </c>
      <c r="F157" t="inlineStr">
        <is>
          <t>BLEKINGE LÄN</t>
        </is>
      </c>
      <c r="G157" t="inlineStr">
        <is>
          <t>KARLSKRONA</t>
        </is>
      </c>
      <c r="I157" t="n">
        <v>2.3</v>
      </c>
      <c r="J157" t="n">
        <v>0</v>
      </c>
      <c r="K157" t="n">
        <v>0</v>
      </c>
      <c r="L157" t="n">
        <v>0</v>
      </c>
      <c r="M157" t="n">
        <v>0</v>
      </c>
      <c r="N157" t="n">
        <v>1</v>
      </c>
      <c r="O157" t="n">
        <v>0</v>
      </c>
      <c r="P157" t="n">
        <v>0</v>
      </c>
      <c r="Q157" t="n">
        <v>1</v>
      </c>
      <c r="R157" t="n">
        <v>1</v>
      </c>
      <c r="S157" t="n">
        <v>1</v>
      </c>
      <c r="T157" t="n">
        <v>1</v>
      </c>
      <c r="U157" t="n">
        <v>0</v>
      </c>
      <c r="V157" s="2" t="inlineStr">
        <is>
          <t>Ask</t>
        </is>
      </c>
      <c r="W157">
        <f>HYPERLINK("https://klasma.github.io/Logging_1080/artfynd/A 56476-2024 artfynd.xlsx", "A 56476-2024")</f>
        <v/>
      </c>
      <c r="X157">
        <f>HYPERLINK("https://klasma.github.io/Logging_1080/kartor/A 56476-2024 karta.png", "A 56476-2024")</f>
        <v/>
      </c>
      <c r="Y157">
        <f>HYPERLINK("https://klasma.github.io/Logging_1080/kartor_geotiff/A 56476-2024 georefererad karta.tif", "A 56476-2024")</f>
        <v/>
      </c>
      <c r="AA157">
        <f>HYPERLINK("https://klasma.github.io/Logging_1080/klagomål/A 56476-2024 FSC-klagomål.docx", "A 56476-2024")</f>
        <v/>
      </c>
      <c r="AB157">
        <f>HYPERLINK("https://klasma.github.io/Logging_1080/klagomålsmail/A 56476-2024 FSC-klagomål mail.docx", "A 56476-2024")</f>
        <v/>
      </c>
      <c r="AC157">
        <f>HYPERLINK("https://klasma.github.io/Logging_1080/tillsyn/A 56476-2024 tillsynsbegäran.docx", "A 56476-2024")</f>
        <v/>
      </c>
      <c r="AD157">
        <f>HYPERLINK("https://klasma.github.io/Logging_1080/tillsynsmail/A 56476-2024 tillsynsbegäran mail.docx", "A 56476-2024")</f>
        <v/>
      </c>
    </row>
    <row r="158" ht="15" customHeight="1">
      <c r="A158" t="inlineStr">
        <is>
          <t>A 51085-2024</t>
        </is>
      </c>
      <c r="B158" t="inlineStr">
        <is>
          <t>avverkningsanmälan</t>
        </is>
      </c>
      <c r="C158" t="inlineStr">
        <is>
          <t>Föryngringsavverkning</t>
        </is>
      </c>
      <c r="D158" s="1" t="n">
        <v>45603</v>
      </c>
      <c r="E158" s="1" t="n">
        <v>46248</v>
      </c>
      <c r="F158" t="inlineStr">
        <is>
          <t>BLEKINGE LÄN</t>
        </is>
      </c>
      <c r="G158" t="inlineStr">
        <is>
          <t>KARLSKRONA</t>
        </is>
      </c>
      <c r="I158" t="n">
        <v>5.4</v>
      </c>
      <c r="J158" t="n">
        <v>1</v>
      </c>
      <c r="K158" t="n">
        <v>0</v>
      </c>
      <c r="L158" t="n">
        <v>0</v>
      </c>
      <c r="M158" t="n">
        <v>0</v>
      </c>
      <c r="N158" t="n">
        <v>0</v>
      </c>
      <c r="O158" t="n">
        <v>0</v>
      </c>
      <c r="P158" t="n">
        <v>0</v>
      </c>
      <c r="Q158" t="n">
        <v>0</v>
      </c>
      <c r="R158" t="n">
        <v>0</v>
      </c>
      <c r="S158" t="n">
        <v>1</v>
      </c>
      <c r="T158" t="n">
        <v>1</v>
      </c>
      <c r="U158" t="n">
        <v>0</v>
      </c>
      <c r="V158" s="2" t="inlineStr">
        <is>
          <t>Långbensgroda</t>
        </is>
      </c>
      <c r="W158">
        <f>HYPERLINK("https://klasma.github.io/Logging_1080/artfynd/A 51085-2024 artfynd.xlsx", "A 51085-2024")</f>
        <v/>
      </c>
      <c r="X158">
        <f>HYPERLINK("https://klasma.github.io/Logging_1080/kartor/A 51085-2024 karta.png", "A 51085-2024")</f>
        <v/>
      </c>
      <c r="Y158">
        <f>HYPERLINK("https://klasma.github.io/Logging_1080/kartor_geotiff/A 51085-2024 georefererad karta.tif", "A 51085-2024")</f>
        <v/>
      </c>
      <c r="AA158">
        <f>HYPERLINK("https://klasma.github.io/Logging_1080/klagomål/A 51085-2024 FSC-klagomål.docx", "A 51085-2024")</f>
        <v/>
      </c>
      <c r="AB158">
        <f>HYPERLINK("https://klasma.github.io/Logging_1080/klagomålsmail/A 51085-2024 FSC-klagomål mail.docx", "A 51085-2024")</f>
        <v/>
      </c>
      <c r="AC158">
        <f>HYPERLINK("https://klasma.github.io/Logging_1080/tillsyn/A 51085-2024 tillsynsbegäran.docx", "A 51085-2024")</f>
        <v/>
      </c>
      <c r="AD158">
        <f>HYPERLINK("https://klasma.github.io/Logging_1080/tillsynsmail/A 51085-2024 tillsynsbegäran mail.docx", "A 51085-2024")</f>
        <v/>
      </c>
    </row>
    <row r="159" ht="15" customHeight="1">
      <c r="A159" t="inlineStr">
        <is>
          <t>A 24296-2024</t>
        </is>
      </c>
      <c r="B159" t="inlineStr">
        <is>
          <t>avverkningsanmälan</t>
        </is>
      </c>
      <c r="C159" t="inlineStr">
        <is>
          <t>Föryngringsavverkning</t>
        </is>
      </c>
      <c r="D159" s="1" t="n">
        <v>45457</v>
      </c>
      <c r="E159" s="1" t="n">
        <v>46248</v>
      </c>
      <c r="F159" t="inlineStr">
        <is>
          <t>BLEKINGE LÄN</t>
        </is>
      </c>
      <c r="G159" t="inlineStr">
        <is>
          <t>RONNEBY</t>
        </is>
      </c>
      <c r="I159" t="n">
        <v>12.7</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HYPERLINK("https://klasma.github.io/Logging_1081/artfynd/A 24296-2024 artfynd.xlsx", "A 24296-2024")</f>
        <v/>
      </c>
      <c r="X159">
        <f>HYPERLINK("https://klasma.github.io/Logging_1081/kartor/A 24296-2024 karta.png", "A 24296-2024")</f>
        <v/>
      </c>
      <c r="Y159">
        <f>HYPERLINK("https://klasma.github.io/Logging_1081/kartor_geotiff/A 24296-2024 georefererad karta.tif", "A 24296-2024")</f>
        <v/>
      </c>
      <c r="AA159">
        <f>HYPERLINK("https://klasma.github.io/Logging_1081/klagomål/A 24296-2024 FSC-klagomål.docx", "A 24296-2024")</f>
        <v/>
      </c>
      <c r="AB159">
        <f>HYPERLINK("https://klasma.github.io/Logging_1081/klagomålsmail/A 24296-2024 FSC-klagomål mail.docx", "A 24296-2024")</f>
        <v/>
      </c>
      <c r="AC159">
        <f>HYPERLINK("https://klasma.github.io/Logging_1081/tillsyn/A 24296-2024 tillsynsbegäran.docx", "A 24296-2024")</f>
        <v/>
      </c>
      <c r="AD159">
        <f>HYPERLINK("https://klasma.github.io/Logging_1081/tillsynsmail/A 24296-2024 tillsynsbegäran mail.docx", "A 24296-2024")</f>
        <v/>
      </c>
    </row>
    <row r="160" ht="15" customHeight="1">
      <c r="A160" t="inlineStr">
        <is>
          <t>A 6431-2025</t>
        </is>
      </c>
      <c r="B160" t="inlineStr">
        <is>
          <t>avverkningsanmälan</t>
        </is>
      </c>
      <c r="C160" t="inlineStr">
        <is>
          <t>Föryngringsavverkning</t>
        </is>
      </c>
      <c r="D160" s="1" t="n">
        <v>45699</v>
      </c>
      <c r="E160" s="1" t="n">
        <v>46248</v>
      </c>
      <c r="F160" t="inlineStr">
        <is>
          <t>BLEKINGE LÄN</t>
        </is>
      </c>
      <c r="G160" t="inlineStr">
        <is>
          <t>RONNEBY</t>
        </is>
      </c>
      <c r="I160" t="n">
        <v>1.1</v>
      </c>
      <c r="J160" t="n">
        <v>0</v>
      </c>
      <c r="K160" t="n">
        <v>0</v>
      </c>
      <c r="L160" t="n">
        <v>0</v>
      </c>
      <c r="M160" t="n">
        <v>1</v>
      </c>
      <c r="N160" t="n">
        <v>0</v>
      </c>
      <c r="O160" t="n">
        <v>0</v>
      </c>
      <c r="P160" t="n">
        <v>0</v>
      </c>
      <c r="Q160" t="n">
        <v>1</v>
      </c>
      <c r="R160" t="n">
        <v>1</v>
      </c>
      <c r="S160" t="n">
        <v>1</v>
      </c>
      <c r="T160" t="n">
        <v>1</v>
      </c>
      <c r="U160" t="n">
        <v>1</v>
      </c>
      <c r="V160" s="2" t="inlineStr">
        <is>
          <t>Igelkott</t>
        </is>
      </c>
      <c r="W160">
        <f>HYPERLINK("https://klasma.github.io/Logging_1081/artfynd/A 6431-2025 artfynd.xlsx", "A 6431-2025")</f>
        <v/>
      </c>
      <c r="X160">
        <f>HYPERLINK("https://klasma.github.io/Logging_1081/kartor/A 6431-2025 karta.png", "A 6431-2025")</f>
        <v/>
      </c>
      <c r="Y160">
        <f>HYPERLINK("https://klasma.github.io/Logging_1081/kartor_geotiff/A 6431-2025 georefererad karta.tif", "A 6431-2025")</f>
        <v/>
      </c>
      <c r="AA160">
        <f>HYPERLINK("https://klasma.github.io/Logging_1081/klagomål/A 6431-2025 FSC-klagomål.docx", "A 6431-2025")</f>
        <v/>
      </c>
      <c r="AB160">
        <f>HYPERLINK("https://klasma.github.io/Logging_1081/klagomålsmail/A 6431-2025 FSC-klagomål mail.docx", "A 6431-2025")</f>
        <v/>
      </c>
      <c r="AC160">
        <f>HYPERLINK("https://klasma.github.io/Logging_1081/tillsyn/A 6431-2025 tillsynsbegäran.docx", "A 6431-2025")</f>
        <v/>
      </c>
      <c r="AD160">
        <f>HYPERLINK("https://klasma.github.io/Logging_1081/tillsynsmail/A 6431-2025 tillsynsbegäran mail.docx", "A 6431-2025")</f>
        <v/>
      </c>
    </row>
    <row r="161" ht="15" customHeight="1">
      <c r="A161" t="inlineStr">
        <is>
          <t>A 27763-2024</t>
        </is>
      </c>
      <c r="B161" t="inlineStr">
        <is>
          <t>avverkningsanmälan</t>
        </is>
      </c>
      <c r="C161" t="inlineStr">
        <is>
          <t>Avverkning för att bevara och utveckla /försöksver</t>
        </is>
      </c>
      <c r="D161" s="1" t="n">
        <v>45475</v>
      </c>
      <c r="E161" s="1" t="n">
        <v>46248</v>
      </c>
      <c r="F161" t="inlineStr">
        <is>
          <t>BLEKINGE LÄN</t>
        </is>
      </c>
      <c r="G161" t="inlineStr">
        <is>
          <t>KARLSKRONA</t>
        </is>
      </c>
      <c r="I161" t="n">
        <v>7.6</v>
      </c>
      <c r="J161" t="n">
        <v>1</v>
      </c>
      <c r="K161" t="n">
        <v>0</v>
      </c>
      <c r="L161" t="n">
        <v>0</v>
      </c>
      <c r="M161" t="n">
        <v>0</v>
      </c>
      <c r="N161" t="n">
        <v>0</v>
      </c>
      <c r="O161" t="n">
        <v>0</v>
      </c>
      <c r="P161" t="n">
        <v>0</v>
      </c>
      <c r="Q161" t="n">
        <v>0</v>
      </c>
      <c r="R161" t="n">
        <v>0</v>
      </c>
      <c r="S161" t="n">
        <v>1</v>
      </c>
      <c r="T161" t="n">
        <v>2</v>
      </c>
      <c r="U161" t="n">
        <v>0</v>
      </c>
      <c r="V161" s="2" t="inlineStr">
        <is>
          <t>Långbensgroda</t>
        </is>
      </c>
      <c r="W161">
        <f>HYPERLINK("https://klasma.github.io/Logging_1080/artfynd/A 27763-2024 artfynd.xlsx", "A 27763-2024")</f>
        <v/>
      </c>
      <c r="X161">
        <f>HYPERLINK("https://klasma.github.io/Logging_1080/kartor/A 27763-2024 karta.png", "A 27763-2024")</f>
        <v/>
      </c>
      <c r="Y161">
        <f>HYPERLINK("https://klasma.github.io/Logging_1080/kartor_geotiff/A 27763-2024 georefererad karta.tif", "A 27763-2024")</f>
        <v/>
      </c>
      <c r="AA161">
        <f>HYPERLINK("https://klasma.github.io/Logging_1080/klagomål/A 27763-2024 FSC-klagomål.docx", "A 27763-2024")</f>
        <v/>
      </c>
      <c r="AB161">
        <f>HYPERLINK("https://klasma.github.io/Logging_1080/klagomålsmail/A 27763-2024 FSC-klagomål mail.docx", "A 27763-2024")</f>
        <v/>
      </c>
      <c r="AC161">
        <f>HYPERLINK("https://klasma.github.io/Logging_1080/tillsyn/A 27763-2024 tillsynsbegäran.docx", "A 27763-2024")</f>
        <v/>
      </c>
      <c r="AD161">
        <f>HYPERLINK("https://klasma.github.io/Logging_1080/tillsynsmail/A 27763-2024 tillsynsbegäran mail.docx", "A 27763-2024")</f>
        <v/>
      </c>
    </row>
    <row r="162" ht="15" customHeight="1">
      <c r="A162" t="inlineStr">
        <is>
          <t>A 56583-2024</t>
        </is>
      </c>
      <c r="B162" t="inlineStr">
        <is>
          <t>avverkningsanmälan</t>
        </is>
      </c>
      <c r="C162" t="inlineStr">
        <is>
          <t>Föryngringsavverkning</t>
        </is>
      </c>
      <c r="D162" s="1" t="n">
        <v>45625</v>
      </c>
      <c r="E162" s="1" t="n">
        <v>46248</v>
      </c>
      <c r="F162" t="inlineStr">
        <is>
          <t>BLEKINGE LÄN</t>
        </is>
      </c>
      <c r="G162" t="inlineStr">
        <is>
          <t>OLOFSTRÖM</t>
        </is>
      </c>
      <c r="I162" t="n">
        <v>2.7</v>
      </c>
      <c r="J162" t="n">
        <v>0</v>
      </c>
      <c r="K162" t="n">
        <v>1</v>
      </c>
      <c r="L162" t="n">
        <v>0</v>
      </c>
      <c r="M162" t="n">
        <v>0</v>
      </c>
      <c r="N162" t="n">
        <v>0</v>
      </c>
      <c r="O162" t="n">
        <v>0</v>
      </c>
      <c r="P162" t="n">
        <v>0</v>
      </c>
      <c r="Q162" t="n">
        <v>0</v>
      </c>
      <c r="R162" t="n">
        <v>0</v>
      </c>
      <c r="S162" t="n">
        <v>1</v>
      </c>
      <c r="T162" t="n">
        <v>1</v>
      </c>
      <c r="U162" t="n">
        <v>0</v>
      </c>
      <c r="V162" s="2" t="inlineStr">
        <is>
          <t>Brandticka</t>
        </is>
      </c>
      <c r="W162">
        <f>HYPERLINK("https://klasma.github.io/Logging_1060/artfynd/A 56583-2024 artfynd.xlsx", "A 56583-2024")</f>
        <v/>
      </c>
      <c r="X162">
        <f>HYPERLINK("https://klasma.github.io/Logging_1060/kartor/A 56583-2024 karta.png", "A 56583-2024")</f>
        <v/>
      </c>
      <c r="Y162">
        <f>HYPERLINK("https://klasma.github.io/Logging_1060/kartor_geotiff/A 56583-2024 georefererad karta.tif", "A 56583-2024")</f>
        <v/>
      </c>
      <c r="AA162">
        <f>HYPERLINK("https://klasma.github.io/Logging_1060/klagomål/A 56583-2024 FSC-klagomål.docx", "A 56583-2024")</f>
        <v/>
      </c>
      <c r="AB162">
        <f>HYPERLINK("https://klasma.github.io/Logging_1060/klagomålsmail/A 56583-2024 FSC-klagomål mail.docx", "A 56583-2024")</f>
        <v/>
      </c>
      <c r="AC162">
        <f>HYPERLINK("https://klasma.github.io/Logging_1060/tillsyn/A 56583-2024 tillsynsbegäran.docx", "A 56583-2024")</f>
        <v/>
      </c>
      <c r="AD162">
        <f>HYPERLINK("https://klasma.github.io/Logging_1060/tillsynsmail/A 56583-2024 tillsynsbegäran mail.docx", "A 56583-2024")</f>
        <v/>
      </c>
    </row>
    <row r="163" ht="15" customHeight="1">
      <c r="A163" t="inlineStr">
        <is>
          <t>A 33549-2023</t>
        </is>
      </c>
      <c r="B163" t="inlineStr">
        <is>
          <t>avverkningsanmälan</t>
        </is>
      </c>
      <c r="C163" t="inlineStr">
        <is>
          <t>Föryngringsavverkning</t>
        </is>
      </c>
      <c r="D163" s="1" t="n">
        <v>45118</v>
      </c>
      <c r="E163" s="1" t="n">
        <v>46248</v>
      </c>
      <c r="F163" t="inlineStr">
        <is>
          <t>BLEKINGE LÄN</t>
        </is>
      </c>
      <c r="G163" t="inlineStr">
        <is>
          <t>KARLSHAMN</t>
        </is>
      </c>
      <c r="I163" t="n">
        <v>1.6</v>
      </c>
      <c r="J163" t="n">
        <v>0</v>
      </c>
      <c r="K163" t="n">
        <v>1</v>
      </c>
      <c r="L163" t="n">
        <v>0</v>
      </c>
      <c r="M163" t="n">
        <v>0</v>
      </c>
      <c r="N163" t="n">
        <v>0</v>
      </c>
      <c r="O163" t="n">
        <v>0</v>
      </c>
      <c r="P163" t="n">
        <v>0</v>
      </c>
      <c r="Q163" t="n">
        <v>0</v>
      </c>
      <c r="R163" t="n">
        <v>0</v>
      </c>
      <c r="S163" t="n">
        <v>1</v>
      </c>
      <c r="T163" t="n">
        <v>1</v>
      </c>
      <c r="U163" t="n">
        <v>0</v>
      </c>
      <c r="V163" s="2" t="inlineStr">
        <is>
          <t>Fjällsopp</t>
        </is>
      </c>
      <c r="W163">
        <f>HYPERLINK("https://klasma.github.io/Logging_1082/artfynd/A 33549-2023 artfynd.xlsx", "A 33549-2023")</f>
        <v/>
      </c>
      <c r="X163">
        <f>HYPERLINK("https://klasma.github.io/Logging_1082/kartor/A 33549-2023 karta.png", "A 33549-2023")</f>
        <v/>
      </c>
      <c r="Y163">
        <f>HYPERLINK("https://klasma.github.io/Logging_1082/kartor_geotiff/A 33549-2023 georefererad karta.tif", "A 33549-2023")</f>
        <v/>
      </c>
      <c r="AA163">
        <f>HYPERLINK("https://klasma.github.io/Logging_1082/klagomål/A 33549-2023 FSC-klagomål.docx", "A 33549-2023")</f>
        <v/>
      </c>
      <c r="AB163">
        <f>HYPERLINK("https://klasma.github.io/Logging_1082/klagomålsmail/A 33549-2023 FSC-klagomål mail.docx", "A 33549-2023")</f>
        <v/>
      </c>
      <c r="AC163">
        <f>HYPERLINK("https://klasma.github.io/Logging_1082/tillsyn/A 33549-2023 tillsynsbegäran.docx", "A 33549-2023")</f>
        <v/>
      </c>
      <c r="AD163">
        <f>HYPERLINK("https://klasma.github.io/Logging_1082/tillsynsmail/A 33549-2023 tillsynsbegäran mail.docx", "A 33549-2023")</f>
        <v/>
      </c>
    </row>
    <row r="164" ht="15" customHeight="1">
      <c r="A164" t="inlineStr">
        <is>
          <t>A 38228-2024</t>
        </is>
      </c>
      <c r="B164" t="inlineStr">
        <is>
          <t>avverkningsanmälan</t>
        </is>
      </c>
      <c r="C164" t="inlineStr">
        <is>
          <t>Föryngringsavverkning</t>
        </is>
      </c>
      <c r="D164" s="1" t="n">
        <v>45545</v>
      </c>
      <c r="E164" s="1" t="n">
        <v>46248</v>
      </c>
      <c r="F164" t="inlineStr">
        <is>
          <t>BLEKINGE LÄN</t>
        </is>
      </c>
      <c r="G164" t="inlineStr">
        <is>
          <t>RONNEBY</t>
        </is>
      </c>
      <c r="I164" t="n">
        <v>2.4</v>
      </c>
      <c r="J164" t="n">
        <v>1</v>
      </c>
      <c r="K164" t="n">
        <v>0</v>
      </c>
      <c r="L164" t="n">
        <v>0</v>
      </c>
      <c r="M164" t="n">
        <v>1</v>
      </c>
      <c r="N164" t="n">
        <v>0</v>
      </c>
      <c r="O164" t="n">
        <v>0</v>
      </c>
      <c r="P164" t="n">
        <v>0</v>
      </c>
      <c r="Q164" t="n">
        <v>1</v>
      </c>
      <c r="R164" t="n">
        <v>1</v>
      </c>
      <c r="S164" t="n">
        <v>1</v>
      </c>
      <c r="T164" t="n">
        <v>1</v>
      </c>
      <c r="U164" t="n">
        <v>0</v>
      </c>
      <c r="V164" s="2" t="inlineStr">
        <is>
          <t>Hasselsnok</t>
        </is>
      </c>
      <c r="W164">
        <f>HYPERLINK("https://klasma.github.io/Logging_1081/artfynd/A 38228-2024 artfynd.xlsx", "A 38228-2024")</f>
        <v/>
      </c>
      <c r="X164">
        <f>HYPERLINK("https://klasma.github.io/Logging_1081/kartor/A 38228-2024 karta.png", "A 38228-2024")</f>
        <v/>
      </c>
      <c r="Y164">
        <f>HYPERLINK("https://klasma.github.io/Logging_1081/kartor_geotiff/A 38228-2024 georefererad karta.tif", "A 38228-2024")</f>
        <v/>
      </c>
      <c r="AA164">
        <f>HYPERLINK("https://klasma.github.io/Logging_1081/klagomål/A 38228-2024 FSC-klagomål.docx", "A 38228-2024")</f>
        <v/>
      </c>
      <c r="AB164">
        <f>HYPERLINK("https://klasma.github.io/Logging_1081/klagomålsmail/A 38228-2024 FSC-klagomål mail.docx", "A 38228-2024")</f>
        <v/>
      </c>
      <c r="AC164">
        <f>HYPERLINK("https://klasma.github.io/Logging_1081/tillsyn/A 38228-2024 tillsynsbegäran.docx", "A 38228-2024")</f>
        <v/>
      </c>
      <c r="AD164">
        <f>HYPERLINK("https://klasma.github.io/Logging_1081/tillsynsmail/A 38228-2024 tillsynsbegäran mail.docx", "A 38228-2024")</f>
        <v/>
      </c>
    </row>
    <row r="165" ht="15" customHeight="1">
      <c r="A165" t="inlineStr">
        <is>
          <t>A 51772-2025</t>
        </is>
      </c>
      <c r="B165" t="inlineStr">
        <is>
          <t>avverkningsanmälan</t>
        </is>
      </c>
      <c r="C165" t="inlineStr">
        <is>
          <t>Föryngringsavverkning</t>
        </is>
      </c>
      <c r="D165" s="1" t="n">
        <v>45951</v>
      </c>
      <c r="E165" s="1" t="n">
        <v>46248</v>
      </c>
      <c r="F165" t="inlineStr">
        <is>
          <t>BLEKINGE LÄN</t>
        </is>
      </c>
      <c r="G165" t="inlineStr">
        <is>
          <t>SÖLVESBORG</t>
        </is>
      </c>
      <c r="I165" t="n">
        <v>0.6</v>
      </c>
      <c r="J165" t="n">
        <v>0</v>
      </c>
      <c r="K165" t="n">
        <v>1</v>
      </c>
      <c r="L165" t="n">
        <v>0</v>
      </c>
      <c r="M165" t="n">
        <v>0</v>
      </c>
      <c r="N165" t="n">
        <v>0</v>
      </c>
      <c r="O165" t="n">
        <v>0</v>
      </c>
      <c r="P165" t="n">
        <v>0</v>
      </c>
      <c r="Q165" t="n">
        <v>0</v>
      </c>
      <c r="R165" t="n">
        <v>0</v>
      </c>
      <c r="S165" t="n">
        <v>1</v>
      </c>
      <c r="T165" t="n">
        <v>1</v>
      </c>
      <c r="U165" t="n">
        <v>0</v>
      </c>
      <c r="V165" s="2" t="inlineStr">
        <is>
          <t>Kragjordstjärna</t>
        </is>
      </c>
      <c r="W165">
        <f>HYPERLINK("https://klasma.github.io/Logging_1083/artfynd/A 51772-2025 artfynd.xlsx", "A 51772-2025")</f>
        <v/>
      </c>
      <c r="X165">
        <f>HYPERLINK("https://klasma.github.io/Logging_1083/kartor/A 51772-2025 karta.png", "A 51772-2025")</f>
        <v/>
      </c>
      <c r="Y165">
        <f>HYPERLINK("https://klasma.github.io/Logging_1083/kartor_geotiff/A 51772-2025 georefererad karta.tif", "A 51772-2025")</f>
        <v/>
      </c>
      <c r="AA165">
        <f>HYPERLINK("https://klasma.github.io/Logging_1083/klagomål/A 51772-2025 FSC-klagomål.docx", "A 51772-2025")</f>
        <v/>
      </c>
      <c r="AB165">
        <f>HYPERLINK("https://klasma.github.io/Logging_1083/klagomålsmail/A 51772-2025 FSC-klagomål mail.docx", "A 51772-2025")</f>
        <v/>
      </c>
      <c r="AC165">
        <f>HYPERLINK("https://klasma.github.io/Logging_1083/tillsyn/A 51772-2025 tillsynsbegäran.docx", "A 51772-2025")</f>
        <v/>
      </c>
      <c r="AD165">
        <f>HYPERLINK("https://klasma.github.io/Logging_1083/tillsynsmail/A 51772-2025 tillsynsbegäran mail.docx", "A 51772-2025")</f>
        <v/>
      </c>
    </row>
    <row r="166" ht="15" customHeight="1">
      <c r="A166" t="inlineStr">
        <is>
          <t>A 25104-2026</t>
        </is>
      </c>
      <c r="B166" t="inlineStr">
        <is>
          <t>avverkningsanmälan</t>
        </is>
      </c>
      <c r="C166" t="inlineStr">
        <is>
          <t>Föryngringsavverkning</t>
        </is>
      </c>
      <c r="D166" s="1" t="n">
        <v>46175</v>
      </c>
      <c r="E166" s="1" t="n">
        <v>46248</v>
      </c>
      <c r="F166" t="inlineStr">
        <is>
          <t>BLEKINGE LÄN</t>
        </is>
      </c>
      <c r="G166" t="inlineStr">
        <is>
          <t>RONNEBY</t>
        </is>
      </c>
      <c r="I166" t="n">
        <v>1.1</v>
      </c>
      <c r="J166" t="n">
        <v>1</v>
      </c>
      <c r="K166" t="n">
        <v>0</v>
      </c>
      <c r="L166" t="n">
        <v>0</v>
      </c>
      <c r="M166" t="n">
        <v>1</v>
      </c>
      <c r="N166" t="n">
        <v>0</v>
      </c>
      <c r="O166" t="n">
        <v>0</v>
      </c>
      <c r="P166" t="n">
        <v>0</v>
      </c>
      <c r="Q166" t="n">
        <v>1</v>
      </c>
      <c r="R166" t="n">
        <v>1</v>
      </c>
      <c r="S166" t="n">
        <v>1</v>
      </c>
      <c r="T166" t="n">
        <v>2</v>
      </c>
      <c r="U166" t="n">
        <v>0</v>
      </c>
      <c r="V166" s="2" t="inlineStr">
        <is>
          <t>Backsippa</t>
        </is>
      </c>
      <c r="W166">
        <f>HYPERLINK("https://klasma.github.io/Logging_1081/artfynd/A 25104-2026 artfynd.xlsx", "A 25104-2026")</f>
        <v/>
      </c>
      <c r="X166">
        <f>HYPERLINK("https://klasma.github.io/Logging_1081/kartor/A 25104-2026 karta.png", "A 25104-2026")</f>
        <v/>
      </c>
      <c r="Y166">
        <f>HYPERLINK("https://klasma.github.io/Logging_1081/kartor_geotiff/A 25104-2026 georefererad karta.tif", "A 25104-2026")</f>
        <v/>
      </c>
      <c r="AA166">
        <f>HYPERLINK("https://klasma.github.io/Logging_1081/klagomål/A 25104-2026 FSC-klagomål.docx", "A 25104-2026")</f>
        <v/>
      </c>
      <c r="AB166">
        <f>HYPERLINK("https://klasma.github.io/Logging_1081/klagomålsmail/A 25104-2026 FSC-klagomål mail.docx", "A 25104-2026")</f>
        <v/>
      </c>
      <c r="AC166">
        <f>HYPERLINK("https://klasma.github.io/Logging_1081/tillsyn/A 25104-2026 tillsynsbegäran.docx", "A 25104-2026")</f>
        <v/>
      </c>
      <c r="AD166">
        <f>HYPERLINK("https://klasma.github.io/Logging_1081/tillsynsmail/A 25104-2026 tillsynsbegäran mail.docx", "A 25104-2026")</f>
        <v/>
      </c>
    </row>
    <row r="167" ht="15" customHeight="1">
      <c r="A167" t="inlineStr">
        <is>
          <t>A 53865-2025</t>
        </is>
      </c>
      <c r="B167" t="inlineStr">
        <is>
          <t>avverkningsanmälan</t>
        </is>
      </c>
      <c r="C167" t="inlineStr">
        <is>
          <t>Avverkning för annat ändamål</t>
        </is>
      </c>
      <c r="D167" s="1" t="n">
        <v>45961</v>
      </c>
      <c r="E167" s="1" t="n">
        <v>46248</v>
      </c>
      <c r="F167" t="inlineStr">
        <is>
          <t>BLEKINGE LÄN</t>
        </is>
      </c>
      <c r="G167" t="inlineStr">
        <is>
          <t>KARLSKRONA</t>
        </is>
      </c>
      <c r="I167" t="n">
        <v>1.9</v>
      </c>
      <c r="J167" t="n">
        <v>0</v>
      </c>
      <c r="K167" t="n">
        <v>1</v>
      </c>
      <c r="L167" t="n">
        <v>0</v>
      </c>
      <c r="M167" t="n">
        <v>0</v>
      </c>
      <c r="N167" t="n">
        <v>0</v>
      </c>
      <c r="O167" t="n">
        <v>0</v>
      </c>
      <c r="P167" t="n">
        <v>0</v>
      </c>
      <c r="Q167" t="n">
        <v>0</v>
      </c>
      <c r="R167" t="n">
        <v>0</v>
      </c>
      <c r="S167" t="n">
        <v>1</v>
      </c>
      <c r="T167" t="n">
        <v>2</v>
      </c>
      <c r="U167" t="n">
        <v>0</v>
      </c>
      <c r="V167" s="2" t="inlineStr">
        <is>
          <t>Rostfläck</t>
        </is>
      </c>
      <c r="W167">
        <f>HYPERLINK("https://klasma.github.io/Logging_1080/artfynd/A 53865-2025 artfynd.xlsx", "A 53865-2025")</f>
        <v/>
      </c>
      <c r="X167">
        <f>HYPERLINK("https://klasma.github.io/Logging_1080/kartor/A 53865-2025 karta.png", "A 53865-2025")</f>
        <v/>
      </c>
      <c r="Y167">
        <f>HYPERLINK("https://klasma.github.io/Logging_1080/kartor_geotiff/A 53865-2025 georefererad karta.tif", "A 53865-2025")</f>
        <v/>
      </c>
      <c r="AA167">
        <f>HYPERLINK("https://klasma.github.io/Logging_1080/klagomål/A 53865-2025 FSC-klagomål.docx", "A 53865-2025")</f>
        <v/>
      </c>
      <c r="AB167">
        <f>HYPERLINK("https://klasma.github.io/Logging_1080/klagomålsmail/A 53865-2025 FSC-klagomål mail.docx", "A 53865-2025")</f>
        <v/>
      </c>
      <c r="AC167">
        <f>HYPERLINK("https://klasma.github.io/Logging_1080/tillsyn/A 53865-2025 tillsynsbegäran.docx", "A 53865-2025")</f>
        <v/>
      </c>
      <c r="AD167">
        <f>HYPERLINK("https://klasma.github.io/Logging_1080/tillsynsmail/A 53865-2025 tillsynsbegäran mail.docx", "A 53865-2025")</f>
        <v/>
      </c>
    </row>
    <row r="168" ht="15" customHeight="1">
      <c r="A168" t="inlineStr">
        <is>
          <t>A 26288-2026</t>
        </is>
      </c>
      <c r="B168" t="inlineStr">
        <is>
          <t>avverkningsanmälan</t>
        </is>
      </c>
      <c r="C168" t="inlineStr">
        <is>
          <t>Föryngringsavverkning</t>
        </is>
      </c>
      <c r="D168" s="1" t="n">
        <v>46182</v>
      </c>
      <c r="E168" s="1" t="n">
        <v>46248</v>
      </c>
      <c r="F168" t="inlineStr">
        <is>
          <t>BLEKINGE LÄN</t>
        </is>
      </c>
      <c r="G168" t="inlineStr">
        <is>
          <t>RONNEBY</t>
        </is>
      </c>
      <c r="H168" t="inlineStr">
        <is>
          <t>Övriga Aktiebolag</t>
        </is>
      </c>
      <c r="I168" t="n">
        <v>1.6</v>
      </c>
      <c r="J168" t="n">
        <v>0</v>
      </c>
      <c r="K168" t="n">
        <v>1</v>
      </c>
      <c r="L168" t="n">
        <v>0</v>
      </c>
      <c r="M168" t="n">
        <v>0</v>
      </c>
      <c r="N168" t="n">
        <v>0</v>
      </c>
      <c r="O168" t="n">
        <v>0</v>
      </c>
      <c r="P168" t="n">
        <v>0</v>
      </c>
      <c r="Q168" t="n">
        <v>0</v>
      </c>
      <c r="R168" t="n">
        <v>0</v>
      </c>
      <c r="S168" t="n">
        <v>1</v>
      </c>
      <c r="T168" t="n">
        <v>1</v>
      </c>
      <c r="U168" t="n">
        <v>0</v>
      </c>
      <c r="V168" s="2" t="inlineStr">
        <is>
          <t>Havstulpanlav</t>
        </is>
      </c>
      <c r="W168">
        <f>HYPERLINK("https://klasma.github.io/Logging_1081/artfynd/A 26288-2026 artfynd.xlsx", "A 26288-2026")</f>
        <v/>
      </c>
      <c r="X168">
        <f>HYPERLINK("https://klasma.github.io/Logging_1081/kartor/A 26288-2026 karta.png", "A 26288-2026")</f>
        <v/>
      </c>
      <c r="Y168">
        <f>HYPERLINK("https://klasma.github.io/Logging_1081/kartor_geotiff/A 26288-2026 georefererad karta.tif", "A 26288-2026")</f>
        <v/>
      </c>
      <c r="AA168">
        <f>HYPERLINK("https://klasma.github.io/Logging_1081/klagomål/A 26288-2026 FSC-klagomål.docx", "A 26288-2026")</f>
        <v/>
      </c>
      <c r="AB168">
        <f>HYPERLINK("https://klasma.github.io/Logging_1081/klagomålsmail/A 26288-2026 FSC-klagomål mail.docx", "A 26288-2026")</f>
        <v/>
      </c>
      <c r="AC168">
        <f>HYPERLINK("https://klasma.github.io/Logging_1081/tillsyn/A 26288-2026 tillsynsbegäran.docx", "A 26288-2026")</f>
        <v/>
      </c>
      <c r="AD168">
        <f>HYPERLINK("https://klasma.github.io/Logging_1081/tillsynsmail/A 26288-2026 tillsynsbegäran mail.docx", "A 26288-2026")</f>
        <v/>
      </c>
    </row>
    <row r="169" ht="15" customHeight="1">
      <c r="A169" t="inlineStr">
        <is>
          <t>A 26114-2026</t>
        </is>
      </c>
      <c r="B169" t="inlineStr">
        <is>
          <t>avverkningsanmälan</t>
        </is>
      </c>
      <c r="C169" t="inlineStr">
        <is>
          <t>Föryngringsavverkning</t>
        </is>
      </c>
      <c r="D169" s="1" t="n">
        <v>46181</v>
      </c>
      <c r="E169" s="1" t="n">
        <v>46248</v>
      </c>
      <c r="F169" t="inlineStr">
        <is>
          <t>BLEKINGE LÄN</t>
        </is>
      </c>
      <c r="G169" t="inlineStr">
        <is>
          <t>RONNEBY</t>
        </is>
      </c>
      <c r="I169" t="n">
        <v>1.3</v>
      </c>
      <c r="J169" t="n">
        <v>1</v>
      </c>
      <c r="K169" t="n">
        <v>0</v>
      </c>
      <c r="L169" t="n">
        <v>0</v>
      </c>
      <c r="M169" t="n">
        <v>0</v>
      </c>
      <c r="N169" t="n">
        <v>0</v>
      </c>
      <c r="O169" t="n">
        <v>0</v>
      </c>
      <c r="P169" t="n">
        <v>0</v>
      </c>
      <c r="Q169" t="n">
        <v>0</v>
      </c>
      <c r="R169" t="n">
        <v>0</v>
      </c>
      <c r="S169" t="n">
        <v>1</v>
      </c>
      <c r="T169" t="n">
        <v>1</v>
      </c>
      <c r="U169" t="n">
        <v>0</v>
      </c>
      <c r="V169" s="2" t="inlineStr">
        <is>
          <t>Hasselmus</t>
        </is>
      </c>
      <c r="W169">
        <f>HYPERLINK("https://klasma.github.io/Logging_1081/artfynd/A 26114-2026 artfynd.xlsx", "A 26114-2026")</f>
        <v/>
      </c>
      <c r="X169">
        <f>HYPERLINK("https://klasma.github.io/Logging_1081/kartor/A 26114-2026 karta.png", "A 26114-2026")</f>
        <v/>
      </c>
      <c r="Y169">
        <f>HYPERLINK("https://klasma.github.io/Logging_1081/kartor_geotiff/A 26114-2026 georefererad karta.tif", "A 26114-2026")</f>
        <v/>
      </c>
      <c r="AA169">
        <f>HYPERLINK("https://klasma.github.io/Logging_1081/klagomål/A 26114-2026 FSC-klagomål.docx", "A 26114-2026")</f>
        <v/>
      </c>
      <c r="AB169">
        <f>HYPERLINK("https://klasma.github.io/Logging_1081/klagomålsmail/A 26114-2026 FSC-klagomål mail.docx", "A 26114-2026")</f>
        <v/>
      </c>
      <c r="AC169">
        <f>HYPERLINK("https://klasma.github.io/Logging_1081/tillsyn/A 26114-2026 tillsynsbegäran.docx", "A 26114-2026")</f>
        <v/>
      </c>
      <c r="AD169">
        <f>HYPERLINK("https://klasma.github.io/Logging_1081/tillsynsmail/A 26114-2026 tillsynsbegäran mail.docx", "A 26114-2026")</f>
        <v/>
      </c>
    </row>
    <row r="170" ht="15" customHeight="1">
      <c r="A170" t="inlineStr">
        <is>
          <t>A 26455-2026</t>
        </is>
      </c>
      <c r="B170" t="inlineStr">
        <is>
          <t>avverkningsanmälan</t>
        </is>
      </c>
      <c r="C170" t="inlineStr">
        <is>
          <t>Föryngringsavverkning</t>
        </is>
      </c>
      <c r="D170" s="1" t="n">
        <v>46183</v>
      </c>
      <c r="E170" s="1" t="n">
        <v>46248</v>
      </c>
      <c r="F170" t="inlineStr">
        <is>
          <t>BLEKINGE LÄN</t>
        </is>
      </c>
      <c r="G170" t="inlineStr">
        <is>
          <t>SÖLVESBORG</t>
        </is>
      </c>
      <c r="I170" t="n">
        <v>12.6</v>
      </c>
      <c r="J170" t="n">
        <v>0</v>
      </c>
      <c r="K170" t="n">
        <v>1</v>
      </c>
      <c r="L170" t="n">
        <v>0</v>
      </c>
      <c r="M170" t="n">
        <v>0</v>
      </c>
      <c r="N170" t="n">
        <v>0</v>
      </c>
      <c r="O170" t="n">
        <v>0</v>
      </c>
      <c r="P170" t="n">
        <v>0</v>
      </c>
      <c r="Q170" t="n">
        <v>0</v>
      </c>
      <c r="R170" t="n">
        <v>0</v>
      </c>
      <c r="S170" t="n">
        <v>1</v>
      </c>
      <c r="T170" t="n">
        <v>1</v>
      </c>
      <c r="U170" t="n">
        <v>0</v>
      </c>
      <c r="V170" s="2" t="inlineStr">
        <is>
          <t>Myskmadra</t>
        </is>
      </c>
      <c r="W170">
        <f>HYPERLINK("https://klasma.github.io/Logging_1083/artfynd/A 26455-2026 artfynd.xlsx", "A 26455-2026")</f>
        <v/>
      </c>
      <c r="X170">
        <f>HYPERLINK("https://klasma.github.io/Logging_1083/kartor/A 26455-2026 karta.png", "A 26455-2026")</f>
        <v/>
      </c>
      <c r="Y170">
        <f>HYPERLINK("https://klasma.github.io/Logging_1083/kartor_geotiff/A 26455-2026 georefererad karta.tif", "A 26455-2026")</f>
        <v/>
      </c>
      <c r="AA170">
        <f>HYPERLINK("https://klasma.github.io/Logging_1083/klagomål/A 26455-2026 FSC-klagomål.docx", "A 26455-2026")</f>
        <v/>
      </c>
      <c r="AB170">
        <f>HYPERLINK("https://klasma.github.io/Logging_1083/klagomålsmail/A 26455-2026 FSC-klagomål mail.docx", "A 26455-2026")</f>
        <v/>
      </c>
      <c r="AC170">
        <f>HYPERLINK("https://klasma.github.io/Logging_1083/tillsyn/A 26455-2026 tillsynsbegäran.docx", "A 26455-2026")</f>
        <v/>
      </c>
      <c r="AD170">
        <f>HYPERLINK("https://klasma.github.io/Logging_1083/tillsynsmail/A 26455-2026 tillsynsbegäran mail.docx", "A 26455-2026")</f>
        <v/>
      </c>
    </row>
    <row r="171" ht="15" customHeight="1">
      <c r="A171" t="inlineStr">
        <is>
          <t>A 27203-2026</t>
        </is>
      </c>
      <c r="B171" t="inlineStr">
        <is>
          <t>avverkningsanmälan</t>
        </is>
      </c>
      <c r="C171" t="inlineStr">
        <is>
          <t>Föryngringsavverkning</t>
        </is>
      </c>
      <c r="D171" s="1" t="n">
        <v>46188</v>
      </c>
      <c r="E171" s="1" t="n">
        <v>46248</v>
      </c>
      <c r="F171" t="inlineStr">
        <is>
          <t>BLEKINGE LÄN</t>
        </is>
      </c>
      <c r="G171" t="inlineStr">
        <is>
          <t>KARLSKRONA</t>
        </is>
      </c>
      <c r="I171" t="n">
        <v>2.8</v>
      </c>
      <c r="J171" t="n">
        <v>1</v>
      </c>
      <c r="K171" t="n">
        <v>0</v>
      </c>
      <c r="L171" t="n">
        <v>1</v>
      </c>
      <c r="M171" t="n">
        <v>0</v>
      </c>
      <c r="N171" t="n">
        <v>0</v>
      </c>
      <c r="O171" t="n">
        <v>0</v>
      </c>
      <c r="P171" t="n">
        <v>0</v>
      </c>
      <c r="Q171" t="n">
        <v>1</v>
      </c>
      <c r="R171" t="n">
        <v>0</v>
      </c>
      <c r="S171" t="n">
        <v>1</v>
      </c>
      <c r="T171" t="n">
        <v>1</v>
      </c>
      <c r="U171" t="n">
        <v>0</v>
      </c>
      <c r="V171" s="2" t="inlineStr">
        <is>
          <t>Nötkråka</t>
        </is>
      </c>
      <c r="W171">
        <f>HYPERLINK("https://klasma.github.io/Logging_1080/artfynd/A 27203-2026 artfynd.xlsx", "A 27203-2026")</f>
        <v/>
      </c>
      <c r="X171">
        <f>HYPERLINK("https://klasma.github.io/Logging_1080/kartor/A 27203-2026 karta.png", "A 27203-2026")</f>
        <v/>
      </c>
      <c r="Y171">
        <f>HYPERLINK("https://klasma.github.io/Logging_1080/kartor_geotiff/A 27203-2026 georefererad karta.tif", "A 27203-2026")</f>
        <v/>
      </c>
      <c r="AA171">
        <f>HYPERLINK("https://klasma.github.io/Logging_1080/klagomål/A 27203-2026 FSC-klagomål.docx", "A 27203-2026")</f>
        <v/>
      </c>
      <c r="AB171">
        <f>HYPERLINK("https://klasma.github.io/Logging_1080/klagomålsmail/A 27203-2026 FSC-klagomål mail.docx", "A 27203-2026")</f>
        <v/>
      </c>
      <c r="AC171">
        <f>HYPERLINK("https://klasma.github.io/Logging_1080/tillsyn/A 27203-2026 tillsynsbegäran.docx", "A 27203-2026")</f>
        <v/>
      </c>
      <c r="AD171">
        <f>HYPERLINK("https://klasma.github.io/Logging_1080/tillsynsmail/A 27203-2026 tillsynsbegäran mail.docx", "A 27203-2026")</f>
        <v/>
      </c>
      <c r="AE171">
        <f>HYPERLINK("https://klasma.github.io/Logging_1080/fåglar/A 27203-2026 prioriterade fågelarter.docx", "A 27203-2026")</f>
        <v/>
      </c>
    </row>
    <row r="172" ht="15" customHeight="1">
      <c r="A172" t="inlineStr">
        <is>
          <t>A 41968-2025</t>
        </is>
      </c>
      <c r="B172" t="inlineStr">
        <is>
          <t>avverkningsanmälan</t>
        </is>
      </c>
      <c r="C172" t="inlineStr">
        <is>
          <t>Avverkning för att bevara och utveckla /försöksver</t>
        </is>
      </c>
      <c r="D172" s="1" t="n">
        <v>45903</v>
      </c>
      <c r="E172" s="1" t="n">
        <v>46248</v>
      </c>
      <c r="F172" t="inlineStr">
        <is>
          <t>BLEKINGE LÄN</t>
        </is>
      </c>
      <c r="G172" t="inlineStr">
        <is>
          <t>KARLSKRONA</t>
        </is>
      </c>
      <c r="H172" t="inlineStr">
        <is>
          <t>Kommuner</t>
        </is>
      </c>
      <c r="I172" t="n">
        <v>4.6</v>
      </c>
      <c r="J172" t="n">
        <v>1</v>
      </c>
      <c r="K172" t="n">
        <v>1</v>
      </c>
      <c r="L172" t="n">
        <v>0</v>
      </c>
      <c r="M172" t="n">
        <v>0</v>
      </c>
      <c r="N172" t="n">
        <v>0</v>
      </c>
      <c r="O172" t="n">
        <v>0</v>
      </c>
      <c r="P172" t="n">
        <v>0</v>
      </c>
      <c r="Q172" t="n">
        <v>0</v>
      </c>
      <c r="R172" t="n">
        <v>0</v>
      </c>
      <c r="S172" t="n">
        <v>1</v>
      </c>
      <c r="T172" t="n">
        <v>1</v>
      </c>
      <c r="U172" t="n">
        <v>1</v>
      </c>
      <c r="V172" s="2" t="inlineStr">
        <is>
          <t>Ekoxe</t>
        </is>
      </c>
      <c r="W172">
        <f>HYPERLINK("https://klasma.github.io/Logging_1080/artfynd/A 41968-2025 artfynd.xlsx", "A 41968-2025")</f>
        <v/>
      </c>
      <c r="X172">
        <f>HYPERLINK("https://klasma.github.io/Logging_1080/kartor/A 41968-2025 karta.png", "A 41968-2025")</f>
        <v/>
      </c>
      <c r="Y172">
        <f>HYPERLINK("https://klasma.github.io/Logging_1080/kartor_geotiff/A 41968-2025 georefererad karta.tif", "A 41968-2025")</f>
        <v/>
      </c>
      <c r="AA172">
        <f>HYPERLINK("https://klasma.github.io/Logging_1080/klagomål/A 41968-2025 FSC-klagomål.docx", "A 41968-2025")</f>
        <v/>
      </c>
      <c r="AB172">
        <f>HYPERLINK("https://klasma.github.io/Logging_1080/klagomålsmail/A 41968-2025 FSC-klagomål mail.docx", "A 41968-2025")</f>
        <v/>
      </c>
      <c r="AC172">
        <f>HYPERLINK("https://klasma.github.io/Logging_1080/tillsyn/A 41968-2025 tillsynsbegäran.docx", "A 41968-2025")</f>
        <v/>
      </c>
      <c r="AD172">
        <f>HYPERLINK("https://klasma.github.io/Logging_1080/tillsynsmail/A 41968-2025 tillsynsbegäran mail.docx", "A 41968-2025")</f>
        <v/>
      </c>
    </row>
    <row r="173" ht="15" customHeight="1">
      <c r="A173" t="inlineStr">
        <is>
          <t>A 2573-2023</t>
        </is>
      </c>
      <c r="B173" t="inlineStr">
        <is>
          <t>avverkningsanmälan</t>
        </is>
      </c>
      <c r="C173" t="inlineStr">
        <is>
          <t>Föryngringsavverkning</t>
        </is>
      </c>
      <c r="D173" s="1" t="n">
        <v>44943</v>
      </c>
      <c r="E173" s="1" t="n">
        <v>46248</v>
      </c>
      <c r="F173" t="inlineStr">
        <is>
          <t>BLEKINGE LÄN</t>
        </is>
      </c>
      <c r="G173" t="inlineStr">
        <is>
          <t>KARLSHAMN</t>
        </is>
      </c>
      <c r="I173" t="n">
        <v>2.2</v>
      </c>
      <c r="J173" t="n">
        <v>0</v>
      </c>
      <c r="K173" t="n">
        <v>1</v>
      </c>
      <c r="L173" t="n">
        <v>0</v>
      </c>
      <c r="M173" t="n">
        <v>0</v>
      </c>
      <c r="N173" t="n">
        <v>0</v>
      </c>
      <c r="O173" t="n">
        <v>0</v>
      </c>
      <c r="P173" t="n">
        <v>0</v>
      </c>
      <c r="Q173" t="n">
        <v>0</v>
      </c>
      <c r="R173" t="n">
        <v>0</v>
      </c>
      <c r="S173" t="n">
        <v>1</v>
      </c>
      <c r="T173" t="n">
        <v>1</v>
      </c>
      <c r="U173" t="n">
        <v>1</v>
      </c>
      <c r="V173" s="2" t="inlineStr">
        <is>
          <t>Lömsk flugsvamp</t>
        </is>
      </c>
      <c r="W173">
        <f>HYPERLINK("https://klasma.github.io/Logging_1082/artfynd/A 2573-2023 artfynd.xlsx", "A 2573-2023")</f>
        <v/>
      </c>
      <c r="X173">
        <f>HYPERLINK("https://klasma.github.io/Logging_1082/kartor/A 2573-2023 karta.png", "A 2573-2023")</f>
        <v/>
      </c>
      <c r="Y173">
        <f>HYPERLINK("https://klasma.github.io/Logging_1082/kartor_geotiff/A 2573-2023 georefererad karta.tif", "A 2573-2023")</f>
        <v/>
      </c>
      <c r="AA173">
        <f>HYPERLINK("https://klasma.github.io/Logging_1082/klagomål/A 2573-2023 FSC-klagomål.docx", "A 2573-2023")</f>
        <v/>
      </c>
      <c r="AB173">
        <f>HYPERLINK("https://klasma.github.io/Logging_1082/klagomålsmail/A 2573-2023 FSC-klagomål mail.docx", "A 2573-2023")</f>
        <v/>
      </c>
      <c r="AC173">
        <f>HYPERLINK("https://klasma.github.io/Logging_1082/tillsyn/A 2573-2023 tillsynsbegäran.docx", "A 2573-2023")</f>
        <v/>
      </c>
      <c r="AD173">
        <f>HYPERLINK("https://klasma.github.io/Logging_1082/tillsynsmail/A 2573-2023 tillsynsbegäran mail.docx", "A 2573-2023")</f>
        <v/>
      </c>
    </row>
    <row r="174" ht="15" customHeight="1">
      <c r="A174" t="inlineStr">
        <is>
          <t>A 5425-2026</t>
        </is>
      </c>
      <c r="B174" t="inlineStr">
        <is>
          <t>avverkningsanmälan</t>
        </is>
      </c>
      <c r="C174" t="inlineStr">
        <is>
          <t>Föryngringsavverkning</t>
        </is>
      </c>
      <c r="D174" s="1" t="n">
        <v>46050</v>
      </c>
      <c r="E174" s="1" t="n">
        <v>46248</v>
      </c>
      <c r="F174" t="inlineStr">
        <is>
          <t>BLEKINGE LÄN</t>
        </is>
      </c>
      <c r="G174" t="inlineStr">
        <is>
          <t>OLOFSTRÖM</t>
        </is>
      </c>
      <c r="I174" t="n">
        <v>5.4</v>
      </c>
      <c r="J174" t="n">
        <v>1</v>
      </c>
      <c r="K174" t="n">
        <v>0</v>
      </c>
      <c r="L174" t="n">
        <v>0</v>
      </c>
      <c r="M174" t="n">
        <v>0</v>
      </c>
      <c r="N174" t="n">
        <v>0</v>
      </c>
      <c r="O174" t="n">
        <v>0</v>
      </c>
      <c r="P174" t="n">
        <v>0</v>
      </c>
      <c r="Q174" t="n">
        <v>0</v>
      </c>
      <c r="R174" t="n">
        <v>0</v>
      </c>
      <c r="S174" t="n">
        <v>1</v>
      </c>
      <c r="T174" t="n">
        <v>1</v>
      </c>
      <c r="U174" t="n">
        <v>0</v>
      </c>
      <c r="V174" s="2" t="inlineStr">
        <is>
          <t>Revlummer</t>
        </is>
      </c>
      <c r="W174">
        <f>HYPERLINK("https://klasma.github.io/Logging_1060/artfynd/A 5425-2026 artfynd.xlsx", "A 5425-2026")</f>
        <v/>
      </c>
      <c r="X174">
        <f>HYPERLINK("https://klasma.github.io/Logging_1060/kartor/A 5425-2026 karta.png", "A 5425-2026")</f>
        <v/>
      </c>
      <c r="Y174">
        <f>HYPERLINK("https://klasma.github.io/Logging_1060/kartor_geotiff/A 5425-2026 georefererad karta.tif", "A 5425-2026")</f>
        <v/>
      </c>
      <c r="AA174">
        <f>HYPERLINK("https://klasma.github.io/Logging_1060/klagomål/A 5425-2026 FSC-klagomål.docx", "A 5425-2026")</f>
        <v/>
      </c>
      <c r="AB174">
        <f>HYPERLINK("https://klasma.github.io/Logging_1060/klagomålsmail/A 5425-2026 FSC-klagomål mail.docx", "A 5425-2026")</f>
        <v/>
      </c>
      <c r="AC174">
        <f>HYPERLINK("https://klasma.github.io/Logging_1060/tillsyn/A 5425-2026 tillsynsbegäran.docx", "A 5425-2026")</f>
        <v/>
      </c>
      <c r="AD174">
        <f>HYPERLINK("https://klasma.github.io/Logging_1060/tillsynsmail/A 5425-2026 tillsynsbegäran mail.docx", "A 5425-2026")</f>
        <v/>
      </c>
    </row>
    <row r="175" ht="15" customHeight="1">
      <c r="A175" t="inlineStr">
        <is>
          <t>A 21447-2025</t>
        </is>
      </c>
      <c r="B175" t="inlineStr">
        <is>
          <t>avverkningsanmälan</t>
        </is>
      </c>
      <c r="C175" t="inlineStr">
        <is>
          <t>Avverkning för annat ändamål</t>
        </is>
      </c>
      <c r="D175" s="1" t="n">
        <v>45782</v>
      </c>
      <c r="E175" s="1" t="n">
        <v>46248</v>
      </c>
      <c r="F175" t="inlineStr">
        <is>
          <t>BLEKINGE LÄN</t>
        </is>
      </c>
      <c r="G175" t="inlineStr">
        <is>
          <t>KARLSHAMN</t>
        </is>
      </c>
      <c r="H175" t="inlineStr">
        <is>
          <t>Kommuner</t>
        </is>
      </c>
      <c r="I175" t="n">
        <v>1</v>
      </c>
      <c r="J175" t="n">
        <v>0</v>
      </c>
      <c r="K175" t="n">
        <v>0</v>
      </c>
      <c r="L175" t="n">
        <v>0</v>
      </c>
      <c r="M175" t="n">
        <v>1</v>
      </c>
      <c r="N175" t="n">
        <v>0</v>
      </c>
      <c r="O175" t="n">
        <v>0</v>
      </c>
      <c r="P175" t="n">
        <v>0</v>
      </c>
      <c r="Q175" t="n">
        <v>1</v>
      </c>
      <c r="R175" t="n">
        <v>1</v>
      </c>
      <c r="S175" t="n">
        <v>1</v>
      </c>
      <c r="T175" t="n">
        <v>1</v>
      </c>
      <c r="U175" t="n">
        <v>1</v>
      </c>
      <c r="V175" s="2" t="inlineStr">
        <is>
          <t>Igelkott</t>
        </is>
      </c>
      <c r="W175">
        <f>HYPERLINK("https://klasma.github.io/Logging_1082/artfynd/A 21447-2025 artfynd.xlsx", "A 21447-2025")</f>
        <v/>
      </c>
      <c r="X175">
        <f>HYPERLINK("https://klasma.github.io/Logging_1082/kartor/A 21447-2025 karta.png", "A 21447-2025")</f>
        <v/>
      </c>
      <c r="Y175">
        <f>HYPERLINK("https://klasma.github.io/Logging_1082/kartor_geotiff/A 21447-2025 georefererad karta.tif", "A 21447-2025")</f>
        <v/>
      </c>
      <c r="AA175">
        <f>HYPERLINK("https://klasma.github.io/Logging_1082/klagomål/A 21447-2025 FSC-klagomål.docx", "A 21447-2025")</f>
        <v/>
      </c>
      <c r="AB175">
        <f>HYPERLINK("https://klasma.github.io/Logging_1082/klagomålsmail/A 21447-2025 FSC-klagomål mail.docx", "A 21447-2025")</f>
        <v/>
      </c>
      <c r="AC175">
        <f>HYPERLINK("https://klasma.github.io/Logging_1082/tillsyn/A 21447-2025 tillsynsbegäran.docx", "A 21447-2025")</f>
        <v/>
      </c>
      <c r="AD175">
        <f>HYPERLINK("https://klasma.github.io/Logging_1082/tillsynsmail/A 21447-2025 tillsynsbegäran mail.docx", "A 21447-2025")</f>
        <v/>
      </c>
    </row>
    <row r="176" ht="15" customHeight="1">
      <c r="A176" t="inlineStr">
        <is>
          <t>A 9033-2026</t>
        </is>
      </c>
      <c r="B176" t="inlineStr">
        <is>
          <t>avverkningsanmälan</t>
        </is>
      </c>
      <c r="C176" t="inlineStr">
        <is>
          <t>Föryngringsavverkning</t>
        </is>
      </c>
      <c r="D176" s="1" t="n">
        <v>46069</v>
      </c>
      <c r="E176" s="1" t="n">
        <v>46248</v>
      </c>
      <c r="F176" t="inlineStr">
        <is>
          <t>BLEKINGE LÄN</t>
        </is>
      </c>
      <c r="G176" t="inlineStr">
        <is>
          <t>KARLSKRONA</t>
        </is>
      </c>
      <c r="I176" t="n">
        <v>0.7</v>
      </c>
      <c r="J176" t="n">
        <v>1</v>
      </c>
      <c r="K176" t="n">
        <v>1</v>
      </c>
      <c r="L176" t="n">
        <v>0</v>
      </c>
      <c r="M176" t="n">
        <v>0</v>
      </c>
      <c r="N176" t="n">
        <v>0</v>
      </c>
      <c r="O176" t="n">
        <v>0</v>
      </c>
      <c r="P176" t="n">
        <v>0</v>
      </c>
      <c r="Q176" t="n">
        <v>0</v>
      </c>
      <c r="R176" t="n">
        <v>0</v>
      </c>
      <c r="S176" t="n">
        <v>1</v>
      </c>
      <c r="T176" t="n">
        <v>1</v>
      </c>
      <c r="U176" t="n">
        <v>0</v>
      </c>
      <c r="V176" s="2" t="inlineStr">
        <is>
          <t>Ekoxe</t>
        </is>
      </c>
      <c r="W176">
        <f>HYPERLINK("https://klasma.github.io/Logging_1080/artfynd/A 9033-2026 artfynd.xlsx", "A 9033-2026")</f>
        <v/>
      </c>
      <c r="X176">
        <f>HYPERLINK("https://klasma.github.io/Logging_1080/kartor/A 9033-2026 karta.png", "A 9033-2026")</f>
        <v/>
      </c>
      <c r="Y176">
        <f>HYPERLINK("https://klasma.github.io/Logging_1080/kartor_geotiff/A 9033-2026 georefererad karta.tif", "A 9033-2026")</f>
        <v/>
      </c>
      <c r="AA176">
        <f>HYPERLINK("https://klasma.github.io/Logging_1080/klagomål/A 9033-2026 FSC-klagomål.docx", "A 9033-2026")</f>
        <v/>
      </c>
      <c r="AB176">
        <f>HYPERLINK("https://klasma.github.io/Logging_1080/klagomålsmail/A 9033-2026 FSC-klagomål mail.docx", "A 9033-2026")</f>
        <v/>
      </c>
      <c r="AC176">
        <f>HYPERLINK("https://klasma.github.io/Logging_1080/tillsyn/A 9033-2026 tillsynsbegäran.docx", "A 9033-2026")</f>
        <v/>
      </c>
      <c r="AD176">
        <f>HYPERLINK("https://klasma.github.io/Logging_1080/tillsynsmail/A 9033-2026 tillsynsbegäran mail.docx", "A 9033-2026")</f>
        <v/>
      </c>
    </row>
    <row r="177" ht="15" customHeight="1">
      <c r="A177" t="inlineStr">
        <is>
          <t>A 9313-2026</t>
        </is>
      </c>
      <c r="B177" t="inlineStr">
        <is>
          <t>avverkningsanmälan</t>
        </is>
      </c>
      <c r="C177" t="inlineStr">
        <is>
          <t>Föryngringsavverkning</t>
        </is>
      </c>
      <c r="D177" s="1" t="n">
        <v>46070</v>
      </c>
      <c r="E177" s="1" t="n">
        <v>46248</v>
      </c>
      <c r="F177" t="inlineStr">
        <is>
          <t>BLEKINGE LÄN</t>
        </is>
      </c>
      <c r="G177" t="inlineStr">
        <is>
          <t>OLOFSTRÖM</t>
        </is>
      </c>
      <c r="I177" t="n">
        <v>12.5</v>
      </c>
      <c r="J177" t="n">
        <v>1</v>
      </c>
      <c r="K177" t="n">
        <v>0</v>
      </c>
      <c r="L177" t="n">
        <v>0</v>
      </c>
      <c r="M177" t="n">
        <v>0</v>
      </c>
      <c r="N177" t="n">
        <v>0</v>
      </c>
      <c r="O177" t="n">
        <v>0</v>
      </c>
      <c r="P177" t="n">
        <v>0</v>
      </c>
      <c r="Q177" t="n">
        <v>0</v>
      </c>
      <c r="R177" t="n">
        <v>0</v>
      </c>
      <c r="S177" t="n">
        <v>1</v>
      </c>
      <c r="T177" t="n">
        <v>1</v>
      </c>
      <c r="U177" t="n">
        <v>0</v>
      </c>
      <c r="V177" s="2" t="inlineStr">
        <is>
          <t>Mattlummer</t>
        </is>
      </c>
      <c r="W177">
        <f>HYPERLINK("https://klasma.github.io/Logging_1060/artfynd/A 9313-2026 artfynd.xlsx", "A 9313-2026")</f>
        <v/>
      </c>
      <c r="X177">
        <f>HYPERLINK("https://klasma.github.io/Logging_1060/kartor/A 9313-2026 karta.png", "A 9313-2026")</f>
        <v/>
      </c>
      <c r="Y177">
        <f>HYPERLINK("https://klasma.github.io/Logging_1060/kartor_geotiff/A 9313-2026 georefererad karta.tif", "A 9313-2026")</f>
        <v/>
      </c>
      <c r="AA177">
        <f>HYPERLINK("https://klasma.github.io/Logging_1060/klagomål/A 9313-2026 FSC-klagomål.docx", "A 9313-2026")</f>
        <v/>
      </c>
      <c r="AB177">
        <f>HYPERLINK("https://klasma.github.io/Logging_1060/klagomålsmail/A 9313-2026 FSC-klagomål mail.docx", "A 9313-2026")</f>
        <v/>
      </c>
      <c r="AC177">
        <f>HYPERLINK("https://klasma.github.io/Logging_1060/tillsyn/A 9313-2026 tillsynsbegäran.docx", "A 9313-2026")</f>
        <v/>
      </c>
      <c r="AD177">
        <f>HYPERLINK("https://klasma.github.io/Logging_1060/tillsynsmail/A 9313-2026 tillsynsbegäran mail.docx", "A 9313-2026")</f>
        <v/>
      </c>
    </row>
    <row r="178" ht="15" customHeight="1">
      <c r="A178" t="inlineStr">
        <is>
          <t>A 12660-2026</t>
        </is>
      </c>
      <c r="B178" t="inlineStr">
        <is>
          <t>avverkningsanmälan</t>
        </is>
      </c>
      <c r="C178" t="inlineStr">
        <is>
          <t>Föryngringsavverkning</t>
        </is>
      </c>
      <c r="D178" s="1" t="n">
        <v>46091</v>
      </c>
      <c r="E178" s="1" t="n">
        <v>46248</v>
      </c>
      <c r="F178" t="inlineStr">
        <is>
          <t>BLEKINGE LÄN</t>
        </is>
      </c>
      <c r="G178" t="inlineStr">
        <is>
          <t>RONNEBY</t>
        </is>
      </c>
      <c r="I178" t="n">
        <v>3.4</v>
      </c>
      <c r="J178" t="n">
        <v>1</v>
      </c>
      <c r="K178" t="n">
        <v>0</v>
      </c>
      <c r="L178" t="n">
        <v>0</v>
      </c>
      <c r="M178" t="n">
        <v>1</v>
      </c>
      <c r="N178" t="n">
        <v>0</v>
      </c>
      <c r="O178" t="n">
        <v>0</v>
      </c>
      <c r="P178" t="n">
        <v>0</v>
      </c>
      <c r="Q178" t="n">
        <v>1</v>
      </c>
      <c r="R178" t="n">
        <v>1</v>
      </c>
      <c r="S178" t="n">
        <v>1</v>
      </c>
      <c r="T178" t="n">
        <v>1</v>
      </c>
      <c r="U178" t="n">
        <v>0</v>
      </c>
      <c r="V178" s="2" t="inlineStr">
        <is>
          <t>Backsippa</t>
        </is>
      </c>
      <c r="W178">
        <f>HYPERLINK("https://klasma.github.io/Logging_1081/artfynd/A 12660-2026 artfynd.xlsx", "A 12660-2026")</f>
        <v/>
      </c>
      <c r="X178">
        <f>HYPERLINK("https://klasma.github.io/Logging_1081/kartor/A 12660-2026 karta.png", "A 12660-2026")</f>
        <v/>
      </c>
      <c r="Y178">
        <f>HYPERLINK("https://klasma.github.io/Logging_1081/kartor_geotiff/A 12660-2026 georefererad karta.tif", "A 12660-2026")</f>
        <v/>
      </c>
      <c r="AA178">
        <f>HYPERLINK("https://klasma.github.io/Logging_1081/klagomål/A 12660-2026 FSC-klagomål.docx", "A 12660-2026")</f>
        <v/>
      </c>
      <c r="AB178">
        <f>HYPERLINK("https://klasma.github.io/Logging_1081/klagomålsmail/A 12660-2026 FSC-klagomål mail.docx", "A 12660-2026")</f>
        <v/>
      </c>
      <c r="AC178">
        <f>HYPERLINK("https://klasma.github.io/Logging_1081/tillsyn/A 12660-2026 tillsynsbegäran.docx", "A 12660-2026")</f>
        <v/>
      </c>
      <c r="AD178">
        <f>HYPERLINK("https://klasma.github.io/Logging_1081/tillsynsmail/A 12660-2026 tillsynsbegäran mail.docx", "A 12660-2026")</f>
        <v/>
      </c>
    </row>
    <row r="179" ht="15" customHeight="1">
      <c r="A179" t="inlineStr">
        <is>
          <t>A 16465-2026</t>
        </is>
      </c>
      <c r="B179" t="inlineStr">
        <is>
          <t>avverkningsanmälan</t>
        </is>
      </c>
      <c r="C179" t="inlineStr">
        <is>
          <t>Föryngringsavverkning</t>
        </is>
      </c>
      <c r="D179" s="1" t="n">
        <v>46112</v>
      </c>
      <c r="E179" s="1" t="n">
        <v>46248</v>
      </c>
      <c r="F179" t="inlineStr">
        <is>
          <t>BLEKINGE LÄN</t>
        </is>
      </c>
      <c r="G179" t="inlineStr">
        <is>
          <t>KARLSKRONA</t>
        </is>
      </c>
      <c r="I179" t="n">
        <v>1</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HYPERLINK("https://klasma.github.io/Logging_1080/artfynd/A 16465-2026 artfynd.xlsx", "A 16465-2026")</f>
        <v/>
      </c>
      <c r="X179">
        <f>HYPERLINK("https://klasma.github.io/Logging_1080/kartor/A 16465-2026 karta.png", "A 16465-2026")</f>
        <v/>
      </c>
      <c r="Y179">
        <f>HYPERLINK("https://klasma.github.io/Logging_1080/kartor_geotiff/A 16465-2026 georefererad karta.tif", "A 16465-2026")</f>
        <v/>
      </c>
      <c r="AA179">
        <f>HYPERLINK("https://klasma.github.io/Logging_1080/klagomål/A 16465-2026 FSC-klagomål.docx", "A 16465-2026")</f>
        <v/>
      </c>
      <c r="AB179">
        <f>HYPERLINK("https://klasma.github.io/Logging_1080/klagomålsmail/A 16465-2026 FSC-klagomål mail.docx", "A 16465-2026")</f>
        <v/>
      </c>
      <c r="AC179">
        <f>HYPERLINK("https://klasma.github.io/Logging_1080/tillsyn/A 16465-2026 tillsynsbegäran.docx", "A 16465-2026")</f>
        <v/>
      </c>
      <c r="AD179">
        <f>HYPERLINK("https://klasma.github.io/Logging_1080/tillsynsmail/A 16465-2026 tillsynsbegäran mail.docx", "A 16465-2026")</f>
        <v/>
      </c>
    </row>
    <row r="180" ht="15" customHeight="1">
      <c r="A180" t="inlineStr">
        <is>
          <t>A 9378-2026</t>
        </is>
      </c>
      <c r="B180" t="inlineStr">
        <is>
          <t>avverkningsanmälan</t>
        </is>
      </c>
      <c r="C180" t="inlineStr">
        <is>
          <t>Föryngringsavverkning</t>
        </is>
      </c>
      <c r="D180" s="1" t="n">
        <v>46070</v>
      </c>
      <c r="E180" s="1" t="n">
        <v>46248</v>
      </c>
      <c r="F180" t="inlineStr">
        <is>
          <t>BLEKINGE LÄN</t>
        </is>
      </c>
      <c r="G180" t="inlineStr">
        <is>
          <t>KARLSKRONA</t>
        </is>
      </c>
      <c r="I180" t="n">
        <v>3.9</v>
      </c>
      <c r="J180" t="n">
        <v>1</v>
      </c>
      <c r="K180" t="n">
        <v>0</v>
      </c>
      <c r="L180" t="n">
        <v>0</v>
      </c>
      <c r="M180" t="n">
        <v>0</v>
      </c>
      <c r="N180" t="n">
        <v>0</v>
      </c>
      <c r="O180" t="n">
        <v>0</v>
      </c>
      <c r="P180" t="n">
        <v>0</v>
      </c>
      <c r="Q180" t="n">
        <v>0</v>
      </c>
      <c r="R180" t="n">
        <v>0</v>
      </c>
      <c r="S180" t="n">
        <v>1</v>
      </c>
      <c r="T180" t="n">
        <v>1</v>
      </c>
      <c r="U180" t="n">
        <v>0</v>
      </c>
      <c r="V180" s="2" t="inlineStr">
        <is>
          <t>Hårklomossa</t>
        </is>
      </c>
      <c r="W180">
        <f>HYPERLINK("https://klasma.github.io/Logging_1080/artfynd/A 9378-2026 artfynd.xlsx", "A 9378-2026")</f>
        <v/>
      </c>
      <c r="X180">
        <f>HYPERLINK("https://klasma.github.io/Logging_1080/kartor/A 9378-2026 karta.png", "A 9378-2026")</f>
        <v/>
      </c>
      <c r="Y180">
        <f>HYPERLINK("https://klasma.github.io/Logging_1080/kartor_geotiff/A 9378-2026 georefererad karta.tif", "A 9378-2026")</f>
        <v/>
      </c>
      <c r="AA180">
        <f>HYPERLINK("https://klasma.github.io/Logging_1080/klagomål/A 9378-2026 FSC-klagomål.docx", "A 9378-2026")</f>
        <v/>
      </c>
      <c r="AB180">
        <f>HYPERLINK("https://klasma.github.io/Logging_1080/klagomålsmail/A 9378-2026 FSC-klagomål mail.docx", "A 9378-2026")</f>
        <v/>
      </c>
      <c r="AC180">
        <f>HYPERLINK("https://klasma.github.io/Logging_1080/tillsyn/A 9378-2026 tillsynsbegäran.docx", "A 9378-2026")</f>
        <v/>
      </c>
      <c r="AD180">
        <f>HYPERLINK("https://klasma.github.io/Logging_1080/tillsynsmail/A 9378-2026 tillsynsbegäran mail.docx", "A 9378-2026")</f>
        <v/>
      </c>
    </row>
    <row r="181" ht="15" customHeight="1">
      <c r="A181" t="inlineStr">
        <is>
          <t>A 18052-2026</t>
        </is>
      </c>
      <c r="B181" t="inlineStr">
        <is>
          <t>avverkningsanmälan</t>
        </is>
      </c>
      <c r="C181" t="inlineStr">
        <is>
          <t>Avverkning för att bevara och utveckla /försöksver</t>
        </is>
      </c>
      <c r="D181" s="1" t="n">
        <v>46125</v>
      </c>
      <c r="E181" s="1" t="n">
        <v>46248</v>
      </c>
      <c r="F181" t="inlineStr">
        <is>
          <t>BLEKINGE LÄN</t>
        </is>
      </c>
      <c r="G181" t="inlineStr">
        <is>
          <t>KARLSKRONA</t>
        </is>
      </c>
      <c r="I181" t="n">
        <v>4.5</v>
      </c>
      <c r="J181" t="n">
        <v>1</v>
      </c>
      <c r="K181" t="n">
        <v>1</v>
      </c>
      <c r="L181" t="n">
        <v>0</v>
      </c>
      <c r="M181" t="n">
        <v>0</v>
      </c>
      <c r="N181" t="n">
        <v>0</v>
      </c>
      <c r="O181" t="n">
        <v>0</v>
      </c>
      <c r="P181" t="n">
        <v>0</v>
      </c>
      <c r="Q181" t="n">
        <v>0</v>
      </c>
      <c r="R181" t="n">
        <v>0</v>
      </c>
      <c r="S181" t="n">
        <v>1</v>
      </c>
      <c r="T181" t="n">
        <v>1</v>
      </c>
      <c r="U181" t="n">
        <v>0</v>
      </c>
      <c r="V181" s="2" t="inlineStr">
        <is>
          <t>Ekoxe</t>
        </is>
      </c>
      <c r="W181">
        <f>HYPERLINK("https://klasma.github.io/Logging_1080/artfynd/A 18052-2026 artfynd.xlsx", "A 18052-2026")</f>
        <v/>
      </c>
      <c r="X181">
        <f>HYPERLINK("https://klasma.github.io/Logging_1080/kartor/A 18052-2026 karta.png", "A 18052-2026")</f>
        <v/>
      </c>
      <c r="Y181">
        <f>HYPERLINK("https://klasma.github.io/Logging_1080/kartor_geotiff/A 18052-2026 georefererad karta.tif", "A 18052-2026")</f>
        <v/>
      </c>
      <c r="AA181">
        <f>HYPERLINK("https://klasma.github.io/Logging_1080/klagomål/A 18052-2026 FSC-klagomål.docx", "A 18052-2026")</f>
        <v/>
      </c>
      <c r="AB181">
        <f>HYPERLINK("https://klasma.github.io/Logging_1080/klagomålsmail/A 18052-2026 FSC-klagomål mail.docx", "A 18052-2026")</f>
        <v/>
      </c>
      <c r="AC181">
        <f>HYPERLINK("https://klasma.github.io/Logging_1080/tillsyn/A 18052-2026 tillsynsbegäran.docx", "A 18052-2026")</f>
        <v/>
      </c>
      <c r="AD181">
        <f>HYPERLINK("https://klasma.github.io/Logging_1080/tillsynsmail/A 18052-2026 tillsynsbegäran mail.docx", "A 18052-2026")</f>
        <v/>
      </c>
    </row>
    <row r="182" ht="15" customHeight="1">
      <c r="A182" t="inlineStr">
        <is>
          <t>A 19471-2026</t>
        </is>
      </c>
      <c r="B182" t="inlineStr">
        <is>
          <t>avverkningsanmälan</t>
        </is>
      </c>
      <c r="C182" t="inlineStr">
        <is>
          <t>Föryngringsavverkning</t>
        </is>
      </c>
      <c r="D182" s="1" t="n">
        <v>46133</v>
      </c>
      <c r="E182" s="1" t="n">
        <v>46248</v>
      </c>
      <c r="F182" t="inlineStr">
        <is>
          <t>BLEKINGE LÄN</t>
        </is>
      </c>
      <c r="G182" t="inlineStr">
        <is>
          <t>RONNEBY</t>
        </is>
      </c>
      <c r="I182" t="n">
        <v>1.2</v>
      </c>
      <c r="J182" t="n">
        <v>1</v>
      </c>
      <c r="K182" t="n">
        <v>0</v>
      </c>
      <c r="L182" t="n">
        <v>0</v>
      </c>
      <c r="M182" t="n">
        <v>1</v>
      </c>
      <c r="N182" t="n">
        <v>0</v>
      </c>
      <c r="O182" t="n">
        <v>0</v>
      </c>
      <c r="P182" t="n">
        <v>0</v>
      </c>
      <c r="Q182" t="n">
        <v>1</v>
      </c>
      <c r="R182" t="n">
        <v>1</v>
      </c>
      <c r="S182" t="n">
        <v>1</v>
      </c>
      <c r="T182" t="n">
        <v>1</v>
      </c>
      <c r="U182" t="n">
        <v>0</v>
      </c>
      <c r="V182" s="2" t="inlineStr">
        <is>
          <t>Backsippa</t>
        </is>
      </c>
      <c r="W182">
        <f>HYPERLINK("https://klasma.github.io/Logging_1081/artfynd/A 19471-2026 artfynd.xlsx", "A 19471-2026")</f>
        <v/>
      </c>
      <c r="X182">
        <f>HYPERLINK("https://klasma.github.io/Logging_1081/kartor/A 19471-2026 karta.png", "A 19471-2026")</f>
        <v/>
      </c>
      <c r="Y182">
        <f>HYPERLINK("https://klasma.github.io/Logging_1081/kartor_geotiff/A 19471-2026 georefererad karta.tif", "A 19471-2026")</f>
        <v/>
      </c>
      <c r="AA182">
        <f>HYPERLINK("https://klasma.github.io/Logging_1081/klagomål/A 19471-2026 FSC-klagomål.docx", "A 19471-2026")</f>
        <v/>
      </c>
      <c r="AB182">
        <f>HYPERLINK("https://klasma.github.io/Logging_1081/klagomålsmail/A 19471-2026 FSC-klagomål mail.docx", "A 19471-2026")</f>
        <v/>
      </c>
      <c r="AC182">
        <f>HYPERLINK("https://klasma.github.io/Logging_1081/tillsyn/A 19471-2026 tillsynsbegäran.docx", "A 19471-2026")</f>
        <v/>
      </c>
      <c r="AD182">
        <f>HYPERLINK("https://klasma.github.io/Logging_1081/tillsynsmail/A 19471-2026 tillsynsbegäran mail.docx", "A 19471-2026")</f>
        <v/>
      </c>
    </row>
    <row r="183" ht="15" customHeight="1">
      <c r="A183" t="inlineStr">
        <is>
          <t>A 44576-2025</t>
        </is>
      </c>
      <c r="B183" t="inlineStr">
        <is>
          <t>avverkningsanmälan</t>
        </is>
      </c>
      <c r="C183" t="inlineStr">
        <is>
          <t>Föryngringsavverkning</t>
        </is>
      </c>
      <c r="D183" s="1" t="n">
        <v>45917</v>
      </c>
      <c r="E183" s="1" t="n">
        <v>46248</v>
      </c>
      <c r="F183" t="inlineStr">
        <is>
          <t>BLEKINGE LÄN</t>
        </is>
      </c>
      <c r="G183" t="inlineStr">
        <is>
          <t>KARLSKRONA</t>
        </is>
      </c>
      <c r="I183" t="n">
        <v>2.4</v>
      </c>
      <c r="J183" t="n">
        <v>1</v>
      </c>
      <c r="K183" t="n">
        <v>1</v>
      </c>
      <c r="L183" t="n">
        <v>0</v>
      </c>
      <c r="M183" t="n">
        <v>0</v>
      </c>
      <c r="N183" t="n">
        <v>0</v>
      </c>
      <c r="O183" t="n">
        <v>0</v>
      </c>
      <c r="P183" t="n">
        <v>0</v>
      </c>
      <c r="Q183" t="n">
        <v>0</v>
      </c>
      <c r="R183" t="n">
        <v>0</v>
      </c>
      <c r="S183" t="n">
        <v>1</v>
      </c>
      <c r="T183" t="n">
        <v>1</v>
      </c>
      <c r="U183" t="n">
        <v>0</v>
      </c>
      <c r="V183" s="2" t="inlineStr">
        <is>
          <t>Ekoxe</t>
        </is>
      </c>
      <c r="W183">
        <f>HYPERLINK("https://klasma.github.io/Logging_1080/artfynd/A 44576-2025 artfynd.xlsx", "A 44576-2025")</f>
        <v/>
      </c>
      <c r="X183">
        <f>HYPERLINK("https://klasma.github.io/Logging_1080/kartor/A 44576-2025 karta.png", "A 44576-2025")</f>
        <v/>
      </c>
      <c r="Y183">
        <f>HYPERLINK("https://klasma.github.io/Logging_1080/kartor_geotiff/A 44576-2025 georefererad karta.tif", "A 44576-2025")</f>
        <v/>
      </c>
      <c r="AA183">
        <f>HYPERLINK("https://klasma.github.io/Logging_1080/klagomål/A 44576-2025 FSC-klagomål.docx", "A 44576-2025")</f>
        <v/>
      </c>
      <c r="AB183">
        <f>HYPERLINK("https://klasma.github.io/Logging_1080/klagomålsmail/A 44576-2025 FSC-klagomål mail.docx", "A 44576-2025")</f>
        <v/>
      </c>
      <c r="AC183">
        <f>HYPERLINK("https://klasma.github.io/Logging_1080/tillsyn/A 44576-2025 tillsynsbegäran.docx", "A 44576-2025")</f>
        <v/>
      </c>
      <c r="AD183">
        <f>HYPERLINK("https://klasma.github.io/Logging_1080/tillsynsmail/A 44576-2025 tillsynsbegäran mail.docx", "A 44576-2025")</f>
        <v/>
      </c>
    </row>
    <row r="184" ht="15" customHeight="1">
      <c r="A184" t="inlineStr">
        <is>
          <t>S 365-2023</t>
        </is>
      </c>
      <c r="B184" t="inlineStr">
        <is>
          <t>samrådsanmälan</t>
        </is>
      </c>
      <c r="C184" t="inlineStr">
        <is>
          <t>Askåterföring</t>
        </is>
      </c>
      <c r="D184" s="1" t="n">
        <v>44959</v>
      </c>
      <c r="E184" s="1" t="n">
        <v>46248</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46248</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46248</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46248</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46248</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46248</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46248</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46248</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46248</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46248</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46248</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46248</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46248</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46248</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1754-2022</t>
        </is>
      </c>
      <c r="B198" t="inlineStr">
        <is>
          <t>avverkningsanmälan</t>
        </is>
      </c>
      <c r="C198" t="inlineStr">
        <is>
          <t>Föryngringsavverkning</t>
        </is>
      </c>
      <c r="D198" s="1" t="n">
        <v>44574</v>
      </c>
      <c r="E198" s="1" t="n">
        <v>46248</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46248</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46248</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46248</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24430-2022</t>
        </is>
      </c>
      <c r="B202" t="inlineStr">
        <is>
          <t>avverkningsanmälan</t>
        </is>
      </c>
      <c r="C202" t="inlineStr">
        <is>
          <t>Föryngringsavverkning</t>
        </is>
      </c>
      <c r="D202" s="1" t="n">
        <v>44726</v>
      </c>
      <c r="E202" s="1" t="n">
        <v>46248</v>
      </c>
      <c r="F202" t="inlineStr">
        <is>
          <t>BLEKINGE LÄN</t>
        </is>
      </c>
      <c r="G202" t="inlineStr">
        <is>
          <t>OLOFSTRÖM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41154-2022</t>
        </is>
      </c>
      <c r="B203" t="inlineStr">
        <is>
          <t>avverkningsanmälan</t>
        </is>
      </c>
      <c r="C203" t="inlineStr">
        <is>
          <t>Föryngringsavverkning</t>
        </is>
      </c>
      <c r="D203" s="1" t="n">
        <v>44825</v>
      </c>
      <c r="E203" s="1" t="n">
        <v>46248</v>
      </c>
      <c r="F203" t="inlineStr">
        <is>
          <t>BLEKINGE LÄN</t>
        </is>
      </c>
      <c r="G203" t="inlineStr">
        <is>
          <t>RONNEBY</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8320-2022</t>
        </is>
      </c>
      <c r="B204" t="inlineStr">
        <is>
          <t>avverkningsanmälan</t>
        </is>
      </c>
      <c r="C204" t="inlineStr">
        <is>
          <t>Föryngringsavverkning</t>
        </is>
      </c>
      <c r="D204" s="1" t="n">
        <v>44610</v>
      </c>
      <c r="E204" s="1" t="n">
        <v>46248</v>
      </c>
      <c r="F204" t="inlineStr">
        <is>
          <t>BLEKINGE LÄN</t>
        </is>
      </c>
      <c r="G204" t="inlineStr">
        <is>
          <t>OLOFSTRÖM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43353-2021</t>
        </is>
      </c>
      <c r="B205" t="inlineStr">
        <is>
          <t>avverkningsanmälan</t>
        </is>
      </c>
      <c r="C205" t="inlineStr">
        <is>
          <t>Föryngringsavverkning</t>
        </is>
      </c>
      <c r="D205" s="1" t="n">
        <v>44432</v>
      </c>
      <c r="E205" s="1" t="n">
        <v>46248</v>
      </c>
      <c r="F205" t="inlineStr">
        <is>
          <t>BLEKINGE LÄN</t>
        </is>
      </c>
      <c r="G205" t="inlineStr">
        <is>
          <t>KARLSKRONA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51351-2022</t>
        </is>
      </c>
      <c r="B206" t="inlineStr">
        <is>
          <t>avverkningsanmälan</t>
        </is>
      </c>
      <c r="C206" t="inlineStr">
        <is>
          <t>Föryngringsavverkning</t>
        </is>
      </c>
      <c r="D206" s="1" t="n">
        <v>44869</v>
      </c>
      <c r="E206" s="1" t="n">
        <v>46248</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46248</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23902-2022</t>
        </is>
      </c>
      <c r="B208" t="inlineStr">
        <is>
          <t>avverkningsanmälan</t>
        </is>
      </c>
      <c r="C208" t="inlineStr">
        <is>
          <t>Föryngringsavverkning</t>
        </is>
      </c>
      <c r="D208" s="1" t="n">
        <v>44722</v>
      </c>
      <c r="E208" s="1" t="n">
        <v>46248</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46248</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46248</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46248</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46248</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62420-2021</t>
        </is>
      </c>
      <c r="B213" t="inlineStr">
        <is>
          <t>avverkningsanmälan</t>
        </is>
      </c>
      <c r="C213" t="inlineStr">
        <is>
          <t>Föryngringsavverkning</t>
        </is>
      </c>
      <c r="D213" s="1" t="n">
        <v>44503</v>
      </c>
      <c r="E213" s="1" t="n">
        <v>46248</v>
      </c>
      <c r="F213" t="inlineStr">
        <is>
          <t>BLEKINGE LÄN</t>
        </is>
      </c>
      <c r="G213" t="inlineStr">
        <is>
          <t>OLOFSTRÖM</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46248</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46248</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46248</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46248</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46248</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46248</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46248</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49149-2022</t>
        </is>
      </c>
      <c r="B221" t="inlineStr">
        <is>
          <t>avverkningsanmälan</t>
        </is>
      </c>
      <c r="C221" t="inlineStr">
        <is>
          <t>Föryngringsavverkning</t>
        </is>
      </c>
      <c r="D221" s="1" t="n">
        <v>44860</v>
      </c>
      <c r="E221" s="1" t="n">
        <v>46248</v>
      </c>
      <c r="F221" t="inlineStr">
        <is>
          <t>BLEKINGE LÄN</t>
        </is>
      </c>
      <c r="G221" t="inlineStr">
        <is>
          <t>RONNEBY</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46248</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53837-2022</t>
        </is>
      </c>
      <c r="B223" t="inlineStr">
        <is>
          <t>avverkningsanmälan</t>
        </is>
      </c>
      <c r="C223" t="inlineStr">
        <is>
          <t>Föryngringsavverkning</t>
        </is>
      </c>
      <c r="D223" s="1" t="n">
        <v>44880</v>
      </c>
      <c r="E223" s="1" t="n">
        <v>46248</v>
      </c>
      <c r="F223" t="inlineStr">
        <is>
          <t>BLEKINGE LÄN</t>
        </is>
      </c>
      <c r="G223" t="inlineStr">
        <is>
          <t>RONNEBY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55697-2021</t>
        </is>
      </c>
      <c r="B224" t="inlineStr">
        <is>
          <t>avverkningsanmälan</t>
        </is>
      </c>
      <c r="C224" t="inlineStr">
        <is>
          <t>Föryngringsavverkning</t>
        </is>
      </c>
      <c r="D224" s="1" t="n">
        <v>44476</v>
      </c>
      <c r="E224" s="1" t="n">
        <v>46248</v>
      </c>
      <c r="F224" t="inlineStr">
        <is>
          <t>BLEKINGE LÄN</t>
        </is>
      </c>
      <c r="G224" t="inlineStr">
        <is>
          <t>KARLSHAMN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46248</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46248</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46248</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46248</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46248</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46248</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46248</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48626-2021</t>
        </is>
      </c>
      <c r="B232" t="inlineStr">
        <is>
          <t>avverkningsanmälan</t>
        </is>
      </c>
      <c r="C232" t="inlineStr">
        <is>
          <t>Föryngringsavverkning</t>
        </is>
      </c>
      <c r="D232" s="1" t="n">
        <v>44452</v>
      </c>
      <c r="E232" s="1" t="n">
        <v>46248</v>
      </c>
      <c r="F232" t="inlineStr">
        <is>
          <t>BLEKINGE LÄN</t>
        </is>
      </c>
      <c r="G232" t="inlineStr">
        <is>
          <t>OLOFSTRÖM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50260-2021</t>
        </is>
      </c>
      <c r="B233" t="inlineStr">
        <is>
          <t>avverkningsanmälan</t>
        </is>
      </c>
      <c r="C233" t="inlineStr">
        <is>
          <t>Föryngringsavverkning</t>
        </is>
      </c>
      <c r="D233" s="1" t="n">
        <v>44458</v>
      </c>
      <c r="E233" s="1" t="n">
        <v>46248</v>
      </c>
      <c r="F233" t="inlineStr">
        <is>
          <t>BLEKINGE LÄN</t>
        </is>
      </c>
      <c r="G233" t="inlineStr">
        <is>
          <t>KARLSKRONA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62713-2021</t>
        </is>
      </c>
      <c r="B234" t="inlineStr">
        <is>
          <t>avverkningsanmälan</t>
        </is>
      </c>
      <c r="C234" t="inlineStr">
        <is>
          <t>Föryngringsavverkning</t>
        </is>
      </c>
      <c r="D234" s="1" t="n">
        <v>44504</v>
      </c>
      <c r="E234" s="1" t="n">
        <v>46248</v>
      </c>
      <c r="F234" t="inlineStr">
        <is>
          <t>BLEKINGE LÄN</t>
        </is>
      </c>
      <c r="G234" t="inlineStr">
        <is>
          <t>RONNEBY</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64169-2021</t>
        </is>
      </c>
      <c r="B235" t="inlineStr">
        <is>
          <t>avverkningsanmälan</t>
        </is>
      </c>
      <c r="C235" t="inlineStr">
        <is>
          <t>Föryngringsavverkning</t>
        </is>
      </c>
      <c r="D235" s="1" t="n">
        <v>44510</v>
      </c>
      <c r="E235" s="1" t="n">
        <v>46248</v>
      </c>
      <c r="F235" t="inlineStr">
        <is>
          <t>BLEKINGE LÄN</t>
        </is>
      </c>
      <c r="G235" t="inlineStr">
        <is>
          <t>RONNEBY</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46248</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58607-2021</t>
        </is>
      </c>
      <c r="B237" t="inlineStr">
        <is>
          <t>avverkningsanmälan</t>
        </is>
      </c>
      <c r="C237" t="inlineStr">
        <is>
          <t>Avverkning för annat ändamål</t>
        </is>
      </c>
      <c r="D237" s="1" t="n">
        <v>44488</v>
      </c>
      <c r="E237" s="1" t="n">
        <v>46248</v>
      </c>
      <c r="F237" t="inlineStr">
        <is>
          <t>BLEKINGE LÄN</t>
        </is>
      </c>
      <c r="G237" t="inlineStr">
        <is>
          <t>SÖLVESBORG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46248</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67972-2021</t>
        </is>
      </c>
      <c r="B239" t="inlineStr">
        <is>
          <t>avverkningsanmälan</t>
        </is>
      </c>
      <c r="C239" t="inlineStr">
        <is>
          <t>Föryngringsavverkning</t>
        </is>
      </c>
      <c r="D239" s="1" t="n">
        <v>44525</v>
      </c>
      <c r="E239" s="1" t="n">
        <v>46248</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46248</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46248</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48516-2021</t>
        </is>
      </c>
      <c r="B242" t="inlineStr">
        <is>
          <t>avverkningsanmälan</t>
        </is>
      </c>
      <c r="C242" t="inlineStr">
        <is>
          <t>Föryngringsavverkning</t>
        </is>
      </c>
      <c r="D242" s="1" t="n">
        <v>44451</v>
      </c>
      <c r="E242" s="1" t="n">
        <v>46248</v>
      </c>
      <c r="F242" t="inlineStr">
        <is>
          <t>BLEKINGE LÄN</t>
        </is>
      </c>
      <c r="G242" t="inlineStr">
        <is>
          <t>RONNEBY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46248</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47971-2021</t>
        </is>
      </c>
      <c r="B244" t="inlineStr">
        <is>
          <t>avverkningsanmälan</t>
        </is>
      </c>
      <c r="C244" t="inlineStr">
        <is>
          <t>Föryngringsavverkning</t>
        </is>
      </c>
      <c r="D244" s="1" t="n">
        <v>44449</v>
      </c>
      <c r="E244" s="1" t="n">
        <v>46248</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41588-2022</t>
        </is>
      </c>
      <c r="B245" t="inlineStr">
        <is>
          <t>avverkningsanmälan</t>
        </is>
      </c>
      <c r="C245" t="inlineStr">
        <is>
          <t>Föryngringsavverkning</t>
        </is>
      </c>
      <c r="D245" s="1" t="n">
        <v>44827</v>
      </c>
      <c r="E245" s="1" t="n">
        <v>46248</v>
      </c>
      <c r="F245" t="inlineStr">
        <is>
          <t>BLEKINGE LÄN</t>
        </is>
      </c>
      <c r="G245" t="inlineStr">
        <is>
          <t>RONNEBY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9-2022</t>
        </is>
      </c>
      <c r="B246" t="inlineStr">
        <is>
          <t>avverkningsanmälan</t>
        </is>
      </c>
      <c r="C246" t="inlineStr">
        <is>
          <t>Föryngringsavverkning</t>
        </is>
      </c>
      <c r="D246" s="1" t="n">
        <v>44563</v>
      </c>
      <c r="E246" s="1" t="n">
        <v>46248</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54151-2021</t>
        </is>
      </c>
      <c r="B247" t="inlineStr">
        <is>
          <t>avverkningsanmälan</t>
        </is>
      </c>
      <c r="C247" t="inlineStr">
        <is>
          <t>Föryngringsavverkning</t>
        </is>
      </c>
      <c r="D247" s="1" t="n">
        <v>44470</v>
      </c>
      <c r="E247" s="1" t="n">
        <v>46248</v>
      </c>
      <c r="F247" t="inlineStr">
        <is>
          <t>BLEKINGE LÄN</t>
        </is>
      </c>
      <c r="G247" t="inlineStr">
        <is>
          <t>KARLSHAMN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64109-2021</t>
        </is>
      </c>
      <c r="B248" t="inlineStr">
        <is>
          <t>avverkningsanmälan</t>
        </is>
      </c>
      <c r="C248" t="inlineStr">
        <is>
          <t>Föryngringsavverkning</t>
        </is>
      </c>
      <c r="D248" s="1" t="n">
        <v>44509</v>
      </c>
      <c r="E248" s="1" t="n">
        <v>46248</v>
      </c>
      <c r="F248" t="inlineStr">
        <is>
          <t>BLEKINGE LÄN</t>
        </is>
      </c>
      <c r="G248" t="inlineStr">
        <is>
          <t>KARLSHAMN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46248</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46248</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46248</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46248</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46248</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46248</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46248</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46248</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46248</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46248</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46248</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46248</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46248</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46248</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46248</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46248</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27409-2022</t>
        </is>
      </c>
      <c r="B265" t="inlineStr">
        <is>
          <t>avverkningsanmälan</t>
        </is>
      </c>
      <c r="C265" t="inlineStr">
        <is>
          <t>Föryngringsavverkning</t>
        </is>
      </c>
      <c r="D265" s="1" t="n">
        <v>44742</v>
      </c>
      <c r="E265" s="1" t="n">
        <v>46248</v>
      </c>
      <c r="F265" t="inlineStr">
        <is>
          <t>BLEKINGE LÄN</t>
        </is>
      </c>
      <c r="G265" t="inlineStr">
        <is>
          <t>KARLSHAMN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67266-2021</t>
        </is>
      </c>
      <c r="B266" t="inlineStr">
        <is>
          <t>avverkningsanmälan</t>
        </is>
      </c>
      <c r="C266" t="inlineStr">
        <is>
          <t>Föryngringsavverkning</t>
        </is>
      </c>
      <c r="D266" s="1" t="n">
        <v>44523</v>
      </c>
      <c r="E266" s="1" t="n">
        <v>46248</v>
      </c>
      <c r="F266" t="inlineStr">
        <is>
          <t>BLEKINGE LÄN</t>
        </is>
      </c>
      <c r="G266" t="inlineStr">
        <is>
          <t>KARLSHAMN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27489-2022</t>
        </is>
      </c>
      <c r="B267" t="inlineStr">
        <is>
          <t>avverkningsanmälan</t>
        </is>
      </c>
      <c r="C267" t="inlineStr">
        <is>
          <t>Föryngringsavverkning</t>
        </is>
      </c>
      <c r="D267" s="1" t="n">
        <v>44742</v>
      </c>
      <c r="E267" s="1" t="n">
        <v>46248</v>
      </c>
      <c r="F267" t="inlineStr">
        <is>
          <t>BLEKINGE LÄN</t>
        </is>
      </c>
      <c r="G267" t="inlineStr">
        <is>
          <t>KARLSKRONA</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54973-2021</t>
        </is>
      </c>
      <c r="B268" t="inlineStr">
        <is>
          <t>avverkningsanmälan</t>
        </is>
      </c>
      <c r="C268" t="inlineStr">
        <is>
          <t>Föryngringsavverkning</t>
        </is>
      </c>
      <c r="D268" s="1" t="n">
        <v>44474</v>
      </c>
      <c r="E268" s="1" t="n">
        <v>46248</v>
      </c>
      <c r="F268" t="inlineStr">
        <is>
          <t>BLEKINGE LÄN</t>
        </is>
      </c>
      <c r="G268" t="inlineStr">
        <is>
          <t>RONNEBY</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48782-2021</t>
        </is>
      </c>
      <c r="B269" t="inlineStr">
        <is>
          <t>avverkningsanmälan</t>
        </is>
      </c>
      <c r="C269" t="inlineStr">
        <is>
          <t>Föryngringsavverkning</t>
        </is>
      </c>
      <c r="D269" s="1" t="n">
        <v>44452</v>
      </c>
      <c r="E269" s="1" t="n">
        <v>46248</v>
      </c>
      <c r="F269" t="inlineStr">
        <is>
          <t>BLEKINGE LÄN</t>
        </is>
      </c>
      <c r="G269" t="inlineStr">
        <is>
          <t>KARLSKRONA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13742-2022</t>
        </is>
      </c>
      <c r="B270" t="inlineStr">
        <is>
          <t>avverkningsanmälan</t>
        </is>
      </c>
      <c r="C270" t="inlineStr">
        <is>
          <t>Föryngringsavverkning</t>
        </is>
      </c>
      <c r="D270" s="1" t="n">
        <v>44649</v>
      </c>
      <c r="E270" s="1" t="n">
        <v>46248</v>
      </c>
      <c r="F270" t="inlineStr">
        <is>
          <t>BLEKINGE LÄN</t>
        </is>
      </c>
      <c r="G270" t="inlineStr">
        <is>
          <t>OLOFSTRÖM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13747-2022</t>
        </is>
      </c>
      <c r="B271" t="inlineStr">
        <is>
          <t>avverkningsanmälan</t>
        </is>
      </c>
      <c r="C271" t="inlineStr">
        <is>
          <t>Föryngringsavverkning</t>
        </is>
      </c>
      <c r="D271" s="1" t="n">
        <v>44649</v>
      </c>
      <c r="E271" s="1" t="n">
        <v>46248</v>
      </c>
      <c r="F271" t="inlineStr">
        <is>
          <t>BLEKINGE LÄN</t>
        </is>
      </c>
      <c r="G271" t="inlineStr">
        <is>
          <t>OLOFSTRÖM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11173-2022</t>
        </is>
      </c>
      <c r="B272" t="inlineStr">
        <is>
          <t>avverkningsanmälan</t>
        </is>
      </c>
      <c r="C272" t="inlineStr">
        <is>
          <t>Föryngringsavverkning</t>
        </is>
      </c>
      <c r="D272" s="1" t="n">
        <v>44629</v>
      </c>
      <c r="E272" s="1" t="n">
        <v>46248</v>
      </c>
      <c r="F272" t="inlineStr">
        <is>
          <t>BLEKINGE LÄN</t>
        </is>
      </c>
      <c r="G272" t="inlineStr">
        <is>
          <t>KARLSKRONA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50974-2021</t>
        </is>
      </c>
      <c r="B273" t="inlineStr">
        <is>
          <t>avverkningsanmälan</t>
        </is>
      </c>
      <c r="C273" t="inlineStr">
        <is>
          <t>Föryngringsavverkning</t>
        </is>
      </c>
      <c r="D273" s="1" t="n">
        <v>44460</v>
      </c>
      <c r="E273" s="1" t="n">
        <v>46248</v>
      </c>
      <c r="F273" t="inlineStr">
        <is>
          <t>BLEKINGE LÄN</t>
        </is>
      </c>
      <c r="G273" t="inlineStr">
        <is>
          <t>KARLSKRONA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47249-2021</t>
        </is>
      </c>
      <c r="B274" t="inlineStr">
        <is>
          <t>avverkningsanmälan</t>
        </is>
      </c>
      <c r="C274" t="inlineStr">
        <is>
          <t>Föryngringsavverkning</t>
        </is>
      </c>
      <c r="D274" s="1" t="n">
        <v>44447</v>
      </c>
      <c r="E274" s="1" t="n">
        <v>46248</v>
      </c>
      <c r="F274" t="inlineStr">
        <is>
          <t>BLEKINGE LÄN</t>
        </is>
      </c>
      <c r="G274" t="inlineStr">
        <is>
          <t>RONNEBY</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45197-2021</t>
        </is>
      </c>
      <c r="B275" t="inlineStr">
        <is>
          <t>avverkningsanmälan</t>
        </is>
      </c>
      <c r="C275" t="inlineStr">
        <is>
          <t>Föryngringsavverkning</t>
        </is>
      </c>
      <c r="D275" s="1" t="n">
        <v>44439</v>
      </c>
      <c r="E275" s="1" t="n">
        <v>46248</v>
      </c>
      <c r="F275" t="inlineStr">
        <is>
          <t>BLEKINGE LÄN</t>
        </is>
      </c>
      <c r="G275" t="inlineStr">
        <is>
          <t>KARLSHAMN</t>
        </is>
      </c>
      <c r="H275" t="inlineStr">
        <is>
          <t>Kommuner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57730-2021</t>
        </is>
      </c>
      <c r="B276" t="inlineStr">
        <is>
          <t>avverkningsanmälan</t>
        </is>
      </c>
      <c r="C276" t="inlineStr">
        <is>
          <t>Föryngringsavverkning</t>
        </is>
      </c>
      <c r="D276" s="1" t="n">
        <v>44484</v>
      </c>
      <c r="E276" s="1" t="n">
        <v>46248</v>
      </c>
      <c r="F276" t="inlineStr">
        <is>
          <t>BLEKINGE LÄN</t>
        </is>
      </c>
      <c r="G276" t="inlineStr">
        <is>
          <t>KARLSKRONA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45996-2021</t>
        </is>
      </c>
      <c r="B277" t="inlineStr">
        <is>
          <t>avverkningsanmälan</t>
        </is>
      </c>
      <c r="C277" t="inlineStr">
        <is>
          <t>Föryngringsavverkning</t>
        </is>
      </c>
      <c r="D277" s="1" t="n">
        <v>44441</v>
      </c>
      <c r="E277" s="1" t="n">
        <v>46248</v>
      </c>
      <c r="F277" t="inlineStr">
        <is>
          <t>BLEKINGE LÄN</t>
        </is>
      </c>
      <c r="G277" t="inlineStr">
        <is>
          <t>KARLSKRONA</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53270-2021</t>
        </is>
      </c>
      <c r="B278" t="inlineStr">
        <is>
          <t>avverkningsanmälan</t>
        </is>
      </c>
      <c r="C278" t="inlineStr">
        <is>
          <t>Föryngringsavverkning</t>
        </is>
      </c>
      <c r="D278" s="1" t="n">
        <v>44468</v>
      </c>
      <c r="E278" s="1" t="n">
        <v>46248</v>
      </c>
      <c r="F278" t="inlineStr">
        <is>
          <t>BLEKINGE LÄN</t>
        </is>
      </c>
      <c r="G278" t="inlineStr">
        <is>
          <t>RONNEBY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23142-2022</t>
        </is>
      </c>
      <c r="B279" t="inlineStr">
        <is>
          <t>avverkningsanmälan</t>
        </is>
      </c>
      <c r="C279" t="inlineStr">
        <is>
          <t>Föryngringsavverkning</t>
        </is>
      </c>
      <c r="D279" s="1" t="n">
        <v>44719</v>
      </c>
      <c r="E279" s="1" t="n">
        <v>46248</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31662-2022</t>
        </is>
      </c>
      <c r="B280" t="inlineStr">
        <is>
          <t>avverkningsanmälan</t>
        </is>
      </c>
      <c r="C280" t="inlineStr">
        <is>
          <t>Föryngringsavverkning</t>
        </is>
      </c>
      <c r="D280" s="1" t="n">
        <v>44776</v>
      </c>
      <c r="E280" s="1" t="n">
        <v>46248</v>
      </c>
      <c r="F280" t="inlineStr">
        <is>
          <t>BLEKINGE LÄN</t>
        </is>
      </c>
      <c r="G280" t="inlineStr">
        <is>
          <t>KARLSHAMN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31666-2022</t>
        </is>
      </c>
      <c r="B281" t="inlineStr">
        <is>
          <t>avverkningsanmälan</t>
        </is>
      </c>
      <c r="C281" t="inlineStr">
        <is>
          <t>Föryngringsavverkning</t>
        </is>
      </c>
      <c r="D281" s="1" t="n">
        <v>44776</v>
      </c>
      <c r="E281" s="1" t="n">
        <v>46248</v>
      </c>
      <c r="F281" t="inlineStr">
        <is>
          <t>BLEKINGE LÄN</t>
        </is>
      </c>
      <c r="G281" t="inlineStr">
        <is>
          <t>KARLSHAMN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4064-2022</t>
        </is>
      </c>
      <c r="B282" t="inlineStr">
        <is>
          <t>avverkningsanmälan</t>
        </is>
      </c>
      <c r="C282" t="inlineStr">
        <is>
          <t>Föryngringsavverkning</t>
        </is>
      </c>
      <c r="D282" s="1" t="n">
        <v>44588</v>
      </c>
      <c r="E282" s="1" t="n">
        <v>46248</v>
      </c>
      <c r="F282" t="inlineStr">
        <is>
          <t>BLEKINGE LÄN</t>
        </is>
      </c>
      <c r="G282" t="inlineStr">
        <is>
          <t>KARLSKRONA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62510-2021</t>
        </is>
      </c>
      <c r="B283" t="inlineStr">
        <is>
          <t>avverkningsanmälan</t>
        </is>
      </c>
      <c r="C283" t="inlineStr">
        <is>
          <t>Föryngringsavverkning</t>
        </is>
      </c>
      <c r="D283" s="1" t="n">
        <v>44503</v>
      </c>
      <c r="E283" s="1" t="n">
        <v>46248</v>
      </c>
      <c r="F283" t="inlineStr">
        <is>
          <t>BLEKINGE LÄN</t>
        </is>
      </c>
      <c r="G283" t="inlineStr">
        <is>
          <t>KARLSKRONA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51862-2021</t>
        </is>
      </c>
      <c r="B284" t="inlineStr">
        <is>
          <t>avverkningsanmälan</t>
        </is>
      </c>
      <c r="C284" t="inlineStr">
        <is>
          <t>Föryngringsavverkning</t>
        </is>
      </c>
      <c r="D284" s="1" t="n">
        <v>44462</v>
      </c>
      <c r="E284" s="1" t="n">
        <v>46248</v>
      </c>
      <c r="F284" t="inlineStr">
        <is>
          <t>BLEKINGE LÄN</t>
        </is>
      </c>
      <c r="G284" t="inlineStr">
        <is>
          <t>KARLSKRONA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43065-2021</t>
        </is>
      </c>
      <c r="B285" t="inlineStr">
        <is>
          <t>avverkningsanmälan</t>
        </is>
      </c>
      <c r="C285" t="inlineStr">
        <is>
          <t>Föryngringsavverkning</t>
        </is>
      </c>
      <c r="D285" s="1" t="n">
        <v>44431</v>
      </c>
      <c r="E285" s="1" t="n">
        <v>46248</v>
      </c>
      <c r="F285" t="inlineStr">
        <is>
          <t>BLEKINGE LÄN</t>
        </is>
      </c>
      <c r="G285" t="inlineStr">
        <is>
          <t>OLOFSTRÖM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58837-2021</t>
        </is>
      </c>
      <c r="B286" t="inlineStr">
        <is>
          <t>avverkningsanmälan</t>
        </is>
      </c>
      <c r="C286" t="inlineStr">
        <is>
          <t>Föryngringsavverkning</t>
        </is>
      </c>
      <c r="D286" s="1" t="n">
        <v>44489</v>
      </c>
      <c r="E286" s="1" t="n">
        <v>46248</v>
      </c>
      <c r="F286" t="inlineStr">
        <is>
          <t>BLEKINGE LÄN</t>
        </is>
      </c>
      <c r="G286" t="inlineStr">
        <is>
          <t>KARLSHAMN</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65691-2021</t>
        </is>
      </c>
      <c r="B287" t="inlineStr">
        <is>
          <t>avverkningsanmälan</t>
        </is>
      </c>
      <c r="C287" t="inlineStr">
        <is>
          <t>Föryngringsavverkning</t>
        </is>
      </c>
      <c r="D287" s="1" t="n">
        <v>44516</v>
      </c>
      <c r="E287" s="1" t="n">
        <v>46248</v>
      </c>
      <c r="F287" t="inlineStr">
        <is>
          <t>BLEKINGE LÄN</t>
        </is>
      </c>
      <c r="G287" t="inlineStr">
        <is>
          <t>OLOFSTRÖM</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49692-2021</t>
        </is>
      </c>
      <c r="B288" t="inlineStr">
        <is>
          <t>avverkningsanmälan</t>
        </is>
      </c>
      <c r="C288" t="inlineStr">
        <is>
          <t>Föryngringsavverkning</t>
        </is>
      </c>
      <c r="D288" s="1" t="n">
        <v>44455</v>
      </c>
      <c r="E288" s="1" t="n">
        <v>46248</v>
      </c>
      <c r="F288" t="inlineStr">
        <is>
          <t>BLEKINGE LÄN</t>
        </is>
      </c>
      <c r="G288" t="inlineStr">
        <is>
          <t>RONNEBY</t>
        </is>
      </c>
      <c r="H288" t="inlineStr">
        <is>
          <t>Kommuner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55903-2021</t>
        </is>
      </c>
      <c r="B289" t="inlineStr">
        <is>
          <t>avverkningsanmälan</t>
        </is>
      </c>
      <c r="C289" t="inlineStr">
        <is>
          <t>Föryngringsavverkning</t>
        </is>
      </c>
      <c r="D289" s="1" t="n">
        <v>44476</v>
      </c>
      <c r="E289" s="1" t="n">
        <v>46248</v>
      </c>
      <c r="F289" t="inlineStr">
        <is>
          <t>BLEKINGE LÄN</t>
        </is>
      </c>
      <c r="G289" t="inlineStr">
        <is>
          <t>KARLSKRONA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47495-2021</t>
        </is>
      </c>
      <c r="B290" t="inlineStr">
        <is>
          <t>avverkningsanmälan</t>
        </is>
      </c>
      <c r="C290" t="inlineStr">
        <is>
          <t>Föryngringsavverkning</t>
        </is>
      </c>
      <c r="D290" s="1" t="n">
        <v>44447</v>
      </c>
      <c r="E290" s="1" t="n">
        <v>46248</v>
      </c>
      <c r="F290" t="inlineStr">
        <is>
          <t>BLEKINGE LÄN</t>
        </is>
      </c>
      <c r="G290" t="inlineStr">
        <is>
          <t>KARLSKRONA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74176-2021</t>
        </is>
      </c>
      <c r="B291" t="inlineStr">
        <is>
          <t>avverkningsanmälan</t>
        </is>
      </c>
      <c r="C291" t="inlineStr">
        <is>
          <t>Föryngringsavverkning</t>
        </is>
      </c>
      <c r="D291" s="1" t="n">
        <v>44558</v>
      </c>
      <c r="E291" s="1" t="n">
        <v>46248</v>
      </c>
      <c r="F291" t="inlineStr">
        <is>
          <t>BLEKINGE LÄN</t>
        </is>
      </c>
      <c r="G291" t="inlineStr">
        <is>
          <t>OLOFSTRÖM</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2490-2022</t>
        </is>
      </c>
      <c r="B292" t="inlineStr">
        <is>
          <t>avverkningsanmälan</t>
        </is>
      </c>
      <c r="C292" t="inlineStr">
        <is>
          <t>Föryngringsavverkning</t>
        </is>
      </c>
      <c r="D292" s="1" t="n">
        <v>44579</v>
      </c>
      <c r="E292" s="1" t="n">
        <v>46248</v>
      </c>
      <c r="F292" t="inlineStr">
        <is>
          <t>BLEKINGE LÄN</t>
        </is>
      </c>
      <c r="G292" t="inlineStr">
        <is>
          <t>KARLSHAMN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1266-2022</t>
        </is>
      </c>
      <c r="B293" t="inlineStr">
        <is>
          <t>avverkningsanmälan</t>
        </is>
      </c>
      <c r="C293" t="inlineStr">
        <is>
          <t>Föryngringsavverkning</t>
        </is>
      </c>
      <c r="D293" s="1" t="n">
        <v>44572</v>
      </c>
      <c r="E293" s="1" t="n">
        <v>46248</v>
      </c>
      <c r="F293" t="inlineStr">
        <is>
          <t>BLEKINGE LÄN</t>
        </is>
      </c>
      <c r="G293" t="inlineStr">
        <is>
          <t>OLOFSTRÖM</t>
        </is>
      </c>
      <c r="H293" t="inlineStr">
        <is>
          <t>Kommuner</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33834-2022</t>
        </is>
      </c>
      <c r="B294" t="inlineStr">
        <is>
          <t>avverkningsanmälan</t>
        </is>
      </c>
      <c r="C294" t="inlineStr">
        <is>
          <t>Föryngringsavverkning</t>
        </is>
      </c>
      <c r="D294" s="1" t="n">
        <v>44790</v>
      </c>
      <c r="E294" s="1" t="n">
        <v>46248</v>
      </c>
      <c r="F294" t="inlineStr">
        <is>
          <t>BLEKINGE LÄN</t>
        </is>
      </c>
      <c r="G294" t="inlineStr">
        <is>
          <t>RONNEBY</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7777-2022</t>
        </is>
      </c>
      <c r="B295" t="inlineStr">
        <is>
          <t>avverkningsanmälan</t>
        </is>
      </c>
      <c r="C295" t="inlineStr">
        <is>
          <t>Föryngringsavverkning</t>
        </is>
      </c>
      <c r="D295" s="1" t="n">
        <v>44608</v>
      </c>
      <c r="E295" s="1" t="n">
        <v>46248</v>
      </c>
      <c r="F295" t="inlineStr">
        <is>
          <t>BLEKINGE LÄN</t>
        </is>
      </c>
      <c r="G295" t="inlineStr">
        <is>
          <t>RONNEBY</t>
        </is>
      </c>
      <c r="H295" t="inlineStr">
        <is>
          <t>Övriga Aktiebolag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5701-2022</t>
        </is>
      </c>
      <c r="B296" t="inlineStr">
        <is>
          <t>avverkningsanmälan</t>
        </is>
      </c>
      <c r="C296" t="inlineStr">
        <is>
          <t>Föryngringsavverkning</t>
        </is>
      </c>
      <c r="D296" s="1" t="n">
        <v>44596</v>
      </c>
      <c r="E296" s="1" t="n">
        <v>46248</v>
      </c>
      <c r="F296" t="inlineStr">
        <is>
          <t>BLEKINGE LÄN</t>
        </is>
      </c>
      <c r="G296" t="inlineStr">
        <is>
          <t>RONNEBY</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23154-2022</t>
        </is>
      </c>
      <c r="B297" t="inlineStr">
        <is>
          <t>avverkningsanmälan</t>
        </is>
      </c>
      <c r="C297" t="inlineStr">
        <is>
          <t>Föryngringsavverkning</t>
        </is>
      </c>
      <c r="D297" s="1" t="n">
        <v>44719</v>
      </c>
      <c r="E297" s="1" t="n">
        <v>46248</v>
      </c>
      <c r="F297" t="inlineStr">
        <is>
          <t>BLEKINGE LÄN</t>
        </is>
      </c>
      <c r="G297" t="inlineStr">
        <is>
          <t>KARLSKRONA</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48969-2022</t>
        </is>
      </c>
      <c r="B298" t="inlineStr">
        <is>
          <t>avverkningsanmälan</t>
        </is>
      </c>
      <c r="C298" t="inlineStr">
        <is>
          <t>Föryngringsavverkning</t>
        </is>
      </c>
      <c r="D298" s="1" t="n">
        <v>44860</v>
      </c>
      <c r="E298" s="1" t="n">
        <v>46248</v>
      </c>
      <c r="F298" t="inlineStr">
        <is>
          <t>BLEKINGE LÄN</t>
        </is>
      </c>
      <c r="G298" t="inlineStr">
        <is>
          <t>RONNEBY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19440-2022</t>
        </is>
      </c>
      <c r="B299" t="inlineStr">
        <is>
          <t>avverkningsanmälan</t>
        </is>
      </c>
      <c r="C299" t="inlineStr">
        <is>
          <t>Föryngringsavverkning</t>
        </is>
      </c>
      <c r="D299" s="1" t="n">
        <v>44693</v>
      </c>
      <c r="E299" s="1" t="n">
        <v>46248</v>
      </c>
      <c r="F299" t="inlineStr">
        <is>
          <t>BLEKINGE LÄN</t>
        </is>
      </c>
      <c r="G299" t="inlineStr">
        <is>
          <t>RONNEBY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54020-2021</t>
        </is>
      </c>
      <c r="B300" t="inlineStr">
        <is>
          <t>avverkningsanmälan</t>
        </is>
      </c>
      <c r="C300" t="inlineStr">
        <is>
          <t>Föryngringsavverkning</t>
        </is>
      </c>
      <c r="D300" s="1" t="n">
        <v>44470</v>
      </c>
      <c r="E300" s="1" t="n">
        <v>46248</v>
      </c>
      <c r="F300" t="inlineStr">
        <is>
          <t>BLEKINGE LÄN</t>
        </is>
      </c>
      <c r="G300" t="inlineStr">
        <is>
          <t>KARLSHAMN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30533-2022</t>
        </is>
      </c>
      <c r="B301" t="inlineStr">
        <is>
          <t>avverkningsanmälan</t>
        </is>
      </c>
      <c r="C301" t="inlineStr">
        <is>
          <t>Föryngringsavverkning</t>
        </is>
      </c>
      <c r="D301" s="1" t="n">
        <v>44762</v>
      </c>
      <c r="E301" s="1" t="n">
        <v>46248</v>
      </c>
      <c r="F301" t="inlineStr">
        <is>
          <t>BLEKINGE LÄN</t>
        </is>
      </c>
      <c r="G301" t="inlineStr">
        <is>
          <t>RONNEBY</t>
        </is>
      </c>
      <c r="H301" t="inlineStr">
        <is>
          <t>Övriga Aktiebolag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30536-2022</t>
        </is>
      </c>
      <c r="B302" t="inlineStr">
        <is>
          <t>avverkningsanmälan</t>
        </is>
      </c>
      <c r="C302" t="inlineStr">
        <is>
          <t>Föryngringsavverkning</t>
        </is>
      </c>
      <c r="D302" s="1" t="n">
        <v>44762</v>
      </c>
      <c r="E302" s="1" t="n">
        <v>46248</v>
      </c>
      <c r="F302" t="inlineStr">
        <is>
          <t>BLEKINGE LÄN</t>
        </is>
      </c>
      <c r="G302" t="inlineStr">
        <is>
          <t>RONNEBY</t>
        </is>
      </c>
      <c r="H302" t="inlineStr">
        <is>
          <t>Övriga Aktiebolag</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54534-2022</t>
        </is>
      </c>
      <c r="B303" t="inlineStr">
        <is>
          <t>avverkningsanmälan</t>
        </is>
      </c>
      <c r="C303" t="inlineStr">
        <is>
          <t>Föryngringsavverkning</t>
        </is>
      </c>
      <c r="D303" s="1" t="n">
        <v>44882</v>
      </c>
      <c r="E303" s="1" t="n">
        <v>46248</v>
      </c>
      <c r="F303" t="inlineStr">
        <is>
          <t>BLEKINGE LÄN</t>
        </is>
      </c>
      <c r="G303" t="inlineStr">
        <is>
          <t>RONNEBY</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3148-2022</t>
        </is>
      </c>
      <c r="B304" t="inlineStr">
        <is>
          <t>avverkningsanmälan</t>
        </is>
      </c>
      <c r="C304" t="inlineStr">
        <is>
          <t>Föryngringsavverkning</t>
        </is>
      </c>
      <c r="D304" s="1" t="n">
        <v>44582</v>
      </c>
      <c r="E304" s="1" t="n">
        <v>46248</v>
      </c>
      <c r="F304" t="inlineStr">
        <is>
          <t>BLEKINGE LÄN</t>
        </is>
      </c>
      <c r="G304" t="inlineStr">
        <is>
          <t>KARLSHAMN</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65618-2021</t>
        </is>
      </c>
      <c r="B305" t="inlineStr">
        <is>
          <t>avverkningsanmälan</t>
        </is>
      </c>
      <c r="C305" t="inlineStr">
        <is>
          <t>Föryngringsavverkning</t>
        </is>
      </c>
      <c r="D305" s="1" t="n">
        <v>44516</v>
      </c>
      <c r="E305" s="1" t="n">
        <v>46248</v>
      </c>
      <c r="F305" t="inlineStr">
        <is>
          <t>BLEKINGE LÄN</t>
        </is>
      </c>
      <c r="G305" t="inlineStr">
        <is>
          <t>KARLSKRONA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61081-2021</t>
        </is>
      </c>
      <c r="B306" t="inlineStr">
        <is>
          <t>avverkningsanmälan</t>
        </is>
      </c>
      <c r="C306" t="inlineStr">
        <is>
          <t>Föryngringsavverkning</t>
        </is>
      </c>
      <c r="D306" s="1" t="n">
        <v>44497</v>
      </c>
      <c r="E306" s="1" t="n">
        <v>46248</v>
      </c>
      <c r="F306" t="inlineStr">
        <is>
          <t>BLEKINGE LÄN</t>
        </is>
      </c>
      <c r="G306" t="inlineStr">
        <is>
          <t>KARLSKRONA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8792-2022</t>
        </is>
      </c>
      <c r="B307" t="inlineStr">
        <is>
          <t>avverkningsanmälan</t>
        </is>
      </c>
      <c r="C307" t="inlineStr">
        <is>
          <t>Föryngringsavverkning</t>
        </is>
      </c>
      <c r="D307" s="1" t="n">
        <v>44613</v>
      </c>
      <c r="E307" s="1" t="n">
        <v>46248</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46248</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37206-2022</t>
        </is>
      </c>
      <c r="B309" t="inlineStr">
        <is>
          <t>avverkningsanmälan</t>
        </is>
      </c>
      <c r="C309" t="inlineStr">
        <is>
          <t>Föryngringsavverkning</t>
        </is>
      </c>
      <c r="D309" s="1" t="n">
        <v>44806</v>
      </c>
      <c r="E309" s="1" t="n">
        <v>46248</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10922-2022</t>
        </is>
      </c>
      <c r="B310" t="inlineStr">
        <is>
          <t>avverkningsanmälan</t>
        </is>
      </c>
      <c r="C310" t="inlineStr">
        <is>
          <t>Föryngringsavverkning</t>
        </is>
      </c>
      <c r="D310" s="1" t="n">
        <v>44627</v>
      </c>
      <c r="E310" s="1" t="n">
        <v>46248</v>
      </c>
      <c r="F310" t="inlineStr">
        <is>
          <t>BLEKINGE LÄN</t>
        </is>
      </c>
      <c r="G310" t="inlineStr">
        <is>
          <t>KARLSKRONA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46248</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10338-2022</t>
        </is>
      </c>
      <c r="B312" t="inlineStr">
        <is>
          <t>avverkningsanmälan</t>
        </is>
      </c>
      <c r="C312" t="inlineStr">
        <is>
          <t>Avverkning för annat ändamål</t>
        </is>
      </c>
      <c r="D312" s="1" t="n">
        <v>44623</v>
      </c>
      <c r="E312" s="1" t="n">
        <v>46248</v>
      </c>
      <c r="F312" t="inlineStr">
        <is>
          <t>BLEKINGE LÄN</t>
        </is>
      </c>
      <c r="G312" t="inlineStr">
        <is>
          <t>KARLSKRONA</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41200-2022</t>
        </is>
      </c>
      <c r="B313" t="inlineStr">
        <is>
          <t>avverkningsanmälan</t>
        </is>
      </c>
      <c r="C313" t="inlineStr">
        <is>
          <t>Föryngringsavverkning</t>
        </is>
      </c>
      <c r="D313" s="1" t="n">
        <v>44825</v>
      </c>
      <c r="E313" s="1" t="n">
        <v>46248</v>
      </c>
      <c r="F313" t="inlineStr">
        <is>
          <t>BLEKINGE LÄN</t>
        </is>
      </c>
      <c r="G313" t="inlineStr">
        <is>
          <t>KARLSKRONA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875-2022</t>
        </is>
      </c>
      <c r="B314" t="inlineStr">
        <is>
          <t>avverkningsanmälan</t>
        </is>
      </c>
      <c r="C314" t="inlineStr">
        <is>
          <t>Föryngringsavverkning</t>
        </is>
      </c>
      <c r="D314" s="1" t="n">
        <v>44567</v>
      </c>
      <c r="E314" s="1" t="n">
        <v>46248</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30517-2022</t>
        </is>
      </c>
      <c r="B315" t="inlineStr">
        <is>
          <t>avverkningsanmälan</t>
        </is>
      </c>
      <c r="C315" t="inlineStr">
        <is>
          <t>Föryngringsavverkning</t>
        </is>
      </c>
      <c r="D315" s="1" t="n">
        <v>44762</v>
      </c>
      <c r="E315" s="1" t="n">
        <v>46248</v>
      </c>
      <c r="F315" t="inlineStr">
        <is>
          <t>BLEKINGE LÄN</t>
        </is>
      </c>
      <c r="G315" t="inlineStr">
        <is>
          <t>RONNEBY</t>
        </is>
      </c>
      <c r="H315" t="inlineStr">
        <is>
          <t>Övriga Aktiebolag</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2077-2022</t>
        </is>
      </c>
      <c r="B316" t="inlineStr">
        <is>
          <t>avverkningsanmälan</t>
        </is>
      </c>
      <c r="C316" t="inlineStr">
        <is>
          <t>Föryngringsavverkning</t>
        </is>
      </c>
      <c r="D316" s="1" t="n">
        <v>44576</v>
      </c>
      <c r="E316" s="1" t="n">
        <v>46248</v>
      </c>
      <c r="F316" t="inlineStr">
        <is>
          <t>BLEKINGE LÄN</t>
        </is>
      </c>
      <c r="G316" t="inlineStr">
        <is>
          <t>RONNEBY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41148-2022</t>
        </is>
      </c>
      <c r="B317" t="inlineStr">
        <is>
          <t>avverkningsanmälan</t>
        </is>
      </c>
      <c r="C317" t="inlineStr">
        <is>
          <t>Föryngringsavverkning</t>
        </is>
      </c>
      <c r="D317" s="1" t="n">
        <v>44825</v>
      </c>
      <c r="E317" s="1" t="n">
        <v>46248</v>
      </c>
      <c r="F317" t="inlineStr">
        <is>
          <t>BLEKINGE LÄN</t>
        </is>
      </c>
      <c r="G317" t="inlineStr">
        <is>
          <t>RONNEBY</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41149-2022</t>
        </is>
      </c>
      <c r="B318" t="inlineStr">
        <is>
          <t>avverkningsanmälan</t>
        </is>
      </c>
      <c r="C318" t="inlineStr">
        <is>
          <t>Föryngringsavverkning</t>
        </is>
      </c>
      <c r="D318" s="1" t="n">
        <v>44825</v>
      </c>
      <c r="E318" s="1" t="n">
        <v>46248</v>
      </c>
      <c r="F318" t="inlineStr">
        <is>
          <t>BLEKINGE LÄN</t>
        </is>
      </c>
      <c r="G318" t="inlineStr">
        <is>
          <t>RONNEBY</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43182-2022</t>
        </is>
      </c>
      <c r="B319" t="inlineStr">
        <is>
          <t>avverkningsanmälan</t>
        </is>
      </c>
      <c r="C319" t="inlineStr">
        <is>
          <t>Föryngringsavverkning</t>
        </is>
      </c>
      <c r="D319" s="1" t="n">
        <v>44834</v>
      </c>
      <c r="E319" s="1" t="n">
        <v>46248</v>
      </c>
      <c r="F319" t="inlineStr">
        <is>
          <t>BLEKINGE LÄN</t>
        </is>
      </c>
      <c r="G319" t="inlineStr">
        <is>
          <t>KARLSHAMN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2659-2022</t>
        </is>
      </c>
      <c r="B320" t="inlineStr">
        <is>
          <t>avverkningsanmälan</t>
        </is>
      </c>
      <c r="C320" t="inlineStr">
        <is>
          <t>Föryngringsavverkning</t>
        </is>
      </c>
      <c r="D320" s="1" t="n">
        <v>44580</v>
      </c>
      <c r="E320" s="1" t="n">
        <v>46248</v>
      </c>
      <c r="F320" t="inlineStr">
        <is>
          <t>BLEKINGE LÄN</t>
        </is>
      </c>
      <c r="G320" t="inlineStr">
        <is>
          <t>KARLSHAMN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47430-2022</t>
        </is>
      </c>
      <c r="B321" t="inlineStr">
        <is>
          <t>avverkningsanmälan</t>
        </is>
      </c>
      <c r="C321" t="inlineStr">
        <is>
          <t>Föryngringsavverkning</t>
        </is>
      </c>
      <c r="D321" s="1" t="n">
        <v>44853</v>
      </c>
      <c r="E321" s="1" t="n">
        <v>46248</v>
      </c>
      <c r="F321" t="inlineStr">
        <is>
          <t>BLEKINGE LÄN</t>
        </is>
      </c>
      <c r="G321" t="inlineStr">
        <is>
          <t>OLOFSTRÖM</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42554-2021</t>
        </is>
      </c>
      <c r="B322" t="inlineStr">
        <is>
          <t>avverkningsanmälan</t>
        </is>
      </c>
      <c r="C322" t="inlineStr">
        <is>
          <t>Föryngringsavverkning</t>
        </is>
      </c>
      <c r="D322" s="1" t="n">
        <v>44427</v>
      </c>
      <c r="E322" s="1" t="n">
        <v>46248</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73436-2021</t>
        </is>
      </c>
      <c r="B323" t="inlineStr">
        <is>
          <t>avverkningsanmälan</t>
        </is>
      </c>
      <c r="C323" t="inlineStr">
        <is>
          <t>Föryngringsavverkning</t>
        </is>
      </c>
      <c r="D323" s="1" t="n">
        <v>44551</v>
      </c>
      <c r="E323" s="1" t="n">
        <v>46248</v>
      </c>
      <c r="F323" t="inlineStr">
        <is>
          <t>BLEKINGE LÄN</t>
        </is>
      </c>
      <c r="G323" t="inlineStr">
        <is>
          <t>OLOFSTRÖM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23661-2022</t>
        </is>
      </c>
      <c r="B324" t="inlineStr">
        <is>
          <t>avverkningsanmälan</t>
        </is>
      </c>
      <c r="C324" t="inlineStr">
        <is>
          <t>Föryngringsavverkning</t>
        </is>
      </c>
      <c r="D324" s="1" t="n">
        <v>44721</v>
      </c>
      <c r="E324" s="1" t="n">
        <v>46248</v>
      </c>
      <c r="F324" t="inlineStr">
        <is>
          <t>BLEKINGE LÄN</t>
        </is>
      </c>
      <c r="G324" t="inlineStr">
        <is>
          <t>RONNEBY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8761-2022</t>
        </is>
      </c>
      <c r="B325" t="inlineStr">
        <is>
          <t>avverkningsanmälan</t>
        </is>
      </c>
      <c r="C325" t="inlineStr">
        <is>
          <t>Föryngringsavverkning</t>
        </is>
      </c>
      <c r="D325" s="1" t="n">
        <v>44613</v>
      </c>
      <c r="E325" s="1" t="n">
        <v>46248</v>
      </c>
      <c r="F325" t="inlineStr">
        <is>
          <t>BLEKINGE LÄN</t>
        </is>
      </c>
      <c r="G325" t="inlineStr">
        <is>
          <t>OLOFSTRÖM</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8772-2022</t>
        </is>
      </c>
      <c r="B326" t="inlineStr">
        <is>
          <t>avverkningsanmälan</t>
        </is>
      </c>
      <c r="C326" t="inlineStr">
        <is>
          <t>Föryngringsavverkning</t>
        </is>
      </c>
      <c r="D326" s="1" t="n">
        <v>44613</v>
      </c>
      <c r="E326" s="1" t="n">
        <v>46248</v>
      </c>
      <c r="F326" t="inlineStr">
        <is>
          <t>BLEKINGE LÄN</t>
        </is>
      </c>
      <c r="G326" t="inlineStr">
        <is>
          <t>OLOFSTRÖM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8799-2022</t>
        </is>
      </c>
      <c r="B327" t="inlineStr">
        <is>
          <t>avverkningsanmälan</t>
        </is>
      </c>
      <c r="C327" t="inlineStr">
        <is>
          <t>Föryngringsavverkning</t>
        </is>
      </c>
      <c r="D327" s="1" t="n">
        <v>44613</v>
      </c>
      <c r="E327" s="1" t="n">
        <v>46248</v>
      </c>
      <c r="F327" t="inlineStr">
        <is>
          <t>BLEKINGE LÄN</t>
        </is>
      </c>
      <c r="G327" t="inlineStr">
        <is>
          <t>OLOFSTRÖM</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46435-2022</t>
        </is>
      </c>
      <c r="B328" t="inlineStr">
        <is>
          <t>avverkningsanmälan</t>
        </is>
      </c>
      <c r="C328" t="inlineStr">
        <is>
          <t>Föryngringsavverkning</t>
        </is>
      </c>
      <c r="D328" s="1" t="n">
        <v>44847</v>
      </c>
      <c r="E328" s="1" t="n">
        <v>46248</v>
      </c>
      <c r="F328" t="inlineStr">
        <is>
          <t>BLEKINGE LÄN</t>
        </is>
      </c>
      <c r="G328" t="inlineStr">
        <is>
          <t>KARLSKRONA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45997-2021</t>
        </is>
      </c>
      <c r="B329" t="inlineStr">
        <is>
          <t>avverkningsanmälan</t>
        </is>
      </c>
      <c r="C329" t="inlineStr">
        <is>
          <t>Föryngringsavverkning</t>
        </is>
      </c>
      <c r="D329" s="1" t="n">
        <v>44441</v>
      </c>
      <c r="E329" s="1" t="n">
        <v>46248</v>
      </c>
      <c r="F329" t="inlineStr">
        <is>
          <t>BLEKINGE LÄN</t>
        </is>
      </c>
      <c r="G329" t="inlineStr">
        <is>
          <t>KARLSKRONA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41248-2021</t>
        </is>
      </c>
      <c r="B330" t="inlineStr">
        <is>
          <t>avverkningsanmälan</t>
        </is>
      </c>
      <c r="C330" t="inlineStr">
        <is>
          <t>Föryngringsavverkning</t>
        </is>
      </c>
      <c r="D330" s="1" t="n">
        <v>44424</v>
      </c>
      <c r="E330" s="1" t="n">
        <v>46248</v>
      </c>
      <c r="F330" t="inlineStr">
        <is>
          <t>BLEKINGE LÄN</t>
        </is>
      </c>
      <c r="G330" t="inlineStr">
        <is>
          <t>KARLSKRONA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50420-2022</t>
        </is>
      </c>
      <c r="B331" t="inlineStr">
        <is>
          <t>avverkningsanmälan</t>
        </is>
      </c>
      <c r="C331" t="inlineStr">
        <is>
          <t>Föryngringsavverkning</t>
        </is>
      </c>
      <c r="D331" s="1" t="n">
        <v>44866</v>
      </c>
      <c r="E331" s="1" t="n">
        <v>46248</v>
      </c>
      <c r="F331" t="inlineStr">
        <is>
          <t>BLEKINGE LÄN</t>
        </is>
      </c>
      <c r="G331" t="inlineStr">
        <is>
          <t>OLOFSTRÖM</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46311-2021</t>
        </is>
      </c>
      <c r="B332" t="inlineStr">
        <is>
          <t>avverkningsanmälan</t>
        </is>
      </c>
      <c r="C332" t="inlineStr">
        <is>
          <t>Föryngringsavverkning</t>
        </is>
      </c>
      <c r="D332" s="1" t="n">
        <v>44442</v>
      </c>
      <c r="E332" s="1" t="n">
        <v>46248</v>
      </c>
      <c r="F332" t="inlineStr">
        <is>
          <t>BLEKINGE LÄN</t>
        </is>
      </c>
      <c r="G332" t="inlineStr">
        <is>
          <t>KARLSKRONA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43923-2021</t>
        </is>
      </c>
      <c r="B333" t="inlineStr">
        <is>
          <t>avverkningsanmälan</t>
        </is>
      </c>
      <c r="C333" t="inlineStr">
        <is>
          <t>Föryngringsavverkning</t>
        </is>
      </c>
      <c r="D333" s="1" t="n">
        <v>44434</v>
      </c>
      <c r="E333" s="1" t="n">
        <v>46248</v>
      </c>
      <c r="F333" t="inlineStr">
        <is>
          <t>BLEKINGE LÄN</t>
        </is>
      </c>
      <c r="G333" t="inlineStr">
        <is>
          <t>RONNEBY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10628-2022</t>
        </is>
      </c>
      <c r="B334" t="inlineStr">
        <is>
          <t>avverkningsanmälan</t>
        </is>
      </c>
      <c r="C334" t="inlineStr">
        <is>
          <t>Föryngringsavverkning</t>
        </is>
      </c>
      <c r="D334" s="1" t="n">
        <v>44624</v>
      </c>
      <c r="E334" s="1" t="n">
        <v>46248</v>
      </c>
      <c r="F334" t="inlineStr">
        <is>
          <t>BLEKINGE LÄN</t>
        </is>
      </c>
      <c r="G334" t="inlineStr">
        <is>
          <t>KARLSKRONA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53560-2022</t>
        </is>
      </c>
      <c r="B335" t="inlineStr">
        <is>
          <t>avverkningsanmälan</t>
        </is>
      </c>
      <c r="C335" t="inlineStr">
        <is>
          <t>Föryngringsavverkning</t>
        </is>
      </c>
      <c r="D335" s="1" t="n">
        <v>44874</v>
      </c>
      <c r="E335" s="1" t="n">
        <v>46248</v>
      </c>
      <c r="F335" t="inlineStr">
        <is>
          <t>BLEKINGE LÄN</t>
        </is>
      </c>
      <c r="G335" t="inlineStr">
        <is>
          <t>KARLSKRONA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19615-2022</t>
        </is>
      </c>
      <c r="B336" t="inlineStr">
        <is>
          <t>avverkningsanmälan</t>
        </is>
      </c>
      <c r="C336" t="inlineStr">
        <is>
          <t>Föryngringsavverkning</t>
        </is>
      </c>
      <c r="D336" s="1" t="n">
        <v>44694</v>
      </c>
      <c r="E336" s="1" t="n">
        <v>46248</v>
      </c>
      <c r="F336" t="inlineStr">
        <is>
          <t>BLEKINGE LÄN</t>
        </is>
      </c>
      <c r="G336" t="inlineStr">
        <is>
          <t>RONNEBY</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20469-2022</t>
        </is>
      </c>
      <c r="B337" t="inlineStr">
        <is>
          <t>avverkningsanmälan</t>
        </is>
      </c>
      <c r="C337" t="inlineStr">
        <is>
          <t>Föryngringsavverkning</t>
        </is>
      </c>
      <c r="D337" s="1" t="n">
        <v>44699</v>
      </c>
      <c r="E337" s="1" t="n">
        <v>46248</v>
      </c>
      <c r="F337" t="inlineStr">
        <is>
          <t>BLEKINGE LÄN</t>
        </is>
      </c>
      <c r="G337" t="inlineStr">
        <is>
          <t>OLOFSTRÖM</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59947-2021</t>
        </is>
      </c>
      <c r="B338" t="inlineStr">
        <is>
          <t>avverkningsanmälan</t>
        </is>
      </c>
      <c r="C338" t="inlineStr">
        <is>
          <t>Föryngringsavverkning</t>
        </is>
      </c>
      <c r="D338" s="1" t="n">
        <v>44494</v>
      </c>
      <c r="E338" s="1" t="n">
        <v>46248</v>
      </c>
      <c r="F338" t="inlineStr">
        <is>
          <t>BLEKINGE LÄN</t>
        </is>
      </c>
      <c r="G338" t="inlineStr">
        <is>
          <t>RONNEBY</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35052-2022</t>
        </is>
      </c>
      <c r="B339" t="inlineStr">
        <is>
          <t>avverkningsanmälan</t>
        </is>
      </c>
      <c r="C339" t="inlineStr">
        <is>
          <t>Föryngringsavverkning</t>
        </is>
      </c>
      <c r="D339" s="1" t="n">
        <v>44796</v>
      </c>
      <c r="E339" s="1" t="n">
        <v>46248</v>
      </c>
      <c r="F339" t="inlineStr">
        <is>
          <t>BLEKINGE LÄN</t>
        </is>
      </c>
      <c r="G339" t="inlineStr">
        <is>
          <t>KARLSHAMN</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61725-2021</t>
        </is>
      </c>
      <c r="B340" t="inlineStr">
        <is>
          <t>avverkningsanmälan</t>
        </is>
      </c>
      <c r="C340" t="inlineStr">
        <is>
          <t>Föryngringsavverkning</t>
        </is>
      </c>
      <c r="D340" s="1" t="n">
        <v>44501</v>
      </c>
      <c r="E340" s="1" t="n">
        <v>46248</v>
      </c>
      <c r="F340" t="inlineStr">
        <is>
          <t>BLEKINGE LÄN</t>
        </is>
      </c>
      <c r="G340" t="inlineStr">
        <is>
          <t>KARLSKRONA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71518-2021</t>
        </is>
      </c>
      <c r="B341" t="inlineStr">
        <is>
          <t>avverkningsanmälan</t>
        </is>
      </c>
      <c r="C341" t="inlineStr">
        <is>
          <t>Föryngringsavverkning</t>
        </is>
      </c>
      <c r="D341" s="1" t="n">
        <v>44540</v>
      </c>
      <c r="E341" s="1" t="n">
        <v>46248</v>
      </c>
      <c r="F341" t="inlineStr">
        <is>
          <t>BLEKINGE LÄN</t>
        </is>
      </c>
      <c r="G341" t="inlineStr">
        <is>
          <t>KARLSKRONA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861-2022</t>
        </is>
      </c>
      <c r="B342" t="inlineStr">
        <is>
          <t>avverkningsanmälan</t>
        </is>
      </c>
      <c r="C342" t="inlineStr">
        <is>
          <t>Föryngringsavverkning</t>
        </is>
      </c>
      <c r="D342" s="1" t="n">
        <v>44571</v>
      </c>
      <c r="E342" s="1" t="n">
        <v>46248</v>
      </c>
      <c r="F342" t="inlineStr">
        <is>
          <t>BLEKINGE LÄN</t>
        </is>
      </c>
      <c r="G342" t="inlineStr">
        <is>
          <t>KARLSKRONA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44114-2021</t>
        </is>
      </c>
      <c r="B343" t="inlineStr">
        <is>
          <t>avverkningsanmälan</t>
        </is>
      </c>
      <c r="C343" t="inlineStr">
        <is>
          <t>Föryngringsavverkning</t>
        </is>
      </c>
      <c r="D343" s="1" t="n">
        <v>44434</v>
      </c>
      <c r="E343" s="1" t="n">
        <v>46248</v>
      </c>
      <c r="F343" t="inlineStr">
        <is>
          <t>BLEKINGE LÄN</t>
        </is>
      </c>
      <c r="G343" t="inlineStr">
        <is>
          <t>KARLSKRONA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73438-2021</t>
        </is>
      </c>
      <c r="B344" t="inlineStr">
        <is>
          <t>avverkningsanmälan</t>
        </is>
      </c>
      <c r="C344" t="inlineStr">
        <is>
          <t>Föryngringsavverkning</t>
        </is>
      </c>
      <c r="D344" s="1" t="n">
        <v>44551</v>
      </c>
      <c r="E344" s="1" t="n">
        <v>46248</v>
      </c>
      <c r="F344" t="inlineStr">
        <is>
          <t>BLEKINGE LÄN</t>
        </is>
      </c>
      <c r="G344" t="inlineStr">
        <is>
          <t>OLOFSTRÖM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73443-2021</t>
        </is>
      </c>
      <c r="B345" t="inlineStr">
        <is>
          <t>avverkningsanmälan</t>
        </is>
      </c>
      <c r="C345" t="inlineStr">
        <is>
          <t>Föryngringsavverkning</t>
        </is>
      </c>
      <c r="D345" s="1" t="n">
        <v>44551</v>
      </c>
      <c r="E345" s="1" t="n">
        <v>46248</v>
      </c>
      <c r="F345" t="inlineStr">
        <is>
          <t>BLEKINGE LÄN</t>
        </is>
      </c>
      <c r="G345" t="inlineStr">
        <is>
          <t>OLOFSTRÖM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73443-2021</t>
        </is>
      </c>
      <c r="B346" t="inlineStr">
        <is>
          <t>avverkningsanmälan</t>
        </is>
      </c>
      <c r="C346" t="inlineStr">
        <is>
          <t>Föryngringsavverkning</t>
        </is>
      </c>
      <c r="D346" s="1" t="n">
        <v>44551</v>
      </c>
      <c r="E346" s="1" t="n">
        <v>46248</v>
      </c>
      <c r="F346" t="inlineStr">
        <is>
          <t>BLEKINGE LÄN</t>
        </is>
      </c>
      <c r="G346" t="inlineStr">
        <is>
          <t>OLOFSTRÖM</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53764-2021</t>
        </is>
      </c>
      <c r="B347" t="inlineStr">
        <is>
          <t>avverkningsanmälan</t>
        </is>
      </c>
      <c r="C347" t="inlineStr">
        <is>
          <t>Föryngringsavverkning</t>
        </is>
      </c>
      <c r="D347" s="1" t="n">
        <v>44469</v>
      </c>
      <c r="E347" s="1" t="n">
        <v>46248</v>
      </c>
      <c r="F347" t="inlineStr">
        <is>
          <t>BLEKINGE LÄN</t>
        </is>
      </c>
      <c r="G347" t="inlineStr">
        <is>
          <t>OLOFSTRÖM</t>
        </is>
      </c>
      <c r="H347" t="inlineStr">
        <is>
          <t>Övriga Aktiebolag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66838-2021</t>
        </is>
      </c>
      <c r="B348" t="inlineStr">
        <is>
          <t>avverkningsanmälan</t>
        </is>
      </c>
      <c r="C348" t="inlineStr">
        <is>
          <t>Föryngringsavverkning</t>
        </is>
      </c>
      <c r="D348" s="1" t="n">
        <v>44522</v>
      </c>
      <c r="E348" s="1" t="n">
        <v>46248</v>
      </c>
      <c r="F348" t="inlineStr">
        <is>
          <t>BLEKINGE LÄN</t>
        </is>
      </c>
      <c r="G348" t="inlineStr">
        <is>
          <t>KARLSHAMN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1139-2022</t>
        </is>
      </c>
      <c r="B349" t="inlineStr">
        <is>
          <t>avverkningsanmälan</t>
        </is>
      </c>
      <c r="C349" t="inlineStr">
        <is>
          <t>Föryngringsavverkning</t>
        </is>
      </c>
      <c r="D349" s="1" t="n">
        <v>44572</v>
      </c>
      <c r="E349" s="1" t="n">
        <v>46248</v>
      </c>
      <c r="F349" t="inlineStr">
        <is>
          <t>BLEKINGE LÄN</t>
        </is>
      </c>
      <c r="G349" t="inlineStr">
        <is>
          <t>KARLSKRONA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73441-2021</t>
        </is>
      </c>
      <c r="B350" t="inlineStr">
        <is>
          <t>avverkningsanmälan</t>
        </is>
      </c>
      <c r="C350" t="inlineStr">
        <is>
          <t>Föryngringsavverkning</t>
        </is>
      </c>
      <c r="D350" s="1" t="n">
        <v>44551</v>
      </c>
      <c r="E350" s="1" t="n">
        <v>46248</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73441-2021</t>
        </is>
      </c>
      <c r="B351" t="inlineStr">
        <is>
          <t>avverkningsanmälan</t>
        </is>
      </c>
      <c r="C351" t="inlineStr">
        <is>
          <t>Föryngringsavverkning</t>
        </is>
      </c>
      <c r="D351" s="1" t="n">
        <v>44551</v>
      </c>
      <c r="E351" s="1" t="n">
        <v>46248</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55190-2021</t>
        </is>
      </c>
      <c r="B352" t="inlineStr">
        <is>
          <t>avverkningsanmälan</t>
        </is>
      </c>
      <c r="C352" t="inlineStr">
        <is>
          <t>Föryngringsavverkning</t>
        </is>
      </c>
      <c r="D352" s="1" t="n">
        <v>44475</v>
      </c>
      <c r="E352" s="1" t="n">
        <v>46248</v>
      </c>
      <c r="F352" t="inlineStr">
        <is>
          <t>BLEKINGE LÄN</t>
        </is>
      </c>
      <c r="G352" t="inlineStr">
        <is>
          <t>KARLSKRONA</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67540-2021</t>
        </is>
      </c>
      <c r="B353" t="inlineStr">
        <is>
          <t>avverkningsanmälan</t>
        </is>
      </c>
      <c r="C353" t="inlineStr">
        <is>
          <t>Föryngringsavverkning</t>
        </is>
      </c>
      <c r="D353" s="1" t="n">
        <v>44524</v>
      </c>
      <c r="E353" s="1" t="n">
        <v>46248</v>
      </c>
      <c r="F353" t="inlineStr">
        <is>
          <t>BLEKINGE LÄN</t>
        </is>
      </c>
      <c r="G353" t="inlineStr">
        <is>
          <t>KARLSKRONA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62711-2021</t>
        </is>
      </c>
      <c r="B354" t="inlineStr">
        <is>
          <t>avverkningsanmälan</t>
        </is>
      </c>
      <c r="C354" t="inlineStr">
        <is>
          <t>Föryngringsavverkning</t>
        </is>
      </c>
      <c r="D354" s="1" t="n">
        <v>44504</v>
      </c>
      <c r="E354" s="1" t="n">
        <v>46248</v>
      </c>
      <c r="F354" t="inlineStr">
        <is>
          <t>BLEKINGE LÄN</t>
        </is>
      </c>
      <c r="G354" t="inlineStr">
        <is>
          <t>RONNEBY</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7874-2022</t>
        </is>
      </c>
      <c r="B355" t="inlineStr">
        <is>
          <t>avverkningsanmälan</t>
        </is>
      </c>
      <c r="C355" t="inlineStr">
        <is>
          <t>Föryngringsavverkning</t>
        </is>
      </c>
      <c r="D355" s="1" t="n">
        <v>44608</v>
      </c>
      <c r="E355" s="1" t="n">
        <v>46248</v>
      </c>
      <c r="F355" t="inlineStr">
        <is>
          <t>BLEKINGE LÄN</t>
        </is>
      </c>
      <c r="G355" t="inlineStr">
        <is>
          <t>KARLSKRONA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37505-2022</t>
        </is>
      </c>
      <c r="B356" t="inlineStr">
        <is>
          <t>avverkningsanmälan</t>
        </is>
      </c>
      <c r="C356" t="inlineStr">
        <is>
          <t>Föryngringsavverkning</t>
        </is>
      </c>
      <c r="D356" s="1" t="n">
        <v>44809</v>
      </c>
      <c r="E356" s="1" t="n">
        <v>46248</v>
      </c>
      <c r="F356" t="inlineStr">
        <is>
          <t>BLEKINGE LÄN</t>
        </is>
      </c>
      <c r="G356" t="inlineStr">
        <is>
          <t>KARLSKRONA</t>
        </is>
      </c>
      <c r="H356" t="inlineStr">
        <is>
          <t>Kommuner</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8-2022</t>
        </is>
      </c>
      <c r="B357" t="inlineStr">
        <is>
          <t>avverkningsanmälan</t>
        </is>
      </c>
      <c r="C357" t="inlineStr">
        <is>
          <t>Föryngringsavverkning</t>
        </is>
      </c>
      <c r="D357" s="1" t="n">
        <v>44563</v>
      </c>
      <c r="E357" s="1" t="n">
        <v>46248</v>
      </c>
      <c r="F357" t="inlineStr">
        <is>
          <t>BLEKINGE LÄN</t>
        </is>
      </c>
      <c r="G357" t="inlineStr">
        <is>
          <t>KARLSHAMN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2391-2022</t>
        </is>
      </c>
      <c r="B358" t="inlineStr">
        <is>
          <t>avverkningsanmälan</t>
        </is>
      </c>
      <c r="C358" t="inlineStr">
        <is>
          <t>Föryngringsavverkning</t>
        </is>
      </c>
      <c r="D358" s="1" t="n">
        <v>44579</v>
      </c>
      <c r="E358" s="1" t="n">
        <v>46248</v>
      </c>
      <c r="F358" t="inlineStr">
        <is>
          <t>BLEKINGE LÄN</t>
        </is>
      </c>
      <c r="G358" t="inlineStr">
        <is>
          <t>KARLSKRONA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47319-2021</t>
        </is>
      </c>
      <c r="B359" t="inlineStr">
        <is>
          <t>avverkningsanmälan</t>
        </is>
      </c>
      <c r="C359" t="inlineStr">
        <is>
          <t>Föryngringsavverkning</t>
        </is>
      </c>
      <c r="D359" s="1" t="n">
        <v>44447</v>
      </c>
      <c r="E359" s="1" t="n">
        <v>46248</v>
      </c>
      <c r="F359" t="inlineStr">
        <is>
          <t>BLEKINGE LÄN</t>
        </is>
      </c>
      <c r="G359" t="inlineStr">
        <is>
          <t>RONNEBY</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237-2022</t>
        </is>
      </c>
      <c r="B360" t="inlineStr">
        <is>
          <t>avverkningsanmälan</t>
        </is>
      </c>
      <c r="C360" t="inlineStr">
        <is>
          <t>Föryngringsavverkning</t>
        </is>
      </c>
      <c r="D360" s="1" t="n">
        <v>44565</v>
      </c>
      <c r="E360" s="1" t="n">
        <v>46248</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46890-2021</t>
        </is>
      </c>
      <c r="B361" t="inlineStr">
        <is>
          <t>avverkningsanmälan</t>
        </is>
      </c>
      <c r="C361" t="inlineStr">
        <is>
          <t>Föryngringsavverkning</t>
        </is>
      </c>
      <c r="D361" s="1" t="n">
        <v>44446</v>
      </c>
      <c r="E361" s="1" t="n">
        <v>46248</v>
      </c>
      <c r="F361" t="inlineStr">
        <is>
          <t>BLEKINGE LÄN</t>
        </is>
      </c>
      <c r="G361" t="inlineStr">
        <is>
          <t>KARLSKRONA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45588-2021</t>
        </is>
      </c>
      <c r="B362" t="inlineStr">
        <is>
          <t>avverkningsanmälan</t>
        </is>
      </c>
      <c r="C362" t="inlineStr">
        <is>
          <t>Föryngringsavverkning</t>
        </is>
      </c>
      <c r="D362" s="1" t="n">
        <v>44440</v>
      </c>
      <c r="E362" s="1" t="n">
        <v>46248</v>
      </c>
      <c r="F362" t="inlineStr">
        <is>
          <t>BLEKINGE LÄN</t>
        </is>
      </c>
      <c r="G362" t="inlineStr">
        <is>
          <t>OLOFSTRÖM</t>
        </is>
      </c>
      <c r="H362" t="inlineStr">
        <is>
          <t>Övriga Aktiebolag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47481-2022</t>
        </is>
      </c>
      <c r="B363" t="inlineStr">
        <is>
          <t>avverkningsanmälan</t>
        </is>
      </c>
      <c r="C363" t="inlineStr">
        <is>
          <t>Föryngringsavverkning</t>
        </is>
      </c>
      <c r="D363" s="1" t="n">
        <v>44853</v>
      </c>
      <c r="E363" s="1" t="n">
        <v>46248</v>
      </c>
      <c r="F363" t="inlineStr">
        <is>
          <t>BLEKINGE LÄN</t>
        </is>
      </c>
      <c r="G363" t="inlineStr">
        <is>
          <t>RONNEBY</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6037-2022</t>
        </is>
      </c>
      <c r="B364" t="inlineStr">
        <is>
          <t>avverkningsanmälan</t>
        </is>
      </c>
      <c r="C364" t="inlineStr">
        <is>
          <t>Föryngringsavverkning</t>
        </is>
      </c>
      <c r="D364" s="1" t="n">
        <v>44599</v>
      </c>
      <c r="E364" s="1" t="n">
        <v>46248</v>
      </c>
      <c r="F364" t="inlineStr">
        <is>
          <t>BLEKINGE LÄN</t>
        </is>
      </c>
      <c r="G364" t="inlineStr">
        <is>
          <t>KARLSKRONA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56442-2021</t>
        </is>
      </c>
      <c r="B365" t="inlineStr">
        <is>
          <t>avverkningsanmälan</t>
        </is>
      </c>
      <c r="C365" t="inlineStr">
        <is>
          <t>Föryngringsavverkning</t>
        </is>
      </c>
      <c r="D365" s="1" t="n">
        <v>44480</v>
      </c>
      <c r="E365" s="1" t="n">
        <v>46248</v>
      </c>
      <c r="F365" t="inlineStr">
        <is>
          <t>BLEKINGE LÄN</t>
        </is>
      </c>
      <c r="G365" t="inlineStr">
        <is>
          <t>KARLSKRONA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2974-2022</t>
        </is>
      </c>
      <c r="B366" t="inlineStr">
        <is>
          <t>avverkningsanmälan</t>
        </is>
      </c>
      <c r="C366" t="inlineStr">
        <is>
          <t>Föryngringsavverkning</t>
        </is>
      </c>
      <c r="D366" s="1" t="n">
        <v>44581</v>
      </c>
      <c r="E366" s="1" t="n">
        <v>46248</v>
      </c>
      <c r="F366" t="inlineStr">
        <is>
          <t>BLEKINGE LÄN</t>
        </is>
      </c>
      <c r="G366" t="inlineStr">
        <is>
          <t>KARLSHAMN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66288-2021</t>
        </is>
      </c>
      <c r="B367" t="inlineStr">
        <is>
          <t>avverkningsanmälan</t>
        </is>
      </c>
      <c r="C367" t="inlineStr">
        <is>
          <t>Föryngringsavverkning</t>
        </is>
      </c>
      <c r="D367" s="1" t="n">
        <v>44518</v>
      </c>
      <c r="E367" s="1" t="n">
        <v>46248</v>
      </c>
      <c r="F367" t="inlineStr">
        <is>
          <t>BLEKINGE LÄN</t>
        </is>
      </c>
      <c r="G367" t="inlineStr">
        <is>
          <t>RONNEBY</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37184-2022</t>
        </is>
      </c>
      <c r="B368" t="inlineStr">
        <is>
          <t>avverkningsanmälan</t>
        </is>
      </c>
      <c r="C368" t="inlineStr">
        <is>
          <t>Föryngringsavverkning</t>
        </is>
      </c>
      <c r="D368" s="1" t="n">
        <v>44806</v>
      </c>
      <c r="E368" s="1" t="n">
        <v>46248</v>
      </c>
      <c r="F368" t="inlineStr">
        <is>
          <t>BLEKINGE LÄN</t>
        </is>
      </c>
      <c r="G368" t="inlineStr">
        <is>
          <t>RONNEBY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39133-2022</t>
        </is>
      </c>
      <c r="B369" t="inlineStr">
        <is>
          <t>avverkningsanmälan</t>
        </is>
      </c>
      <c r="C369" t="inlineStr">
        <is>
          <t>Föryngringsavverkning</t>
        </is>
      </c>
      <c r="D369" s="1" t="n">
        <v>44817</v>
      </c>
      <c r="E369" s="1" t="n">
        <v>46248</v>
      </c>
      <c r="F369" t="inlineStr">
        <is>
          <t>BLEKINGE LÄN</t>
        </is>
      </c>
      <c r="G369" t="inlineStr">
        <is>
          <t>RONNEBY</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61657-2021</t>
        </is>
      </c>
      <c r="B370" t="inlineStr">
        <is>
          <t>avverkningsanmälan</t>
        </is>
      </c>
      <c r="C370" t="inlineStr">
        <is>
          <t>Föryngringsavverkning</t>
        </is>
      </c>
      <c r="D370" s="1" t="n">
        <v>44501</v>
      </c>
      <c r="E370" s="1" t="n">
        <v>46248</v>
      </c>
      <c r="F370" t="inlineStr">
        <is>
          <t>BLEKINGE LÄN</t>
        </is>
      </c>
      <c r="G370" t="inlineStr">
        <is>
          <t>RONNEBY</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41618-2021</t>
        </is>
      </c>
      <c r="B371" t="inlineStr">
        <is>
          <t>avverkningsanmälan</t>
        </is>
      </c>
      <c r="C371" t="inlineStr">
        <is>
          <t>Föryngringsavverkning</t>
        </is>
      </c>
      <c r="D371" s="1" t="n">
        <v>44425</v>
      </c>
      <c r="E371" s="1" t="n">
        <v>46248</v>
      </c>
      <c r="F371" t="inlineStr">
        <is>
          <t>BLEKINGE LÄN</t>
        </is>
      </c>
      <c r="G371" t="inlineStr">
        <is>
          <t>KARLSKRONA</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38401-2022</t>
        </is>
      </c>
      <c r="B372" t="inlineStr">
        <is>
          <t>avverkningsanmälan</t>
        </is>
      </c>
      <c r="C372" t="inlineStr">
        <is>
          <t>Föryngringsavverkning</t>
        </is>
      </c>
      <c r="D372" s="1" t="n">
        <v>44812</v>
      </c>
      <c r="E372" s="1" t="n">
        <v>46248</v>
      </c>
      <c r="F372" t="inlineStr">
        <is>
          <t>BLEKINGE LÄN</t>
        </is>
      </c>
      <c r="G372" t="inlineStr">
        <is>
          <t>RONNEBY</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45605-2021</t>
        </is>
      </c>
      <c r="B373" t="inlineStr">
        <is>
          <t>avverkningsanmälan</t>
        </is>
      </c>
      <c r="C373" t="inlineStr">
        <is>
          <t>Föryngringsavverkning</t>
        </is>
      </c>
      <c r="D373" s="1" t="n">
        <v>44440</v>
      </c>
      <c r="E373" s="1" t="n">
        <v>46248</v>
      </c>
      <c r="F373" t="inlineStr">
        <is>
          <t>BLEKINGE LÄN</t>
        </is>
      </c>
      <c r="G373" t="inlineStr">
        <is>
          <t>KARLSKRONA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20152-2022</t>
        </is>
      </c>
      <c r="B374" t="inlineStr">
        <is>
          <t>avverkningsanmälan</t>
        </is>
      </c>
      <c r="C374" t="inlineStr">
        <is>
          <t>Föryngringsavverkning</t>
        </is>
      </c>
      <c r="D374" s="1" t="n">
        <v>44698</v>
      </c>
      <c r="E374" s="1" t="n">
        <v>46248</v>
      </c>
      <c r="F374" t="inlineStr">
        <is>
          <t>BLEKINGE LÄN</t>
        </is>
      </c>
      <c r="G374" t="inlineStr">
        <is>
          <t>KARLSKRONA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62714-2021</t>
        </is>
      </c>
      <c r="B375" t="inlineStr">
        <is>
          <t>avverkningsanmälan</t>
        </is>
      </c>
      <c r="C375" t="inlineStr">
        <is>
          <t>Föryngringsavverkning</t>
        </is>
      </c>
      <c r="D375" s="1" t="n">
        <v>44503</v>
      </c>
      <c r="E375" s="1" t="n">
        <v>46248</v>
      </c>
      <c r="F375" t="inlineStr">
        <is>
          <t>BLEKINGE LÄN</t>
        </is>
      </c>
      <c r="G375" t="inlineStr">
        <is>
          <t>RONNEBY</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12433-2022</t>
        </is>
      </c>
      <c r="B376" t="inlineStr">
        <is>
          <t>avverkningsanmälan</t>
        </is>
      </c>
      <c r="C376" t="inlineStr">
        <is>
          <t>Föryngringsavverkning</t>
        </is>
      </c>
      <c r="D376" s="1" t="n">
        <v>44638</v>
      </c>
      <c r="E376" s="1" t="n">
        <v>46248</v>
      </c>
      <c r="F376" t="inlineStr">
        <is>
          <t>BLEKINGE LÄN</t>
        </is>
      </c>
      <c r="G376" t="inlineStr">
        <is>
          <t>RONNEBY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28338-2022</t>
        </is>
      </c>
      <c r="B377" t="inlineStr">
        <is>
          <t>avverkningsanmälan</t>
        </is>
      </c>
      <c r="C377" t="inlineStr">
        <is>
          <t>Föryngringsavverkning</t>
        </is>
      </c>
      <c r="D377" s="1" t="n">
        <v>44747</v>
      </c>
      <c r="E377" s="1" t="n">
        <v>46248</v>
      </c>
      <c r="F377" t="inlineStr">
        <is>
          <t>BLEKINGE LÄN</t>
        </is>
      </c>
      <c r="G377" t="inlineStr">
        <is>
          <t>OLOFSTRÖM</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45522-2022</t>
        </is>
      </c>
      <c r="B378" t="inlineStr">
        <is>
          <t>avverkningsanmälan</t>
        </is>
      </c>
      <c r="C378" t="inlineStr">
        <is>
          <t>Föryngringsavverkning</t>
        </is>
      </c>
      <c r="D378" s="1" t="n">
        <v>44845</v>
      </c>
      <c r="E378" s="1" t="n">
        <v>46248</v>
      </c>
      <c r="F378" t="inlineStr">
        <is>
          <t>BLEKINGE LÄN</t>
        </is>
      </c>
      <c r="G378" t="inlineStr">
        <is>
          <t>RONNEBY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52695-2021</t>
        </is>
      </c>
      <c r="B379" t="inlineStr">
        <is>
          <t>avverkningsanmälan</t>
        </is>
      </c>
      <c r="C379" t="inlineStr">
        <is>
          <t>Föryngringsavverkning</t>
        </is>
      </c>
      <c r="D379" s="1" t="n">
        <v>44466</v>
      </c>
      <c r="E379" s="1" t="n">
        <v>46248</v>
      </c>
      <c r="F379" t="inlineStr">
        <is>
          <t>BLEKINGE LÄN</t>
        </is>
      </c>
      <c r="G379" t="inlineStr">
        <is>
          <t>KARLSKRONA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59366-2021</t>
        </is>
      </c>
      <c r="B380" t="inlineStr">
        <is>
          <t>avverkningsanmälan</t>
        </is>
      </c>
      <c r="C380" t="inlineStr">
        <is>
          <t>Föryngringsavverkning</t>
        </is>
      </c>
      <c r="D380" s="1" t="n">
        <v>44491</v>
      </c>
      <c r="E380" s="1" t="n">
        <v>46248</v>
      </c>
      <c r="F380" t="inlineStr">
        <is>
          <t>BLEKINGE LÄN</t>
        </is>
      </c>
      <c r="G380" t="inlineStr">
        <is>
          <t>KARLSKRONA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59292-2021</t>
        </is>
      </c>
      <c r="B381" t="inlineStr">
        <is>
          <t>avverkningsanmälan</t>
        </is>
      </c>
      <c r="C381" t="inlineStr">
        <is>
          <t>Föryngringsavverkning</t>
        </is>
      </c>
      <c r="D381" s="1" t="n">
        <v>44490</v>
      </c>
      <c r="E381" s="1" t="n">
        <v>46248</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51503-2021</t>
        </is>
      </c>
      <c r="B382" t="inlineStr">
        <is>
          <t>avverkningsanmälan</t>
        </is>
      </c>
      <c r="C382" t="inlineStr">
        <is>
          <t>Föryngringsavverkning</t>
        </is>
      </c>
      <c r="D382" s="1" t="n">
        <v>44462</v>
      </c>
      <c r="E382" s="1" t="n">
        <v>46248</v>
      </c>
      <c r="F382" t="inlineStr">
        <is>
          <t>BLEKINGE LÄN</t>
        </is>
      </c>
      <c r="G382" t="inlineStr">
        <is>
          <t>KARLSHAMN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43570-2022</t>
        </is>
      </c>
      <c r="B383" t="inlineStr">
        <is>
          <t>avverkningsanmälan</t>
        </is>
      </c>
      <c r="C383" t="inlineStr">
        <is>
          <t>Föryngringsavverkning</t>
        </is>
      </c>
      <c r="D383" s="1" t="n">
        <v>44837</v>
      </c>
      <c r="E383" s="1" t="n">
        <v>46248</v>
      </c>
      <c r="F383" t="inlineStr">
        <is>
          <t>BLEKINGE LÄN</t>
        </is>
      </c>
      <c r="G383" t="inlineStr">
        <is>
          <t>KARLSKRONA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58816-2021</t>
        </is>
      </c>
      <c r="B384" t="inlineStr">
        <is>
          <t>avverkningsanmälan</t>
        </is>
      </c>
      <c r="C384" t="inlineStr">
        <is>
          <t>Föryngringsavverkning</t>
        </is>
      </c>
      <c r="D384" s="1" t="n">
        <v>44489</v>
      </c>
      <c r="E384" s="1" t="n">
        <v>46248</v>
      </c>
      <c r="F384" t="inlineStr">
        <is>
          <t>BLEKINGE LÄN</t>
        </is>
      </c>
      <c r="G384" t="inlineStr">
        <is>
          <t>KARLSHAMN</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51660-2022</t>
        </is>
      </c>
      <c r="B385" t="inlineStr">
        <is>
          <t>avverkningsanmälan</t>
        </is>
      </c>
      <c r="C385" t="inlineStr">
        <is>
          <t>Föryngringsavverkning</t>
        </is>
      </c>
      <c r="D385" s="1" t="n">
        <v>44872</v>
      </c>
      <c r="E385" s="1" t="n">
        <v>46248</v>
      </c>
      <c r="F385" t="inlineStr">
        <is>
          <t>BLEKINGE LÄN</t>
        </is>
      </c>
      <c r="G385" t="inlineStr">
        <is>
          <t>RONNEBY</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59839-2021</t>
        </is>
      </c>
      <c r="B386" t="inlineStr">
        <is>
          <t>avverkningsanmälan</t>
        </is>
      </c>
      <c r="C386" t="inlineStr">
        <is>
          <t>Föryngringsavverkning</t>
        </is>
      </c>
      <c r="D386" s="1" t="n">
        <v>44494</v>
      </c>
      <c r="E386" s="1" t="n">
        <v>46248</v>
      </c>
      <c r="F386" t="inlineStr">
        <is>
          <t>BLEKINGE LÄN</t>
        </is>
      </c>
      <c r="G386" t="inlineStr">
        <is>
          <t>KARLSKRONA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9520-2022</t>
        </is>
      </c>
      <c r="B387" t="inlineStr">
        <is>
          <t>avverkningsanmälan</t>
        </is>
      </c>
      <c r="C387" t="inlineStr">
        <is>
          <t>Föryngringsavverkning</t>
        </is>
      </c>
      <c r="D387" s="1" t="n">
        <v>44616</v>
      </c>
      <c r="E387" s="1" t="n">
        <v>46248</v>
      </c>
      <c r="F387" t="inlineStr">
        <is>
          <t>BLEKINGE LÄN</t>
        </is>
      </c>
      <c r="G387" t="inlineStr">
        <is>
          <t>SÖLVESBORG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18656-2022</t>
        </is>
      </c>
      <c r="B388" t="inlineStr">
        <is>
          <t>avverkningsanmälan</t>
        </is>
      </c>
      <c r="C388" t="inlineStr">
        <is>
          <t>Avverkning för annat ändamål</t>
        </is>
      </c>
      <c r="D388" s="1" t="n">
        <v>44687</v>
      </c>
      <c r="E388" s="1" t="n">
        <v>46248</v>
      </c>
      <c r="F388" t="inlineStr">
        <is>
          <t>BLEKINGE LÄN</t>
        </is>
      </c>
      <c r="G388" t="inlineStr">
        <is>
          <t>KARLSKRONA</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9966-2022</t>
        </is>
      </c>
      <c r="B389" t="inlineStr">
        <is>
          <t>avverkningsanmälan</t>
        </is>
      </c>
      <c r="C389" t="inlineStr">
        <is>
          <t>Föryngringsavverkning</t>
        </is>
      </c>
      <c r="D389" s="1" t="n">
        <v>44621</v>
      </c>
      <c r="E389" s="1" t="n">
        <v>46248</v>
      </c>
      <c r="F389" t="inlineStr">
        <is>
          <t>BLEKINGE LÄN</t>
        </is>
      </c>
      <c r="G389" t="inlineStr">
        <is>
          <t>KARLSKRONA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21484-2022</t>
        </is>
      </c>
      <c r="B390" t="inlineStr">
        <is>
          <t>avverkningsanmälan</t>
        </is>
      </c>
      <c r="C390" t="inlineStr">
        <is>
          <t>Föryngringsavverkning</t>
        </is>
      </c>
      <c r="D390" s="1" t="n">
        <v>44706</v>
      </c>
      <c r="E390" s="1" t="n">
        <v>46248</v>
      </c>
      <c r="F390" t="inlineStr">
        <is>
          <t>BLEKINGE LÄN</t>
        </is>
      </c>
      <c r="G390" t="inlineStr">
        <is>
          <t>KARLSKRONA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48703-2022</t>
        </is>
      </c>
      <c r="B391" t="inlineStr">
        <is>
          <t>avverkningsanmälan</t>
        </is>
      </c>
      <c r="C391" t="inlineStr">
        <is>
          <t>Föryngringsavverkning</t>
        </is>
      </c>
      <c r="D391" s="1" t="n">
        <v>44859</v>
      </c>
      <c r="E391" s="1" t="n">
        <v>46248</v>
      </c>
      <c r="F391" t="inlineStr">
        <is>
          <t>BLEKINGE LÄN</t>
        </is>
      </c>
      <c r="G391" t="inlineStr">
        <is>
          <t>KARLSKRONA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55126-2022</t>
        </is>
      </c>
      <c r="B392" t="inlineStr">
        <is>
          <t>avverkningsanmälan</t>
        </is>
      </c>
      <c r="C392" t="inlineStr">
        <is>
          <t>Föryngringsavverkning</t>
        </is>
      </c>
      <c r="D392" s="1" t="n">
        <v>44886</v>
      </c>
      <c r="E392" s="1" t="n">
        <v>46248</v>
      </c>
      <c r="F392" t="inlineStr">
        <is>
          <t>BLEKINGE LÄN</t>
        </is>
      </c>
      <c r="G392" t="inlineStr">
        <is>
          <t>RONNEBY</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11461-2022</t>
        </is>
      </c>
      <c r="B393" t="inlineStr">
        <is>
          <t>avverkningsanmälan</t>
        </is>
      </c>
      <c r="C393" t="inlineStr">
        <is>
          <t>Föryngringsavverkning</t>
        </is>
      </c>
      <c r="D393" s="1" t="n">
        <v>44630</v>
      </c>
      <c r="E393" s="1" t="n">
        <v>46248</v>
      </c>
      <c r="F393" t="inlineStr">
        <is>
          <t>BLEKINGE LÄN</t>
        </is>
      </c>
      <c r="G393" t="inlineStr">
        <is>
          <t>RONNEBY</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50414-2022</t>
        </is>
      </c>
      <c r="B394" t="inlineStr">
        <is>
          <t>avverkningsanmälan</t>
        </is>
      </c>
      <c r="C394" t="inlineStr">
        <is>
          <t>Föryngringsavverkning</t>
        </is>
      </c>
      <c r="D394" s="1" t="n">
        <v>44866</v>
      </c>
      <c r="E394" s="1" t="n">
        <v>46248</v>
      </c>
      <c r="F394" t="inlineStr">
        <is>
          <t>BLEKINGE LÄN</t>
        </is>
      </c>
      <c r="G394" t="inlineStr">
        <is>
          <t>OLOFSTRÖM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27474-2022</t>
        </is>
      </c>
      <c r="B395" t="inlineStr">
        <is>
          <t>avverkningsanmälan</t>
        </is>
      </c>
      <c r="C395" t="inlineStr">
        <is>
          <t>Föryngringsavverkning</t>
        </is>
      </c>
      <c r="D395" s="1" t="n">
        <v>44742</v>
      </c>
      <c r="E395" s="1" t="n">
        <v>46248</v>
      </c>
      <c r="F395" t="inlineStr">
        <is>
          <t>BLEKINGE LÄN</t>
        </is>
      </c>
      <c r="G395" t="inlineStr">
        <is>
          <t>KARLSKRONA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43813-2021</t>
        </is>
      </c>
      <c r="B396" t="inlineStr">
        <is>
          <t>avverkningsanmälan</t>
        </is>
      </c>
      <c r="C396" t="inlineStr">
        <is>
          <t>Föryngringsavverkning</t>
        </is>
      </c>
      <c r="D396" s="1" t="n">
        <v>44433</v>
      </c>
      <c r="E396" s="1" t="n">
        <v>46248</v>
      </c>
      <c r="F396" t="inlineStr">
        <is>
          <t>BLEKINGE LÄN</t>
        </is>
      </c>
      <c r="G396" t="inlineStr">
        <is>
          <t>KARLSKRONA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45587-2021</t>
        </is>
      </c>
      <c r="B397" t="inlineStr">
        <is>
          <t>avverkningsanmälan</t>
        </is>
      </c>
      <c r="C397" t="inlineStr">
        <is>
          <t>Föryngringsavverkning</t>
        </is>
      </c>
      <c r="D397" s="1" t="n">
        <v>44440</v>
      </c>
      <c r="E397" s="1" t="n">
        <v>46248</v>
      </c>
      <c r="F397" t="inlineStr">
        <is>
          <t>BLEKINGE LÄN</t>
        </is>
      </c>
      <c r="G397" t="inlineStr">
        <is>
          <t>KARLSHAMN</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45594-2021</t>
        </is>
      </c>
      <c r="B398" t="inlineStr">
        <is>
          <t>avverkningsanmälan</t>
        </is>
      </c>
      <c r="C398" t="inlineStr">
        <is>
          <t>Föryngringsavverkning</t>
        </is>
      </c>
      <c r="D398" s="1" t="n">
        <v>44440</v>
      </c>
      <c r="E398" s="1" t="n">
        <v>46248</v>
      </c>
      <c r="F398" t="inlineStr">
        <is>
          <t>BLEKINGE LÄN</t>
        </is>
      </c>
      <c r="G398" t="inlineStr">
        <is>
          <t>OLOFSTRÖM</t>
        </is>
      </c>
      <c r="H398" t="inlineStr">
        <is>
          <t>Övriga Aktiebolag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52697-2021</t>
        </is>
      </c>
      <c r="B399" t="inlineStr">
        <is>
          <t>avverkningsanmälan</t>
        </is>
      </c>
      <c r="C399" t="inlineStr">
        <is>
          <t>Föryngringsavverkning</t>
        </is>
      </c>
      <c r="D399" s="1" t="n">
        <v>44466</v>
      </c>
      <c r="E399" s="1" t="n">
        <v>46248</v>
      </c>
      <c r="F399" t="inlineStr">
        <is>
          <t>BLEKINGE LÄN</t>
        </is>
      </c>
      <c r="G399" t="inlineStr">
        <is>
          <t>KARLSKRONA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27842-2022</t>
        </is>
      </c>
      <c r="B400" t="inlineStr">
        <is>
          <t>avverkningsanmälan</t>
        </is>
      </c>
      <c r="C400" t="inlineStr">
        <is>
          <t>Föryngringsavverkning</t>
        </is>
      </c>
      <c r="D400" s="1" t="n">
        <v>44743</v>
      </c>
      <c r="E400" s="1" t="n">
        <v>46248</v>
      </c>
      <c r="F400" t="inlineStr">
        <is>
          <t>BLEKINGE LÄN</t>
        </is>
      </c>
      <c r="G400" t="inlineStr">
        <is>
          <t>KARLSKRONA</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62512-2021</t>
        </is>
      </c>
      <c r="B401" t="inlineStr">
        <is>
          <t>avverkningsanmälan</t>
        </is>
      </c>
      <c r="C401" t="inlineStr">
        <is>
          <t>Föryngringsavverkning</t>
        </is>
      </c>
      <c r="D401" s="1" t="n">
        <v>44503</v>
      </c>
      <c r="E401" s="1" t="n">
        <v>46248</v>
      </c>
      <c r="F401" t="inlineStr">
        <is>
          <t>BLEKINGE LÄN</t>
        </is>
      </c>
      <c r="G401" t="inlineStr">
        <is>
          <t>KARLSKRONA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12683-2022</t>
        </is>
      </c>
      <c r="B402" t="inlineStr">
        <is>
          <t>avverkningsanmälan</t>
        </is>
      </c>
      <c r="C402" t="inlineStr">
        <is>
          <t>Föryngringsavverkning</t>
        </is>
      </c>
      <c r="D402" s="1" t="n">
        <v>44641</v>
      </c>
      <c r="E402" s="1" t="n">
        <v>46248</v>
      </c>
      <c r="F402" t="inlineStr">
        <is>
          <t>BLEKINGE LÄN</t>
        </is>
      </c>
      <c r="G402" t="inlineStr">
        <is>
          <t>SÖLVESBORG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30525-2022</t>
        </is>
      </c>
      <c r="B403" t="inlineStr">
        <is>
          <t>avverkningsanmälan</t>
        </is>
      </c>
      <c r="C403" t="inlineStr">
        <is>
          <t>Föryngringsavverkning</t>
        </is>
      </c>
      <c r="D403" s="1" t="n">
        <v>44762</v>
      </c>
      <c r="E403" s="1" t="n">
        <v>46248</v>
      </c>
      <c r="F403" t="inlineStr">
        <is>
          <t>BLEKINGE LÄN</t>
        </is>
      </c>
      <c r="G403" t="inlineStr">
        <is>
          <t>RONNEBY</t>
        </is>
      </c>
      <c r="H403" t="inlineStr">
        <is>
          <t>Övriga Aktiebolag</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71769-2021</t>
        </is>
      </c>
      <c r="B404" t="inlineStr">
        <is>
          <t>avverkningsanmälan</t>
        </is>
      </c>
      <c r="C404" t="inlineStr">
        <is>
          <t>Föryngringsavverkning</t>
        </is>
      </c>
      <c r="D404" s="1" t="n">
        <v>44539</v>
      </c>
      <c r="E404" s="1" t="n">
        <v>46248</v>
      </c>
      <c r="F404" t="inlineStr">
        <is>
          <t>BLEKINGE LÄN</t>
        </is>
      </c>
      <c r="G404" t="inlineStr">
        <is>
          <t>RONNEBY</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58830-2021</t>
        </is>
      </c>
      <c r="B405" t="inlineStr">
        <is>
          <t>avverkningsanmälan</t>
        </is>
      </c>
      <c r="C405" t="inlineStr">
        <is>
          <t>Föryngringsavverkning</t>
        </is>
      </c>
      <c r="D405" s="1" t="n">
        <v>44489</v>
      </c>
      <c r="E405" s="1" t="n">
        <v>46248</v>
      </c>
      <c r="F405" t="inlineStr">
        <is>
          <t>BLEKINGE LÄN</t>
        </is>
      </c>
      <c r="G405" t="inlineStr">
        <is>
          <t>KARLSHAMN</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38439-2023</t>
        </is>
      </c>
      <c r="B406" t="inlineStr">
        <is>
          <t>avverkningsanmälan</t>
        </is>
      </c>
      <c r="C406" t="inlineStr">
        <is>
          <t>Föryngringsavverkning</t>
        </is>
      </c>
      <c r="D406" s="1" t="n">
        <v>45162</v>
      </c>
      <c r="E406" s="1" t="n">
        <v>46248</v>
      </c>
      <c r="F406" t="inlineStr">
        <is>
          <t>BLEKINGE LÄN</t>
        </is>
      </c>
      <c r="G406" t="inlineStr">
        <is>
          <t>OLOFSTRÖM</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59006-2022</t>
        </is>
      </c>
      <c r="B407" t="inlineStr">
        <is>
          <t>avverkningsanmälan</t>
        </is>
      </c>
      <c r="C407" t="inlineStr">
        <is>
          <t>Föryngringsavverkning</t>
        </is>
      </c>
      <c r="D407" s="1" t="n">
        <v>44903</v>
      </c>
      <c r="E407" s="1" t="n">
        <v>46248</v>
      </c>
      <c r="F407" t="inlineStr">
        <is>
          <t>BLEKINGE LÄN</t>
        </is>
      </c>
      <c r="G407" t="inlineStr">
        <is>
          <t>RONNEBY</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11644-2024</t>
        </is>
      </c>
      <c r="B408" t="inlineStr">
        <is>
          <t>avverkningsanmälan</t>
        </is>
      </c>
      <c r="C408" t="inlineStr">
        <is>
          <t>Föryngringsavverkning</t>
        </is>
      </c>
      <c r="D408" s="1" t="n">
        <v>45373</v>
      </c>
      <c r="E408" s="1" t="n">
        <v>46248</v>
      </c>
      <c r="F408" t="inlineStr">
        <is>
          <t>BLEKINGE LÄN</t>
        </is>
      </c>
      <c r="G408" t="inlineStr">
        <is>
          <t>KARLSKRONA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3650-2022</t>
        </is>
      </c>
      <c r="B409" t="inlineStr">
        <is>
          <t>avverkningsanmälan</t>
        </is>
      </c>
      <c r="C409" t="inlineStr">
        <is>
          <t>Föryngringsavverkning</t>
        </is>
      </c>
      <c r="D409" s="1" t="n">
        <v>44586</v>
      </c>
      <c r="E409" s="1" t="n">
        <v>46248</v>
      </c>
      <c r="F409" t="inlineStr">
        <is>
          <t>BLEKINGE LÄN</t>
        </is>
      </c>
      <c r="G409" t="inlineStr">
        <is>
          <t>RONNEBY</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22012-2022</t>
        </is>
      </c>
      <c r="B410" t="inlineStr">
        <is>
          <t>avverkningsanmälan</t>
        </is>
      </c>
      <c r="C410" t="inlineStr">
        <is>
          <t>Föryngringsavverkning</t>
        </is>
      </c>
      <c r="D410" s="1" t="n">
        <v>44711</v>
      </c>
      <c r="E410" s="1" t="n">
        <v>46248</v>
      </c>
      <c r="F410" t="inlineStr">
        <is>
          <t>BLEKINGE LÄN</t>
        </is>
      </c>
      <c r="G410" t="inlineStr">
        <is>
          <t>KARLSKRONA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49740-2021</t>
        </is>
      </c>
      <c r="B411" t="inlineStr">
        <is>
          <t>avverkningsanmälan</t>
        </is>
      </c>
      <c r="C411" t="inlineStr">
        <is>
          <t>Föryngringsavverkning</t>
        </is>
      </c>
      <c r="D411" s="1" t="n">
        <v>44455</v>
      </c>
      <c r="E411" s="1" t="n">
        <v>46248</v>
      </c>
      <c r="F411" t="inlineStr">
        <is>
          <t>BLEKINGE LÄN</t>
        </is>
      </c>
      <c r="G411" t="inlineStr">
        <is>
          <t>RONNEBY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53045-2021</t>
        </is>
      </c>
      <c r="B412" t="inlineStr">
        <is>
          <t>avverkningsanmälan</t>
        </is>
      </c>
      <c r="C412" t="inlineStr">
        <is>
          <t>Föryngringsavverkning</t>
        </is>
      </c>
      <c r="D412" s="1" t="n">
        <v>44467</v>
      </c>
      <c r="E412" s="1" t="n">
        <v>46248</v>
      </c>
      <c r="F412" t="inlineStr">
        <is>
          <t>BLEKINGE LÄN</t>
        </is>
      </c>
      <c r="G412" t="inlineStr">
        <is>
          <t>KARLSKRONA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60644-2021</t>
        </is>
      </c>
      <c r="B413" t="inlineStr">
        <is>
          <t>avverkningsanmälan</t>
        </is>
      </c>
      <c r="C413" t="inlineStr">
        <is>
          <t>Föryngringsavverkning</t>
        </is>
      </c>
      <c r="D413" s="1" t="n">
        <v>44496</v>
      </c>
      <c r="E413" s="1" t="n">
        <v>46248</v>
      </c>
      <c r="F413" t="inlineStr">
        <is>
          <t>BLEKINGE LÄN</t>
        </is>
      </c>
      <c r="G413" t="inlineStr">
        <is>
          <t>OLOFSTRÖM</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4806-2022</t>
        </is>
      </c>
      <c r="B414" t="inlineStr">
        <is>
          <t>avverkningsanmälan</t>
        </is>
      </c>
      <c r="C414" t="inlineStr">
        <is>
          <t>Föryngringsavverkning</t>
        </is>
      </c>
      <c r="D414" s="1" t="n">
        <v>44592</v>
      </c>
      <c r="E414" s="1" t="n">
        <v>46248</v>
      </c>
      <c r="F414" t="inlineStr">
        <is>
          <t>BLEKINGE LÄN</t>
        </is>
      </c>
      <c r="G414" t="inlineStr">
        <is>
          <t>KARLSKRONA</t>
        </is>
      </c>
      <c r="H414" t="inlineStr">
        <is>
          <t>Kommuner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22540-2022</t>
        </is>
      </c>
      <c r="B415" t="inlineStr">
        <is>
          <t>avverkningsanmälan</t>
        </is>
      </c>
      <c r="C415" t="inlineStr">
        <is>
          <t>Föryngringsavverkning</t>
        </is>
      </c>
      <c r="D415" s="1" t="n">
        <v>44713</v>
      </c>
      <c r="E415" s="1" t="n">
        <v>46248</v>
      </c>
      <c r="F415" t="inlineStr">
        <is>
          <t>BLEKINGE LÄN</t>
        </is>
      </c>
      <c r="G415" t="inlineStr">
        <is>
          <t>RONNEBY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67973-2021</t>
        </is>
      </c>
      <c r="B416" t="inlineStr">
        <is>
          <t>avverkningsanmälan</t>
        </is>
      </c>
      <c r="C416" t="inlineStr">
        <is>
          <t>Föryngringsavverkning</t>
        </is>
      </c>
      <c r="D416" s="1" t="n">
        <v>44525</v>
      </c>
      <c r="E416" s="1" t="n">
        <v>46248</v>
      </c>
      <c r="F416" t="inlineStr">
        <is>
          <t>BLEKINGE LÄN</t>
        </is>
      </c>
      <c r="G416" t="inlineStr">
        <is>
          <t>KARLSHAMN</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68165-2021</t>
        </is>
      </c>
      <c r="B417" t="inlineStr">
        <is>
          <t>avverkningsanmälan</t>
        </is>
      </c>
      <c r="C417" t="inlineStr">
        <is>
          <t>Föryngringsavverkning</t>
        </is>
      </c>
      <c r="D417" s="1" t="n">
        <v>44526</v>
      </c>
      <c r="E417" s="1" t="n">
        <v>46248</v>
      </c>
      <c r="F417" t="inlineStr">
        <is>
          <t>BLEKINGE LÄN</t>
        </is>
      </c>
      <c r="G417" t="inlineStr">
        <is>
          <t>KARLSHAMN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16639-2022</t>
        </is>
      </c>
      <c r="B418" t="inlineStr">
        <is>
          <t>avverkningsanmälan</t>
        </is>
      </c>
      <c r="C418" t="inlineStr">
        <is>
          <t>Föryngringsavverkning</t>
        </is>
      </c>
      <c r="D418" s="1" t="n">
        <v>44672</v>
      </c>
      <c r="E418" s="1" t="n">
        <v>46248</v>
      </c>
      <c r="F418" t="inlineStr">
        <is>
          <t>BLEKINGE LÄN</t>
        </is>
      </c>
      <c r="G418" t="inlineStr">
        <is>
          <t>KARLSKRONA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18492-2022</t>
        </is>
      </c>
      <c r="B419" t="inlineStr">
        <is>
          <t>avverkningsanmälan</t>
        </is>
      </c>
      <c r="C419" t="inlineStr">
        <is>
          <t>Avverkning för att bevara och utveckla /försöksver</t>
        </is>
      </c>
      <c r="D419" s="1" t="n">
        <v>44686</v>
      </c>
      <c r="E419" s="1" t="n">
        <v>46248</v>
      </c>
      <c r="F419" t="inlineStr">
        <is>
          <t>BLEKINGE LÄN</t>
        </is>
      </c>
      <c r="G419" t="inlineStr">
        <is>
          <t>OLOFSTRÖM</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49706-2021</t>
        </is>
      </c>
      <c r="B420" t="inlineStr">
        <is>
          <t>avverkningsanmälan</t>
        </is>
      </c>
      <c r="C420" t="inlineStr">
        <is>
          <t>Föryngringsavverkning</t>
        </is>
      </c>
      <c r="D420" s="1" t="n">
        <v>44455</v>
      </c>
      <c r="E420" s="1" t="n">
        <v>46248</v>
      </c>
      <c r="F420" t="inlineStr">
        <is>
          <t>BLEKINGE LÄN</t>
        </is>
      </c>
      <c r="G420" t="inlineStr">
        <is>
          <t>OLOFSTRÖM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57995-2021</t>
        </is>
      </c>
      <c r="B421" t="inlineStr">
        <is>
          <t>avverkningsanmälan</t>
        </is>
      </c>
      <c r="C421" t="inlineStr">
        <is>
          <t>Föryngringsavverkning</t>
        </is>
      </c>
      <c r="D421" s="1" t="n">
        <v>44487</v>
      </c>
      <c r="E421" s="1" t="n">
        <v>46248</v>
      </c>
      <c r="F421" t="inlineStr">
        <is>
          <t>BLEKINGE LÄN</t>
        </is>
      </c>
      <c r="G421" t="inlineStr">
        <is>
          <t>KARLSHAMN</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12281-2022</t>
        </is>
      </c>
      <c r="B422" t="inlineStr">
        <is>
          <t>avverkningsanmälan</t>
        </is>
      </c>
      <c r="C422" t="inlineStr">
        <is>
          <t>Föryngringsavverkning</t>
        </is>
      </c>
      <c r="D422" s="1" t="n">
        <v>44637</v>
      </c>
      <c r="E422" s="1" t="n">
        <v>46248</v>
      </c>
      <c r="F422" t="inlineStr">
        <is>
          <t>BLEKINGE LÄN</t>
        </is>
      </c>
      <c r="G422" t="inlineStr">
        <is>
          <t>RONNEBY</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19645-2023</t>
        </is>
      </c>
      <c r="B423" t="inlineStr">
        <is>
          <t>avverkningsanmälan</t>
        </is>
      </c>
      <c r="C423" t="inlineStr">
        <is>
          <t>Föryngringsavverkning</t>
        </is>
      </c>
      <c r="D423" s="1" t="n">
        <v>45051</v>
      </c>
      <c r="E423" s="1" t="n">
        <v>46248</v>
      </c>
      <c r="F423" t="inlineStr">
        <is>
          <t>BLEKINGE LÄN</t>
        </is>
      </c>
      <c r="G423" t="inlineStr">
        <is>
          <t>KARLSKRONA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5714-2022</t>
        </is>
      </c>
      <c r="B424" t="inlineStr">
        <is>
          <t>avverkningsanmälan</t>
        </is>
      </c>
      <c r="C424" t="inlineStr">
        <is>
          <t>Föryngringsavverkning</t>
        </is>
      </c>
      <c r="D424" s="1" t="n">
        <v>44596</v>
      </c>
      <c r="E424" s="1" t="n">
        <v>46248</v>
      </c>
      <c r="F424" t="inlineStr">
        <is>
          <t>BLEKINGE LÄN</t>
        </is>
      </c>
      <c r="G424" t="inlineStr">
        <is>
          <t>KARLSKRONA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49653-2021</t>
        </is>
      </c>
      <c r="B425" t="inlineStr">
        <is>
          <t>avverkningsanmälan</t>
        </is>
      </c>
      <c r="C425" t="inlineStr">
        <is>
          <t>Föryngringsavverkning</t>
        </is>
      </c>
      <c r="D425" s="1" t="n">
        <v>44455</v>
      </c>
      <c r="E425" s="1" t="n">
        <v>46248</v>
      </c>
      <c r="F425" t="inlineStr">
        <is>
          <t>BLEKINGE LÄN</t>
        </is>
      </c>
      <c r="G425" t="inlineStr">
        <is>
          <t>RONNEBY</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36667-2022</t>
        </is>
      </c>
      <c r="B426" t="inlineStr">
        <is>
          <t>avverkningsanmälan</t>
        </is>
      </c>
      <c r="C426" t="inlineStr">
        <is>
          <t>Föryngringsavverkning</t>
        </is>
      </c>
      <c r="D426" s="1" t="n">
        <v>44804</v>
      </c>
      <c r="E426" s="1" t="n">
        <v>46248</v>
      </c>
      <c r="F426" t="inlineStr">
        <is>
          <t>BLEKINGE LÄN</t>
        </is>
      </c>
      <c r="G426" t="inlineStr">
        <is>
          <t>KARLSKRONA</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45212-2021</t>
        </is>
      </c>
      <c r="B427" t="inlineStr">
        <is>
          <t>avverkningsanmälan</t>
        </is>
      </c>
      <c r="C427" t="inlineStr">
        <is>
          <t>Föryngringsavverkning</t>
        </is>
      </c>
      <c r="D427" s="1" t="n">
        <v>44439</v>
      </c>
      <c r="E427" s="1" t="n">
        <v>46248</v>
      </c>
      <c r="F427" t="inlineStr">
        <is>
          <t>BLEKINGE LÄN</t>
        </is>
      </c>
      <c r="G427" t="inlineStr">
        <is>
          <t>KARLSKRONA</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24474-2024</t>
        </is>
      </c>
      <c r="B428" t="inlineStr">
        <is>
          <t>avverkningsanmälan</t>
        </is>
      </c>
      <c r="C428" t="inlineStr">
        <is>
          <t>Föryngringsavverkning</t>
        </is>
      </c>
      <c r="D428" s="1" t="n">
        <v>45458</v>
      </c>
      <c r="E428" s="1" t="n">
        <v>46248</v>
      </c>
      <c r="F428" t="inlineStr">
        <is>
          <t>BLEKINGE LÄN</t>
        </is>
      </c>
      <c r="G428" t="inlineStr">
        <is>
          <t>KARLSKRONA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40284-2023</t>
        </is>
      </c>
      <c r="B429" t="inlineStr">
        <is>
          <t>avverkningsanmälan</t>
        </is>
      </c>
      <c r="C429" t="inlineStr">
        <is>
          <t>Föryngringsavverkning</t>
        </is>
      </c>
      <c r="D429" s="1" t="n">
        <v>45169</v>
      </c>
      <c r="E429" s="1" t="n">
        <v>46248</v>
      </c>
      <c r="F429" t="inlineStr">
        <is>
          <t>BLEKINGE LÄN</t>
        </is>
      </c>
      <c r="G429" t="inlineStr">
        <is>
          <t>OLOFSTRÖM</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46461-2021</t>
        </is>
      </c>
      <c r="B430" t="inlineStr">
        <is>
          <t>avverkningsanmälan</t>
        </is>
      </c>
      <c r="C430" t="inlineStr">
        <is>
          <t>Föryngringsavverkning</t>
        </is>
      </c>
      <c r="D430" s="1" t="n">
        <v>44445</v>
      </c>
      <c r="E430" s="1" t="n">
        <v>46248</v>
      </c>
      <c r="F430" t="inlineStr">
        <is>
          <t>BLEKINGE LÄN</t>
        </is>
      </c>
      <c r="G430" t="inlineStr">
        <is>
          <t>RONNEBY</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57796-2021</t>
        </is>
      </c>
      <c r="B431" t="inlineStr">
        <is>
          <t>avverkningsanmälan</t>
        </is>
      </c>
      <c r="C431" t="inlineStr">
        <is>
          <t>Föryngringsavverkning</t>
        </is>
      </c>
      <c r="D431" s="1" t="n">
        <v>44484</v>
      </c>
      <c r="E431" s="1" t="n">
        <v>46248</v>
      </c>
      <c r="F431" t="inlineStr">
        <is>
          <t>BLEKINGE LÄN</t>
        </is>
      </c>
      <c r="G431" t="inlineStr">
        <is>
          <t>KARLSHAMN</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7875-2022</t>
        </is>
      </c>
      <c r="B432" t="inlineStr">
        <is>
          <t>avverkningsanmälan</t>
        </is>
      </c>
      <c r="C432" t="inlineStr">
        <is>
          <t>Föryngringsavverkning</t>
        </is>
      </c>
      <c r="D432" s="1" t="n">
        <v>44608</v>
      </c>
      <c r="E432" s="1" t="n">
        <v>46248</v>
      </c>
      <c r="F432" t="inlineStr">
        <is>
          <t>BLEKINGE LÄN</t>
        </is>
      </c>
      <c r="G432" t="inlineStr">
        <is>
          <t>KARLSKRONA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17070-2024</t>
        </is>
      </c>
      <c r="B433" t="inlineStr">
        <is>
          <t>avverkningsanmälan</t>
        </is>
      </c>
      <c r="C433" t="inlineStr">
        <is>
          <t>Föryngringsavverkning</t>
        </is>
      </c>
      <c r="D433" s="1" t="n">
        <v>45412</v>
      </c>
      <c r="E433" s="1" t="n">
        <v>46248</v>
      </c>
      <c r="F433" t="inlineStr">
        <is>
          <t>BLEKINGE LÄN</t>
        </is>
      </c>
      <c r="G433" t="inlineStr">
        <is>
          <t>KARLSHAMN</t>
        </is>
      </c>
      <c r="H433" t="inlineStr">
        <is>
          <t>Kyrkan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15241-2023</t>
        </is>
      </c>
      <c r="B434" t="inlineStr">
        <is>
          <t>avverkningsanmälan</t>
        </is>
      </c>
      <c r="C434" t="inlineStr">
        <is>
          <t>Föryngringsavverkning</t>
        </is>
      </c>
      <c r="D434" s="1" t="n">
        <v>45019</v>
      </c>
      <c r="E434" s="1" t="n">
        <v>46248</v>
      </c>
      <c r="F434" t="inlineStr">
        <is>
          <t>BLEKINGE LÄN</t>
        </is>
      </c>
      <c r="G434" t="inlineStr">
        <is>
          <t>KARLSKRONA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49941-2023</t>
        </is>
      </c>
      <c r="B435" t="inlineStr">
        <is>
          <t>avverkningsanmälan</t>
        </is>
      </c>
      <c r="C435" t="inlineStr">
        <is>
          <t>Föryngringsavverkning</t>
        </is>
      </c>
      <c r="D435" s="1" t="n">
        <v>45215</v>
      </c>
      <c r="E435" s="1" t="n">
        <v>46248</v>
      </c>
      <c r="F435" t="inlineStr">
        <is>
          <t>BLEKINGE LÄN</t>
        </is>
      </c>
      <c r="G435" t="inlineStr">
        <is>
          <t>KARLSKRONA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8834-2022</t>
        </is>
      </c>
      <c r="B436" t="inlineStr">
        <is>
          <t>avverkningsanmälan</t>
        </is>
      </c>
      <c r="C436" t="inlineStr">
        <is>
          <t>Föryngringsavverkning</t>
        </is>
      </c>
      <c r="D436" s="1" t="n">
        <v>44614</v>
      </c>
      <c r="E436" s="1" t="n">
        <v>46248</v>
      </c>
      <c r="F436" t="inlineStr">
        <is>
          <t>BLEKINGE LÄN</t>
        </is>
      </c>
      <c r="G436" t="inlineStr">
        <is>
          <t>KARLSKRONA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1601-2023</t>
        </is>
      </c>
      <c r="B437" t="inlineStr">
        <is>
          <t>avverkningsanmälan</t>
        </is>
      </c>
      <c r="C437" t="inlineStr">
        <is>
          <t>Föryngringsavverkning</t>
        </is>
      </c>
      <c r="D437" s="1" t="n">
        <v>44937</v>
      </c>
      <c r="E437" s="1" t="n">
        <v>46248</v>
      </c>
      <c r="F437" t="inlineStr">
        <is>
          <t>BLEKINGE LÄN</t>
        </is>
      </c>
      <c r="G437" t="inlineStr">
        <is>
          <t>KARLSKRONA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38526-2023</t>
        </is>
      </c>
      <c r="B438" t="inlineStr">
        <is>
          <t>avverkningsanmälan</t>
        </is>
      </c>
      <c r="C438" t="inlineStr">
        <is>
          <t>Föryngringsavverkning</t>
        </is>
      </c>
      <c r="D438" s="1" t="n">
        <v>45162</v>
      </c>
      <c r="E438" s="1" t="n">
        <v>46248</v>
      </c>
      <c r="F438" t="inlineStr">
        <is>
          <t>BLEKINGE LÄN</t>
        </is>
      </c>
      <c r="G438" t="inlineStr">
        <is>
          <t>KARLSKRONA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8321-2022</t>
        </is>
      </c>
      <c r="B439" t="inlineStr">
        <is>
          <t>avverkningsanmälan</t>
        </is>
      </c>
      <c r="C439" t="inlineStr">
        <is>
          <t>Föryngringsavverkning</t>
        </is>
      </c>
      <c r="D439" s="1" t="n">
        <v>44610</v>
      </c>
      <c r="E439" s="1" t="n">
        <v>46248</v>
      </c>
      <c r="F439" t="inlineStr">
        <is>
          <t>BLEKINGE LÄN</t>
        </is>
      </c>
      <c r="G439" t="inlineStr">
        <is>
          <t>OLOFSTRÖM</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19745-2023</t>
        </is>
      </c>
      <c r="B440" t="inlineStr">
        <is>
          <t>avverkningsanmälan</t>
        </is>
      </c>
      <c r="C440" t="inlineStr">
        <is>
          <t>Föryngringsavverkning</t>
        </is>
      </c>
      <c r="D440" s="1" t="n">
        <v>45051</v>
      </c>
      <c r="E440" s="1" t="n">
        <v>46248</v>
      </c>
      <c r="F440" t="inlineStr">
        <is>
          <t>BLEKINGE LÄN</t>
        </is>
      </c>
      <c r="G440" t="inlineStr">
        <is>
          <t>KARLSHAMN</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19747-2023</t>
        </is>
      </c>
      <c r="B441" t="inlineStr">
        <is>
          <t>avverkningsanmälan</t>
        </is>
      </c>
      <c r="C441" t="inlineStr">
        <is>
          <t>Föryngringsavverkning</t>
        </is>
      </c>
      <c r="D441" s="1" t="n">
        <v>45051</v>
      </c>
      <c r="E441" s="1" t="n">
        <v>46248</v>
      </c>
      <c r="F441" t="inlineStr">
        <is>
          <t>BLEKINGE LÄN</t>
        </is>
      </c>
      <c r="G441" t="inlineStr">
        <is>
          <t>KARLSHAMN</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4735-2022</t>
        </is>
      </c>
      <c r="B442" t="inlineStr">
        <is>
          <t>avverkningsanmälan</t>
        </is>
      </c>
      <c r="C442" t="inlineStr">
        <is>
          <t>Föryngringsavverkning</t>
        </is>
      </c>
      <c r="D442" s="1" t="n">
        <v>44592</v>
      </c>
      <c r="E442" s="1" t="n">
        <v>46248</v>
      </c>
      <c r="F442" t="inlineStr">
        <is>
          <t>BLEKINGE LÄN</t>
        </is>
      </c>
      <c r="G442" t="inlineStr">
        <is>
          <t>OLOFSTRÖM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2325-2025</t>
        </is>
      </c>
      <c r="B443" t="inlineStr">
        <is>
          <t>avverkningsanmälan</t>
        </is>
      </c>
      <c r="C443" t="inlineStr">
        <is>
          <t>Föryngringsavverkning</t>
        </is>
      </c>
      <c r="D443" s="1" t="n">
        <v>45673</v>
      </c>
      <c r="E443" s="1" t="n">
        <v>46248</v>
      </c>
      <c r="F443" t="inlineStr">
        <is>
          <t>BLEKINGE LÄN</t>
        </is>
      </c>
      <c r="G443" t="inlineStr">
        <is>
          <t>SÖLVESBORG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22748-2024</t>
        </is>
      </c>
      <c r="B444" t="inlineStr">
        <is>
          <t>avverkningsanmälan</t>
        </is>
      </c>
      <c r="C444" t="inlineStr">
        <is>
          <t>Föryngringsavverkning</t>
        </is>
      </c>
      <c r="D444" s="1" t="n">
        <v>45448</v>
      </c>
      <c r="E444" s="1" t="n">
        <v>46248</v>
      </c>
      <c r="F444" t="inlineStr">
        <is>
          <t>BLEKINGE LÄN</t>
        </is>
      </c>
      <c r="G444" t="inlineStr">
        <is>
          <t>KARLSHAMN</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14648-2023</t>
        </is>
      </c>
      <c r="B445" t="inlineStr">
        <is>
          <t>avverkningsanmälan</t>
        </is>
      </c>
      <c r="C445" t="inlineStr">
        <is>
          <t>Föryngringsavverkning</t>
        </is>
      </c>
      <c r="D445" s="1" t="n">
        <v>45013</v>
      </c>
      <c r="E445" s="1" t="n">
        <v>46248</v>
      </c>
      <c r="F445" t="inlineStr">
        <is>
          <t>BLEKINGE LÄN</t>
        </is>
      </c>
      <c r="G445" t="inlineStr">
        <is>
          <t>KARLSKRONA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39228-2023</t>
        </is>
      </c>
      <c r="B446" t="inlineStr">
        <is>
          <t>avverkningsanmälan</t>
        </is>
      </c>
      <c r="C446" t="inlineStr">
        <is>
          <t>Föryngringsavverkning</t>
        </is>
      </c>
      <c r="D446" s="1" t="n">
        <v>45166</v>
      </c>
      <c r="E446" s="1" t="n">
        <v>46248</v>
      </c>
      <c r="F446" t="inlineStr">
        <is>
          <t>BLEKINGE LÄN</t>
        </is>
      </c>
      <c r="G446" t="inlineStr">
        <is>
          <t>KARLSKRONA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3203-2022</t>
        </is>
      </c>
      <c r="B447" t="inlineStr">
        <is>
          <t>avverkningsanmälan</t>
        </is>
      </c>
      <c r="C447" t="inlineStr">
        <is>
          <t>Föryngringsavverkning</t>
        </is>
      </c>
      <c r="D447" s="1" t="n">
        <v>44582</v>
      </c>
      <c r="E447" s="1" t="n">
        <v>46248</v>
      </c>
      <c r="F447" t="inlineStr">
        <is>
          <t>BLEKINGE LÄN</t>
        </is>
      </c>
      <c r="G447" t="inlineStr">
        <is>
          <t>OLOFSTRÖM</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687-2022</t>
        </is>
      </c>
      <c r="B448" t="inlineStr">
        <is>
          <t>avverkningsanmälan</t>
        </is>
      </c>
      <c r="C448" t="inlineStr">
        <is>
          <t>Föryngringsavverkning</t>
        </is>
      </c>
      <c r="D448" s="1" t="n">
        <v>44568</v>
      </c>
      <c r="E448" s="1" t="n">
        <v>46248</v>
      </c>
      <c r="F448" t="inlineStr">
        <is>
          <t>BLEKINGE LÄN</t>
        </is>
      </c>
      <c r="G448" t="inlineStr">
        <is>
          <t>KARLSHAMN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2300-2023</t>
        </is>
      </c>
      <c r="B449" t="inlineStr">
        <is>
          <t>avverkningsanmälan</t>
        </is>
      </c>
      <c r="C449" t="inlineStr">
        <is>
          <t>Föryngringsavverkning</t>
        </is>
      </c>
      <c r="D449" s="1" t="n">
        <v>44942</v>
      </c>
      <c r="E449" s="1" t="n">
        <v>46248</v>
      </c>
      <c r="F449" t="inlineStr">
        <is>
          <t>BLEKINGE LÄN</t>
        </is>
      </c>
      <c r="G449" t="inlineStr">
        <is>
          <t>OLOFSTRÖM</t>
        </is>
      </c>
      <c r="H449" t="inlineStr">
        <is>
          <t>Kommuner</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1036-2022</t>
        </is>
      </c>
      <c r="B450" t="inlineStr">
        <is>
          <t>avverkningsanmälan</t>
        </is>
      </c>
      <c r="C450" t="inlineStr">
        <is>
          <t>Föryngringsavverkning</t>
        </is>
      </c>
      <c r="D450" s="1" t="n">
        <v>44571</v>
      </c>
      <c r="E450" s="1" t="n">
        <v>46248</v>
      </c>
      <c r="F450" t="inlineStr">
        <is>
          <t>BLEKINGE LÄN</t>
        </is>
      </c>
      <c r="G450" t="inlineStr">
        <is>
          <t>KARLSHAMN</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12030-2022</t>
        </is>
      </c>
      <c r="B451" t="inlineStr">
        <is>
          <t>avverkningsanmälan</t>
        </is>
      </c>
      <c r="C451" t="inlineStr">
        <is>
          <t>Föryngringsavverkning</t>
        </is>
      </c>
      <c r="D451" s="1" t="n">
        <v>44636</v>
      </c>
      <c r="E451" s="1" t="n">
        <v>46248</v>
      </c>
      <c r="F451" t="inlineStr">
        <is>
          <t>BLEKINGE LÄN</t>
        </is>
      </c>
      <c r="G451" t="inlineStr">
        <is>
          <t>KARLSKRONA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12572-2025</t>
        </is>
      </c>
      <c r="B452" t="inlineStr">
        <is>
          <t>avverkningsanmälan</t>
        </is>
      </c>
      <c r="C452" t="inlineStr">
        <is>
          <t>Föryngringsavverkning</t>
        </is>
      </c>
      <c r="D452" s="1" t="n">
        <v>45732</v>
      </c>
      <c r="E452" s="1" t="n">
        <v>46248</v>
      </c>
      <c r="F452" t="inlineStr">
        <is>
          <t>BLEKINGE LÄN</t>
        </is>
      </c>
      <c r="G452" t="inlineStr">
        <is>
          <t>KARLSHAMN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39882-2023</t>
        </is>
      </c>
      <c r="B453" t="inlineStr">
        <is>
          <t>avverkningsanmälan</t>
        </is>
      </c>
      <c r="C453" t="inlineStr">
        <is>
          <t>Föryngringsavverkning</t>
        </is>
      </c>
      <c r="D453" s="1" t="n">
        <v>45166</v>
      </c>
      <c r="E453" s="1" t="n">
        <v>46248</v>
      </c>
      <c r="F453" t="inlineStr">
        <is>
          <t>BLEKINGE LÄN</t>
        </is>
      </c>
      <c r="G453" t="inlineStr">
        <is>
          <t>OLOFSTRÖM</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14893-2025</t>
        </is>
      </c>
      <c r="B454" t="inlineStr">
        <is>
          <t>avverkningsanmälan</t>
        </is>
      </c>
      <c r="C454" t="inlineStr">
        <is>
          <t>Föryngringsavverkning</t>
        </is>
      </c>
      <c r="D454" s="1" t="n">
        <v>45743</v>
      </c>
      <c r="E454" s="1" t="n">
        <v>46248</v>
      </c>
      <c r="F454" t="inlineStr">
        <is>
          <t>BLEKINGE LÄN</t>
        </is>
      </c>
      <c r="G454" t="inlineStr">
        <is>
          <t>RONNEBY</t>
        </is>
      </c>
      <c r="H454" t="inlineStr">
        <is>
          <t>Kommuner</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32076-2022</t>
        </is>
      </c>
      <c r="B455" t="inlineStr">
        <is>
          <t>avverkningsanmälan</t>
        </is>
      </c>
      <c r="C455" t="inlineStr">
        <is>
          <t>Föryngringsavverkning</t>
        </is>
      </c>
      <c r="D455" s="1" t="n">
        <v>44778</v>
      </c>
      <c r="E455" s="1" t="n">
        <v>46248</v>
      </c>
      <c r="F455" t="inlineStr">
        <is>
          <t>BLEKINGE LÄN</t>
        </is>
      </c>
      <c r="G455" t="inlineStr">
        <is>
          <t>RONNEBY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6852-2024</t>
        </is>
      </c>
      <c r="B456" t="inlineStr">
        <is>
          <t>avverkningsanmälan</t>
        </is>
      </c>
      <c r="C456" t="inlineStr">
        <is>
          <t>Föryngringsavverkning</t>
        </is>
      </c>
      <c r="D456" s="1" t="n">
        <v>45342</v>
      </c>
      <c r="E456" s="1" t="n">
        <v>46248</v>
      </c>
      <c r="F456" t="inlineStr">
        <is>
          <t>BLEKINGE LÄN</t>
        </is>
      </c>
      <c r="G456" t="inlineStr">
        <is>
          <t>KARLSKRONA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3735-2023</t>
        </is>
      </c>
      <c r="B457" t="inlineStr">
        <is>
          <t>avverkningsanmälan</t>
        </is>
      </c>
      <c r="C457" t="inlineStr">
        <is>
          <t>Föryngringsavverkning</t>
        </is>
      </c>
      <c r="D457" s="1" t="n">
        <v>44951</v>
      </c>
      <c r="E457" s="1" t="n">
        <v>46248</v>
      </c>
      <c r="F457" t="inlineStr">
        <is>
          <t>BLEKINGE LÄN</t>
        </is>
      </c>
      <c r="G457" t="inlineStr">
        <is>
          <t>OLOFSTRÖM</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9745-2024</t>
        </is>
      </c>
      <c r="B458" t="inlineStr">
        <is>
          <t>avverkningsanmälan</t>
        </is>
      </c>
      <c r="C458" t="inlineStr">
        <is>
          <t>Föryngringsavverkning</t>
        </is>
      </c>
      <c r="D458" s="1" t="n">
        <v>45362</v>
      </c>
      <c r="E458" s="1" t="n">
        <v>46248</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7997-2025</t>
        </is>
      </c>
      <c r="B459" t="inlineStr">
        <is>
          <t>avverkningsanmälan</t>
        </is>
      </c>
      <c r="C459" t="inlineStr">
        <is>
          <t>Föryngringsavverkning</t>
        </is>
      </c>
      <c r="D459" s="1" t="n">
        <v>45707</v>
      </c>
      <c r="E459" s="1" t="n">
        <v>46248</v>
      </c>
      <c r="F459" t="inlineStr">
        <is>
          <t>BLEKINGE LÄN</t>
        </is>
      </c>
      <c r="G459" t="inlineStr">
        <is>
          <t>KARLSKRONA</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8043-2025</t>
        </is>
      </c>
      <c r="B460" t="inlineStr">
        <is>
          <t>avverkningsanmälan</t>
        </is>
      </c>
      <c r="C460" t="inlineStr">
        <is>
          <t>Föryngringsavverkning</t>
        </is>
      </c>
      <c r="D460" s="1" t="n">
        <v>45707</v>
      </c>
      <c r="E460" s="1" t="n">
        <v>46248</v>
      </c>
      <c r="F460" t="inlineStr">
        <is>
          <t>BLEKINGE LÄN</t>
        </is>
      </c>
      <c r="G460" t="inlineStr">
        <is>
          <t>OLOFSTRÖM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24629-2024</t>
        </is>
      </c>
      <c r="B461" t="inlineStr">
        <is>
          <t>avverkningsanmälan</t>
        </is>
      </c>
      <c r="C461" t="inlineStr">
        <is>
          <t>Föryngringsavverkning</t>
        </is>
      </c>
      <c r="D461" s="1" t="n">
        <v>45460</v>
      </c>
      <c r="E461" s="1" t="n">
        <v>46248</v>
      </c>
      <c r="F461" t="inlineStr">
        <is>
          <t>BLEKINGE LÄN</t>
        </is>
      </c>
      <c r="G461" t="inlineStr">
        <is>
          <t>RONNEBY</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59840-2021</t>
        </is>
      </c>
      <c r="B462" t="inlineStr">
        <is>
          <t>avverkningsanmälan</t>
        </is>
      </c>
      <c r="C462" t="inlineStr">
        <is>
          <t>Föryngringsavverkning</t>
        </is>
      </c>
      <c r="D462" s="1" t="n">
        <v>44494</v>
      </c>
      <c r="E462" s="1" t="n">
        <v>46248</v>
      </c>
      <c r="F462" t="inlineStr">
        <is>
          <t>BLEKINGE LÄN</t>
        </is>
      </c>
      <c r="G462" t="inlineStr">
        <is>
          <t>RONNEBY</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24482-2023</t>
        </is>
      </c>
      <c r="B463" t="inlineStr">
        <is>
          <t>avverkningsanmälan</t>
        </is>
      </c>
      <c r="C463" t="inlineStr">
        <is>
          <t>Föryngringsavverkning</t>
        </is>
      </c>
      <c r="D463" s="1" t="n">
        <v>45082</v>
      </c>
      <c r="E463" s="1" t="n">
        <v>46248</v>
      </c>
      <c r="F463" t="inlineStr">
        <is>
          <t>BLEKINGE LÄN</t>
        </is>
      </c>
      <c r="G463" t="inlineStr">
        <is>
          <t>KARLSKRONA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38212-2022</t>
        </is>
      </c>
      <c r="B464" t="inlineStr">
        <is>
          <t>avverkningsanmälan</t>
        </is>
      </c>
      <c r="C464" t="inlineStr">
        <is>
          <t>Föryngringsavverkning</t>
        </is>
      </c>
      <c r="D464" s="1" t="n">
        <v>44812</v>
      </c>
      <c r="E464" s="1" t="n">
        <v>46248</v>
      </c>
      <c r="F464" t="inlineStr">
        <is>
          <t>BLEKINGE LÄN</t>
        </is>
      </c>
      <c r="G464" t="inlineStr">
        <is>
          <t>KARLSHAMN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15563-2025</t>
        </is>
      </c>
      <c r="B465" t="inlineStr">
        <is>
          <t>avverkningsanmälan</t>
        </is>
      </c>
      <c r="C465" t="inlineStr">
        <is>
          <t>Föryngringsavverkning</t>
        </is>
      </c>
      <c r="D465" s="1" t="n">
        <v>45747</v>
      </c>
      <c r="E465" s="1" t="n">
        <v>46248</v>
      </c>
      <c r="F465" t="inlineStr">
        <is>
          <t>BLEKINGE LÄN</t>
        </is>
      </c>
      <c r="G465" t="inlineStr">
        <is>
          <t>RONNEBY</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7826-2023</t>
        </is>
      </c>
      <c r="B466" t="inlineStr">
        <is>
          <t>avverkningsanmälan</t>
        </is>
      </c>
      <c r="C466" t="inlineStr">
        <is>
          <t>Föryngringsavverkning</t>
        </is>
      </c>
      <c r="D466" s="1" t="n">
        <v>44973</v>
      </c>
      <c r="E466" s="1" t="n">
        <v>46248</v>
      </c>
      <c r="F466" t="inlineStr">
        <is>
          <t>BLEKINGE LÄN</t>
        </is>
      </c>
      <c r="G466" t="inlineStr">
        <is>
          <t>RONNEBY</t>
        </is>
      </c>
      <c r="H466" t="inlineStr">
        <is>
          <t>Övriga Aktiebolag</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27025-2023</t>
        </is>
      </c>
      <c r="B467" t="inlineStr">
        <is>
          <t>avverkningsanmälan</t>
        </is>
      </c>
      <c r="C467" t="inlineStr">
        <is>
          <t>Föryngringsavverkning</t>
        </is>
      </c>
      <c r="D467" s="1" t="n">
        <v>45095</v>
      </c>
      <c r="E467" s="1" t="n">
        <v>46248</v>
      </c>
      <c r="F467" t="inlineStr">
        <is>
          <t>BLEKINGE LÄN</t>
        </is>
      </c>
      <c r="G467" t="inlineStr">
        <is>
          <t>KARLSKRONA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6510-2023</t>
        </is>
      </c>
      <c r="B468" t="inlineStr">
        <is>
          <t>avverkningsanmälan</t>
        </is>
      </c>
      <c r="C468" t="inlineStr">
        <is>
          <t>Föryngringsavverkning</t>
        </is>
      </c>
      <c r="D468" s="1" t="n">
        <v>44966</v>
      </c>
      <c r="E468" s="1" t="n">
        <v>46248</v>
      </c>
      <c r="F468" t="inlineStr">
        <is>
          <t>BLEKINGE LÄN</t>
        </is>
      </c>
      <c r="G468" t="inlineStr">
        <is>
          <t>RONNEBY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17092-2023</t>
        </is>
      </c>
      <c r="B469" t="inlineStr">
        <is>
          <t>avverkningsanmälan</t>
        </is>
      </c>
      <c r="C469" t="inlineStr">
        <is>
          <t>Föryngringsavverkning</t>
        </is>
      </c>
      <c r="D469" s="1" t="n">
        <v>45034</v>
      </c>
      <c r="E469" s="1" t="n">
        <v>46248</v>
      </c>
      <c r="F469" t="inlineStr">
        <is>
          <t>BLEKINGE LÄN</t>
        </is>
      </c>
      <c r="G469" t="inlineStr">
        <is>
          <t>KARLSKRONA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14136-2023</t>
        </is>
      </c>
      <c r="B470" t="inlineStr">
        <is>
          <t>avverkningsanmälan</t>
        </is>
      </c>
      <c r="C470" t="inlineStr">
        <is>
          <t>Föryngringsavverkning</t>
        </is>
      </c>
      <c r="D470" s="1" t="n">
        <v>45009</v>
      </c>
      <c r="E470" s="1" t="n">
        <v>46248</v>
      </c>
      <c r="F470" t="inlineStr">
        <is>
          <t>BLEKINGE LÄN</t>
        </is>
      </c>
      <c r="G470" t="inlineStr">
        <is>
          <t>KARLSHAMN</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14853-2023</t>
        </is>
      </c>
      <c r="B471" t="inlineStr">
        <is>
          <t>avverkningsanmälan</t>
        </is>
      </c>
      <c r="C471" t="inlineStr">
        <is>
          <t>Föryngringsavverkning</t>
        </is>
      </c>
      <c r="D471" s="1" t="n">
        <v>45014</v>
      </c>
      <c r="E471" s="1" t="n">
        <v>46248</v>
      </c>
      <c r="F471" t="inlineStr">
        <is>
          <t>BLEKINGE LÄN</t>
        </is>
      </c>
      <c r="G471" t="inlineStr">
        <is>
          <t>KARLSKRONA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58618-2021</t>
        </is>
      </c>
      <c r="B472" t="inlineStr">
        <is>
          <t>avverkningsanmälan</t>
        </is>
      </c>
      <c r="C472" t="inlineStr">
        <is>
          <t>Föryngringsavverkning</t>
        </is>
      </c>
      <c r="D472" s="1" t="n">
        <v>44489</v>
      </c>
      <c r="E472" s="1" t="n">
        <v>46248</v>
      </c>
      <c r="F472" t="inlineStr">
        <is>
          <t>BLEKINGE LÄN</t>
        </is>
      </c>
      <c r="G472" t="inlineStr">
        <is>
          <t>RONNEBY</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24938-2023</t>
        </is>
      </c>
      <c r="B473" t="inlineStr">
        <is>
          <t>avverkningsanmälan</t>
        </is>
      </c>
      <c r="C473" t="inlineStr">
        <is>
          <t>Föryngringsavverkning</t>
        </is>
      </c>
      <c r="D473" s="1" t="n">
        <v>45085</v>
      </c>
      <c r="E473" s="1" t="n">
        <v>46248</v>
      </c>
      <c r="F473" t="inlineStr">
        <is>
          <t>BLEKINGE LÄN</t>
        </is>
      </c>
      <c r="G473" t="inlineStr">
        <is>
          <t>KARLSKRONA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22490-2023</t>
        </is>
      </c>
      <c r="B474" t="inlineStr">
        <is>
          <t>avverkningsanmälan</t>
        </is>
      </c>
      <c r="C474" t="inlineStr">
        <is>
          <t>Föryngringsavverkning</t>
        </is>
      </c>
      <c r="D474" s="1" t="n">
        <v>45071</v>
      </c>
      <c r="E474" s="1" t="n">
        <v>46248</v>
      </c>
      <c r="F474" t="inlineStr">
        <is>
          <t>BLEKINGE LÄN</t>
        </is>
      </c>
      <c r="G474" t="inlineStr">
        <is>
          <t>RONNEBY</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56010-2022</t>
        </is>
      </c>
      <c r="B475" t="inlineStr">
        <is>
          <t>avverkningsanmälan</t>
        </is>
      </c>
      <c r="C475" t="inlineStr">
        <is>
          <t>Föryngringsavverkning</t>
        </is>
      </c>
      <c r="D475" s="1" t="n">
        <v>44889</v>
      </c>
      <c r="E475" s="1" t="n">
        <v>46248</v>
      </c>
      <c r="F475" t="inlineStr">
        <is>
          <t>BLEKINGE LÄN</t>
        </is>
      </c>
      <c r="G475" t="inlineStr">
        <is>
          <t>OLOFSTRÖM</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53182-2022</t>
        </is>
      </c>
      <c r="B476" t="inlineStr">
        <is>
          <t>avverkningsanmälan</t>
        </is>
      </c>
      <c r="C476" t="inlineStr">
        <is>
          <t>Föryngringsavverkning</t>
        </is>
      </c>
      <c r="D476" s="1" t="n">
        <v>44876</v>
      </c>
      <c r="E476" s="1" t="n">
        <v>46248</v>
      </c>
      <c r="F476" t="inlineStr">
        <is>
          <t>BLEKINGE LÄN</t>
        </is>
      </c>
      <c r="G476" t="inlineStr">
        <is>
          <t>OLOFSTRÖM</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37608-2023</t>
        </is>
      </c>
      <c r="B477" t="inlineStr">
        <is>
          <t>avverkningsanmälan</t>
        </is>
      </c>
      <c r="C477" t="inlineStr">
        <is>
          <t>Föryngringsavverkning</t>
        </is>
      </c>
      <c r="D477" s="1" t="n">
        <v>45159</v>
      </c>
      <c r="E477" s="1" t="n">
        <v>46248</v>
      </c>
      <c r="F477" t="inlineStr">
        <is>
          <t>BLEKINGE LÄN</t>
        </is>
      </c>
      <c r="G477" t="inlineStr">
        <is>
          <t>KARLSKRONA</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11825-2024</t>
        </is>
      </c>
      <c r="B478" t="inlineStr">
        <is>
          <t>avverkningsanmälan</t>
        </is>
      </c>
      <c r="C478" t="inlineStr">
        <is>
          <t>Föryngringsavverkning</t>
        </is>
      </c>
      <c r="D478" s="1" t="n">
        <v>45376</v>
      </c>
      <c r="E478" s="1" t="n">
        <v>46248</v>
      </c>
      <c r="F478" t="inlineStr">
        <is>
          <t>BLEKINGE LÄN</t>
        </is>
      </c>
      <c r="G478" t="inlineStr">
        <is>
          <t>KARLSHAMN</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61110-2023</t>
        </is>
      </c>
      <c r="B479" t="inlineStr">
        <is>
          <t>avverkningsanmälan</t>
        </is>
      </c>
      <c r="C479" t="inlineStr">
        <is>
          <t>Föryngringsavverkning</t>
        </is>
      </c>
      <c r="D479" s="1" t="n">
        <v>45261</v>
      </c>
      <c r="E479" s="1" t="n">
        <v>46248</v>
      </c>
      <c r="F479" t="inlineStr">
        <is>
          <t>BLEKINGE LÄN</t>
        </is>
      </c>
      <c r="G479" t="inlineStr">
        <is>
          <t>RONNEBY</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10508-2023</t>
        </is>
      </c>
      <c r="B480" t="inlineStr">
        <is>
          <t>avverkningsanmälan</t>
        </is>
      </c>
      <c r="C480" t="inlineStr">
        <is>
          <t>Föryngringsavverkning</t>
        </is>
      </c>
      <c r="D480" s="1" t="n">
        <v>44987</v>
      </c>
      <c r="E480" s="1" t="n">
        <v>46248</v>
      </c>
      <c r="F480" t="inlineStr">
        <is>
          <t>BLEKINGE LÄN</t>
        </is>
      </c>
      <c r="G480" t="inlineStr">
        <is>
          <t>RONNEBY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17532-2023</t>
        </is>
      </c>
      <c r="B481" t="inlineStr">
        <is>
          <t>avverkningsanmälan</t>
        </is>
      </c>
      <c r="C481" t="inlineStr">
        <is>
          <t>Föryngringsavverkning</t>
        </is>
      </c>
      <c r="D481" s="1" t="n">
        <v>45036</v>
      </c>
      <c r="E481" s="1" t="n">
        <v>46248</v>
      </c>
      <c r="F481" t="inlineStr">
        <is>
          <t>BLEKINGE LÄN</t>
        </is>
      </c>
      <c r="G481" t="inlineStr">
        <is>
          <t>OLOFSTRÖM</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34394-2024</t>
        </is>
      </c>
      <c r="B482" t="inlineStr">
        <is>
          <t>avverkningsanmälan</t>
        </is>
      </c>
      <c r="C482" t="inlineStr">
        <is>
          <t>Föryngringsavverkning</t>
        </is>
      </c>
      <c r="D482" s="1" t="n">
        <v>45525</v>
      </c>
      <c r="E482" s="1" t="n">
        <v>46248</v>
      </c>
      <c r="F482" t="inlineStr">
        <is>
          <t>BLEKINGE LÄN</t>
        </is>
      </c>
      <c r="G482" t="inlineStr">
        <is>
          <t>SÖLVESBORG</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6676-2025</t>
        </is>
      </c>
      <c r="B483" t="inlineStr">
        <is>
          <t>avverkningsanmälan</t>
        </is>
      </c>
      <c r="C483" t="inlineStr">
        <is>
          <t>Föryngringsavverkning</t>
        </is>
      </c>
      <c r="D483" s="1" t="n">
        <v>45700</v>
      </c>
      <c r="E483" s="1" t="n">
        <v>46248</v>
      </c>
      <c r="F483" t="inlineStr">
        <is>
          <t>BLEKINGE LÄN</t>
        </is>
      </c>
      <c r="G483" t="inlineStr">
        <is>
          <t>OLOFSTRÖM</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10112-2023</t>
        </is>
      </c>
      <c r="B484" t="inlineStr">
        <is>
          <t>avverkningsanmälan</t>
        </is>
      </c>
      <c r="C484" t="inlineStr">
        <is>
          <t>Föryngringsavverkning</t>
        </is>
      </c>
      <c r="D484" s="1" t="n">
        <v>44986</v>
      </c>
      <c r="E484" s="1" t="n">
        <v>46248</v>
      </c>
      <c r="F484" t="inlineStr">
        <is>
          <t>BLEKINGE LÄN</t>
        </is>
      </c>
      <c r="G484" t="inlineStr">
        <is>
          <t>KARLSKRONA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51552-2021</t>
        </is>
      </c>
      <c r="B485" t="inlineStr">
        <is>
          <t>avverkningsanmälan</t>
        </is>
      </c>
      <c r="C485" t="inlineStr">
        <is>
          <t>Föryngringsavverkning</t>
        </is>
      </c>
      <c r="D485" s="1" t="n">
        <v>44462</v>
      </c>
      <c r="E485" s="1" t="n">
        <v>46248</v>
      </c>
      <c r="F485" t="inlineStr">
        <is>
          <t>BLEKINGE LÄN</t>
        </is>
      </c>
      <c r="G485" t="inlineStr">
        <is>
          <t>KARLSHAMN</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62919-2023</t>
        </is>
      </c>
      <c r="B486" t="inlineStr">
        <is>
          <t>avverkningsanmälan</t>
        </is>
      </c>
      <c r="C486" t="inlineStr">
        <is>
          <t>Föryngringsavverkning</t>
        </is>
      </c>
      <c r="D486" s="1" t="n">
        <v>45271</v>
      </c>
      <c r="E486" s="1" t="n">
        <v>46248</v>
      </c>
      <c r="F486" t="inlineStr">
        <is>
          <t>BLEKINGE LÄN</t>
        </is>
      </c>
      <c r="G486" t="inlineStr">
        <is>
          <t>OLOFSTRÖM</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30507-2022</t>
        </is>
      </c>
      <c r="B487" t="inlineStr">
        <is>
          <t>avverkningsanmälan</t>
        </is>
      </c>
      <c r="C487" t="inlineStr">
        <is>
          <t>Föryngringsavverkning</t>
        </is>
      </c>
      <c r="D487" s="1" t="n">
        <v>44762</v>
      </c>
      <c r="E487" s="1" t="n">
        <v>46248</v>
      </c>
      <c r="F487" t="inlineStr">
        <is>
          <t>BLEKINGE LÄN</t>
        </is>
      </c>
      <c r="G487" t="inlineStr">
        <is>
          <t>RONNEBY</t>
        </is>
      </c>
      <c r="H487" t="inlineStr">
        <is>
          <t>Övriga Aktiebolag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34813-2024</t>
        </is>
      </c>
      <c r="B488" t="inlineStr">
        <is>
          <t>avverkningsanmälan</t>
        </is>
      </c>
      <c r="C488" t="inlineStr">
        <is>
          <t>Föryngringsavverkning</t>
        </is>
      </c>
      <c r="D488" s="1" t="n">
        <v>45526</v>
      </c>
      <c r="E488" s="1" t="n">
        <v>46248</v>
      </c>
      <c r="F488" t="inlineStr">
        <is>
          <t>BLEKINGE LÄN</t>
        </is>
      </c>
      <c r="G488" t="inlineStr">
        <is>
          <t>KARLSKRONA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74237-2021</t>
        </is>
      </c>
      <c r="B489" t="inlineStr">
        <is>
          <t>avverkningsanmälan</t>
        </is>
      </c>
      <c r="C489" t="inlineStr">
        <is>
          <t>Föryngringsavverkning</t>
        </is>
      </c>
      <c r="D489" s="1" t="n">
        <v>44553</v>
      </c>
      <c r="E489" s="1" t="n">
        <v>46248</v>
      </c>
      <c r="F489" t="inlineStr">
        <is>
          <t>BLEKINGE LÄN</t>
        </is>
      </c>
      <c r="G489" t="inlineStr">
        <is>
          <t>KARLSKRONA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9685-2022</t>
        </is>
      </c>
      <c r="B490" t="inlineStr">
        <is>
          <t>avverkningsanmälan</t>
        </is>
      </c>
      <c r="C490" t="inlineStr">
        <is>
          <t>Föryngringsavverkning</t>
        </is>
      </c>
      <c r="D490" s="1" t="n">
        <v>44617</v>
      </c>
      <c r="E490" s="1" t="n">
        <v>46248</v>
      </c>
      <c r="F490" t="inlineStr">
        <is>
          <t>BLEKINGE LÄN</t>
        </is>
      </c>
      <c r="G490" t="inlineStr">
        <is>
          <t>RONNEBY</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48999-2022</t>
        </is>
      </c>
      <c r="B491" t="inlineStr">
        <is>
          <t>avverkningsanmälan</t>
        </is>
      </c>
      <c r="C491" t="inlineStr">
        <is>
          <t>Föryngringsavverkning</t>
        </is>
      </c>
      <c r="D491" s="1" t="n">
        <v>44860</v>
      </c>
      <c r="E491" s="1" t="n">
        <v>46248</v>
      </c>
      <c r="F491" t="inlineStr">
        <is>
          <t>BLEKINGE LÄN</t>
        </is>
      </c>
      <c r="G491" t="inlineStr">
        <is>
          <t>KARLSKRONA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35832-2023</t>
        </is>
      </c>
      <c r="B492" t="inlineStr">
        <is>
          <t>avverkningsanmälan</t>
        </is>
      </c>
      <c r="C492" t="inlineStr">
        <is>
          <t>Föryngringsavverkning</t>
        </is>
      </c>
      <c r="D492" s="1" t="n">
        <v>45148</v>
      </c>
      <c r="E492" s="1" t="n">
        <v>46248</v>
      </c>
      <c r="F492" t="inlineStr">
        <is>
          <t>BLEKINGE LÄN</t>
        </is>
      </c>
      <c r="G492" t="inlineStr">
        <is>
          <t>KARLSHAMN</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22879-2023</t>
        </is>
      </c>
      <c r="B493" t="inlineStr">
        <is>
          <t>avverkningsanmälan</t>
        </is>
      </c>
      <c r="C493" t="inlineStr">
        <is>
          <t>Föryngringsavverkning</t>
        </is>
      </c>
      <c r="D493" s="1" t="n">
        <v>45072</v>
      </c>
      <c r="E493" s="1" t="n">
        <v>46248</v>
      </c>
      <c r="F493" t="inlineStr">
        <is>
          <t>BLEKINGE LÄN</t>
        </is>
      </c>
      <c r="G493" t="inlineStr">
        <is>
          <t>KARLSHAMN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12298-2022</t>
        </is>
      </c>
      <c r="B494" t="inlineStr">
        <is>
          <t>avverkningsanmälan</t>
        </is>
      </c>
      <c r="C494" t="inlineStr">
        <is>
          <t>Föryngringsavverkning</t>
        </is>
      </c>
      <c r="D494" s="1" t="n">
        <v>44641</v>
      </c>
      <c r="E494" s="1" t="n">
        <v>46248</v>
      </c>
      <c r="F494" t="inlineStr">
        <is>
          <t>BLEKINGE LÄN</t>
        </is>
      </c>
      <c r="G494" t="inlineStr">
        <is>
          <t>SÖLVESBORG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39108-2024</t>
        </is>
      </c>
      <c r="B495" t="inlineStr">
        <is>
          <t>avverkningsanmälan</t>
        </is>
      </c>
      <c r="C495" t="inlineStr">
        <is>
          <t>Föryngringsavverkning</t>
        </is>
      </c>
      <c r="D495" s="1" t="n">
        <v>45548</v>
      </c>
      <c r="E495" s="1" t="n">
        <v>46248</v>
      </c>
      <c r="F495" t="inlineStr">
        <is>
          <t>BLEKINGE LÄN</t>
        </is>
      </c>
      <c r="G495" t="inlineStr">
        <is>
          <t>OLOFSTRÖM</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19268-2022</t>
        </is>
      </c>
      <c r="B496" t="inlineStr">
        <is>
          <t>avverkningsanmälan</t>
        </is>
      </c>
      <c r="C496" t="inlineStr">
        <is>
          <t>Föryngringsavverkning</t>
        </is>
      </c>
      <c r="D496" s="1" t="n">
        <v>44692</v>
      </c>
      <c r="E496" s="1" t="n">
        <v>46248</v>
      </c>
      <c r="F496" t="inlineStr">
        <is>
          <t>BLEKINGE LÄN</t>
        </is>
      </c>
      <c r="G496" t="inlineStr">
        <is>
          <t>KARLSKRONA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45503-2024</t>
        </is>
      </c>
      <c r="B497" t="inlineStr">
        <is>
          <t>avverkningsanmälan</t>
        </is>
      </c>
      <c r="C497" t="inlineStr">
        <is>
          <t>Föryngringsavverkning</t>
        </is>
      </c>
      <c r="D497" s="1" t="n">
        <v>45578</v>
      </c>
      <c r="E497" s="1" t="n">
        <v>46248</v>
      </c>
      <c r="F497" t="inlineStr">
        <is>
          <t>BLEKINGE LÄN</t>
        </is>
      </c>
      <c r="G497" t="inlineStr">
        <is>
          <t>KARLSKRONA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34949-2023</t>
        </is>
      </c>
      <c r="B498" t="inlineStr">
        <is>
          <t>avverkningsanmälan</t>
        </is>
      </c>
      <c r="C498" t="inlineStr">
        <is>
          <t>Föryngringsavverkning</t>
        </is>
      </c>
      <c r="D498" s="1" t="n">
        <v>45142</v>
      </c>
      <c r="E498" s="1" t="n">
        <v>46248</v>
      </c>
      <c r="F498" t="inlineStr">
        <is>
          <t>BLEKINGE LÄN</t>
        </is>
      </c>
      <c r="G498" t="inlineStr">
        <is>
          <t>KARLSKRONA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1747-2024</t>
        </is>
      </c>
      <c r="B499" t="inlineStr">
        <is>
          <t>avverkningsanmälan</t>
        </is>
      </c>
      <c r="C499" t="inlineStr">
        <is>
          <t>Föryngringsavverkning</t>
        </is>
      </c>
      <c r="D499" s="1" t="n">
        <v>45307</v>
      </c>
      <c r="E499" s="1" t="n">
        <v>46248</v>
      </c>
      <c r="F499" t="inlineStr">
        <is>
          <t>BLEKINGE LÄN</t>
        </is>
      </c>
      <c r="G499" t="inlineStr">
        <is>
          <t>KARLSHAMN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39130-2024</t>
        </is>
      </c>
      <c r="B500" t="inlineStr">
        <is>
          <t>avverkningsanmälan</t>
        </is>
      </c>
      <c r="C500" t="inlineStr">
        <is>
          <t>Föryngringsavverkning</t>
        </is>
      </c>
      <c r="D500" s="1" t="n">
        <v>45548</v>
      </c>
      <c r="E500" s="1" t="n">
        <v>46248</v>
      </c>
      <c r="F500" t="inlineStr">
        <is>
          <t>BLEKINGE LÄN</t>
        </is>
      </c>
      <c r="G500" t="inlineStr">
        <is>
          <t>SÖLVESBORG</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29079-2023</t>
        </is>
      </c>
      <c r="B501" t="inlineStr">
        <is>
          <t>avverkningsanmälan</t>
        </is>
      </c>
      <c r="C501" t="inlineStr">
        <is>
          <t>Föryngringsavverkning</t>
        </is>
      </c>
      <c r="D501" s="1" t="n">
        <v>45104</v>
      </c>
      <c r="E501" s="1" t="n">
        <v>46248</v>
      </c>
      <c r="F501" t="inlineStr">
        <is>
          <t>BLEKINGE LÄN</t>
        </is>
      </c>
      <c r="G501" t="inlineStr">
        <is>
          <t>RONNEBY</t>
        </is>
      </c>
      <c r="H501" t="inlineStr">
        <is>
          <t>Övriga Aktiebolag</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32899-2024</t>
        </is>
      </c>
      <c r="B502" t="inlineStr">
        <is>
          <t>avverkningsanmälan</t>
        </is>
      </c>
      <c r="C502" t="inlineStr">
        <is>
          <t>Föryngringsavverkning</t>
        </is>
      </c>
      <c r="D502" s="1" t="n">
        <v>45516</v>
      </c>
      <c r="E502" s="1" t="n">
        <v>46248</v>
      </c>
      <c r="F502" t="inlineStr">
        <is>
          <t>BLEKINGE LÄN</t>
        </is>
      </c>
      <c r="G502" t="inlineStr">
        <is>
          <t>OLOFSTRÖM</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29911-2023</t>
        </is>
      </c>
      <c r="B503" t="inlineStr">
        <is>
          <t>avverkningsanmälan</t>
        </is>
      </c>
      <c r="C503" t="inlineStr">
        <is>
          <t>Föryngringsavverkning</t>
        </is>
      </c>
      <c r="D503" s="1" t="n">
        <v>45107</v>
      </c>
      <c r="E503" s="1" t="n">
        <v>46248</v>
      </c>
      <c r="F503" t="inlineStr">
        <is>
          <t>BLEKINGE LÄN</t>
        </is>
      </c>
      <c r="G503" t="inlineStr">
        <is>
          <t>KARLSKRONA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46712-2023</t>
        </is>
      </c>
      <c r="B504" t="inlineStr">
        <is>
          <t>avverkningsanmälan</t>
        </is>
      </c>
      <c r="C504" t="inlineStr">
        <is>
          <t>Föryngringsavverkning</t>
        </is>
      </c>
      <c r="D504" s="1" t="n">
        <v>45198</v>
      </c>
      <c r="E504" s="1" t="n">
        <v>46248</v>
      </c>
      <c r="F504" t="inlineStr">
        <is>
          <t>BLEKINGE LÄN</t>
        </is>
      </c>
      <c r="G504" t="inlineStr">
        <is>
          <t>KARLSKRONA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20285-2023</t>
        </is>
      </c>
      <c r="B505" t="inlineStr">
        <is>
          <t>avverkningsanmälan</t>
        </is>
      </c>
      <c r="C505" t="inlineStr">
        <is>
          <t>Föryngringsavverkning</t>
        </is>
      </c>
      <c r="D505" s="1" t="n">
        <v>45056</v>
      </c>
      <c r="E505" s="1" t="n">
        <v>46248</v>
      </c>
      <c r="F505" t="inlineStr">
        <is>
          <t>BLEKINGE LÄN</t>
        </is>
      </c>
      <c r="G505" t="inlineStr">
        <is>
          <t>KARLSHAMN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31266-2023</t>
        </is>
      </c>
      <c r="B506" t="inlineStr">
        <is>
          <t>avverkningsanmälan</t>
        </is>
      </c>
      <c r="C506" t="inlineStr">
        <is>
          <t>Föryngringsavverkning</t>
        </is>
      </c>
      <c r="D506" s="1" t="n">
        <v>45114</v>
      </c>
      <c r="E506" s="1" t="n">
        <v>46248</v>
      </c>
      <c r="F506" t="inlineStr">
        <is>
          <t>BLEKINGE LÄN</t>
        </is>
      </c>
      <c r="G506" t="inlineStr">
        <is>
          <t>KARLSHAMN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8946-2022</t>
        </is>
      </c>
      <c r="B507" t="inlineStr">
        <is>
          <t>avverkningsanmälan</t>
        </is>
      </c>
      <c r="C507" t="inlineStr">
        <is>
          <t>Avverkning för annat ändamål</t>
        </is>
      </c>
      <c r="D507" s="1" t="n">
        <v>44614</v>
      </c>
      <c r="E507" s="1" t="n">
        <v>46248</v>
      </c>
      <c r="F507" t="inlineStr">
        <is>
          <t>BLEKINGE LÄN</t>
        </is>
      </c>
      <c r="G507" t="inlineStr">
        <is>
          <t>KARLSKRONA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19604-2023</t>
        </is>
      </c>
      <c r="B508" t="inlineStr">
        <is>
          <t>avverkningsanmälan</t>
        </is>
      </c>
      <c r="C508" t="inlineStr">
        <is>
          <t>Föryngringsavverkning</t>
        </is>
      </c>
      <c r="D508" s="1" t="n">
        <v>45050</v>
      </c>
      <c r="E508" s="1" t="n">
        <v>46248</v>
      </c>
      <c r="F508" t="inlineStr">
        <is>
          <t>BLEKINGE LÄN</t>
        </is>
      </c>
      <c r="G508" t="inlineStr">
        <is>
          <t>KARLSKRONA</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46167-2023</t>
        </is>
      </c>
      <c r="B509" t="inlineStr">
        <is>
          <t>avverkningsanmälan</t>
        </is>
      </c>
      <c r="C509" t="inlineStr">
        <is>
          <t>Föryngringsavverkning</t>
        </is>
      </c>
      <c r="D509" s="1" t="n">
        <v>45196</v>
      </c>
      <c r="E509" s="1" t="n">
        <v>46248</v>
      </c>
      <c r="F509" t="inlineStr">
        <is>
          <t>BLEKINGE LÄN</t>
        </is>
      </c>
      <c r="G509" t="inlineStr">
        <is>
          <t>RONNEBY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31294-2023</t>
        </is>
      </c>
      <c r="B510" t="inlineStr">
        <is>
          <t>avverkningsanmälan</t>
        </is>
      </c>
      <c r="C510" t="inlineStr">
        <is>
          <t>Föryngringsavverkning</t>
        </is>
      </c>
      <c r="D510" s="1" t="n">
        <v>45114</v>
      </c>
      <c r="E510" s="1" t="n">
        <v>46248</v>
      </c>
      <c r="F510" t="inlineStr">
        <is>
          <t>BLEKINGE LÄN</t>
        </is>
      </c>
      <c r="G510" t="inlineStr">
        <is>
          <t>OLOFSTRÖM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31296-2023</t>
        </is>
      </c>
      <c r="B511" t="inlineStr">
        <is>
          <t>avverkningsanmälan</t>
        </is>
      </c>
      <c r="C511" t="inlineStr">
        <is>
          <t>Föryngringsavverkning</t>
        </is>
      </c>
      <c r="D511" s="1" t="n">
        <v>45104</v>
      </c>
      <c r="E511" s="1" t="n">
        <v>46248</v>
      </c>
      <c r="F511" t="inlineStr">
        <is>
          <t>BLEKINGE LÄN</t>
        </is>
      </c>
      <c r="G511" t="inlineStr">
        <is>
          <t>KARLSKRONA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26548-2022</t>
        </is>
      </c>
      <c r="B512" t="inlineStr">
        <is>
          <t>avverkningsanmälan</t>
        </is>
      </c>
      <c r="C512" t="inlineStr">
        <is>
          <t>Föryngringsavverkning</t>
        </is>
      </c>
      <c r="D512" s="1" t="n">
        <v>44739</v>
      </c>
      <c r="E512" s="1" t="n">
        <v>46248</v>
      </c>
      <c r="F512" t="inlineStr">
        <is>
          <t>BLEKINGE LÄN</t>
        </is>
      </c>
      <c r="G512" t="inlineStr">
        <is>
          <t>RONNEBY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29430-2022</t>
        </is>
      </c>
      <c r="B513" t="inlineStr">
        <is>
          <t>avverkningsanmälan</t>
        </is>
      </c>
      <c r="C513" t="inlineStr">
        <is>
          <t>Föryngringsavverkning</t>
        </is>
      </c>
      <c r="D513" s="1" t="n">
        <v>44753</v>
      </c>
      <c r="E513" s="1" t="n">
        <v>46248</v>
      </c>
      <c r="F513" t="inlineStr">
        <is>
          <t>BLEKINGE LÄN</t>
        </is>
      </c>
      <c r="G513" t="inlineStr">
        <is>
          <t>RONNEBY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13781-2023</t>
        </is>
      </c>
      <c r="B514" t="inlineStr">
        <is>
          <t>avverkningsanmälan</t>
        </is>
      </c>
      <c r="C514" t="inlineStr">
        <is>
          <t>Föryngringsavverkning</t>
        </is>
      </c>
      <c r="D514" s="1" t="n">
        <v>45007</v>
      </c>
      <c r="E514" s="1" t="n">
        <v>46248</v>
      </c>
      <c r="F514" t="inlineStr">
        <is>
          <t>BLEKINGE LÄN</t>
        </is>
      </c>
      <c r="G514" t="inlineStr">
        <is>
          <t>KARLSKRONA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13786-2023</t>
        </is>
      </c>
      <c r="B515" t="inlineStr">
        <is>
          <t>avverkningsanmälan</t>
        </is>
      </c>
      <c r="C515" t="inlineStr">
        <is>
          <t>Föryngringsavverkning</t>
        </is>
      </c>
      <c r="D515" s="1" t="n">
        <v>45007</v>
      </c>
      <c r="E515" s="1" t="n">
        <v>46248</v>
      </c>
      <c r="F515" t="inlineStr">
        <is>
          <t>BLEKINGE LÄN</t>
        </is>
      </c>
      <c r="G515" t="inlineStr">
        <is>
          <t>KARLSKRONA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51960-2024</t>
        </is>
      </c>
      <c r="B516" t="inlineStr">
        <is>
          <t>avverkningsanmälan</t>
        </is>
      </c>
      <c r="C516" t="inlineStr">
        <is>
          <t>Föryngringsavverkning</t>
        </is>
      </c>
      <c r="D516" s="1" t="n">
        <v>45607</v>
      </c>
      <c r="E516" s="1" t="n">
        <v>46248</v>
      </c>
      <c r="F516" t="inlineStr">
        <is>
          <t>BLEKINGE LÄN</t>
        </is>
      </c>
      <c r="G516" t="inlineStr">
        <is>
          <t>KARLSHAMN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57936-2024</t>
        </is>
      </c>
      <c r="B517" t="inlineStr">
        <is>
          <t>avverkningsanmälan</t>
        </is>
      </c>
      <c r="C517" t="inlineStr">
        <is>
          <t>Föryngringsavverkning</t>
        </is>
      </c>
      <c r="D517" s="1" t="n">
        <v>45631</v>
      </c>
      <c r="E517" s="1" t="n">
        <v>46248</v>
      </c>
      <c r="F517" t="inlineStr">
        <is>
          <t>BLEKINGE LÄN</t>
        </is>
      </c>
      <c r="G517" t="inlineStr">
        <is>
          <t>KARLSHAMN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58727-2023</t>
        </is>
      </c>
      <c r="B518" t="inlineStr">
        <is>
          <t>avverkningsanmälan</t>
        </is>
      </c>
      <c r="C518" t="inlineStr">
        <is>
          <t>Föryngringsavverkning</t>
        </is>
      </c>
      <c r="D518" s="1" t="n">
        <v>45251</v>
      </c>
      <c r="E518" s="1" t="n">
        <v>46248</v>
      </c>
      <c r="F518" t="inlineStr">
        <is>
          <t>BLEKINGE LÄN</t>
        </is>
      </c>
      <c r="G518" t="inlineStr">
        <is>
          <t>KARLSKRONA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3315-2024</t>
        </is>
      </c>
      <c r="B519" t="inlineStr">
        <is>
          <t>avverkningsanmälan</t>
        </is>
      </c>
      <c r="C519" t="inlineStr">
        <is>
          <t>Föryngringsavverkning</t>
        </is>
      </c>
      <c r="D519" s="1" t="n">
        <v>45316</v>
      </c>
      <c r="E519" s="1" t="n">
        <v>46248</v>
      </c>
      <c r="F519" t="inlineStr">
        <is>
          <t>BLEKINGE LÄN</t>
        </is>
      </c>
      <c r="G519" t="inlineStr">
        <is>
          <t>KARLSKRONA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9415-2025</t>
        </is>
      </c>
      <c r="B520" t="inlineStr">
        <is>
          <t>avverkningsanmälan</t>
        </is>
      </c>
      <c r="C520" t="inlineStr">
        <is>
          <t>Föryngringsavverkning</t>
        </is>
      </c>
      <c r="D520" s="1" t="n">
        <v>45715</v>
      </c>
      <c r="E520" s="1" t="n">
        <v>46248</v>
      </c>
      <c r="F520" t="inlineStr">
        <is>
          <t>BLEKINGE LÄN</t>
        </is>
      </c>
      <c r="G520" t="inlineStr">
        <is>
          <t>KARLSKRONA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7984-2022</t>
        </is>
      </c>
      <c r="B521" t="inlineStr">
        <is>
          <t>avverkningsanmälan</t>
        </is>
      </c>
      <c r="C521" t="inlineStr">
        <is>
          <t>Föryngringsavverkning</t>
        </is>
      </c>
      <c r="D521" s="1" t="n">
        <v>44609</v>
      </c>
      <c r="E521" s="1" t="n">
        <v>46248</v>
      </c>
      <c r="F521" t="inlineStr">
        <is>
          <t>BLEKINGE LÄN</t>
        </is>
      </c>
      <c r="G521" t="inlineStr">
        <is>
          <t>KARLSHAMN</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14361-2023</t>
        </is>
      </c>
      <c r="B522" t="inlineStr">
        <is>
          <t>avverkningsanmälan</t>
        </is>
      </c>
      <c r="C522" t="inlineStr">
        <is>
          <t>Föryngringsavverkning</t>
        </is>
      </c>
      <c r="D522" s="1" t="n">
        <v>45012</v>
      </c>
      <c r="E522" s="1" t="n">
        <v>46248</v>
      </c>
      <c r="F522" t="inlineStr">
        <is>
          <t>BLEKINGE LÄN</t>
        </is>
      </c>
      <c r="G522" t="inlineStr">
        <is>
          <t>RONNEBY</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14659-2025</t>
        </is>
      </c>
      <c r="B523" t="inlineStr">
        <is>
          <t>avverkningsanmälan</t>
        </is>
      </c>
      <c r="C523" t="inlineStr">
        <is>
          <t>Föryngringsavverkning</t>
        </is>
      </c>
      <c r="D523" s="1" t="n">
        <v>45742</v>
      </c>
      <c r="E523" s="1" t="n">
        <v>46248</v>
      </c>
      <c r="F523" t="inlineStr">
        <is>
          <t>BLEKINGE LÄN</t>
        </is>
      </c>
      <c r="G523" t="inlineStr">
        <is>
          <t>OLOFSTRÖM</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50015-2023</t>
        </is>
      </c>
      <c r="B524" t="inlineStr">
        <is>
          <t>avverkningsanmälan</t>
        </is>
      </c>
      <c r="C524" t="inlineStr">
        <is>
          <t>Föryngringsavverkning</t>
        </is>
      </c>
      <c r="D524" s="1" t="n">
        <v>45215</v>
      </c>
      <c r="E524" s="1" t="n">
        <v>46248</v>
      </c>
      <c r="F524" t="inlineStr">
        <is>
          <t>BLEKINGE LÄN</t>
        </is>
      </c>
      <c r="G524" t="inlineStr">
        <is>
          <t>KARLSKRONA</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19899-2023</t>
        </is>
      </c>
      <c r="B525" t="inlineStr">
        <is>
          <t>avverkningsanmälan</t>
        </is>
      </c>
      <c r="C525" t="inlineStr">
        <is>
          <t>Föryngringsavverkning</t>
        </is>
      </c>
      <c r="D525" s="1" t="n">
        <v>45054</v>
      </c>
      <c r="E525" s="1" t="n">
        <v>46248</v>
      </c>
      <c r="F525" t="inlineStr">
        <is>
          <t>BLEKINGE LÄN</t>
        </is>
      </c>
      <c r="G525" t="inlineStr">
        <is>
          <t>KARLSHAMN</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46774-2022</t>
        </is>
      </c>
      <c r="B526" t="inlineStr">
        <is>
          <t>avverkningsanmälan</t>
        </is>
      </c>
      <c r="C526" t="inlineStr">
        <is>
          <t>Föryngringsavverkning</t>
        </is>
      </c>
      <c r="D526" s="1" t="n">
        <v>44847</v>
      </c>
      <c r="E526" s="1" t="n">
        <v>46248</v>
      </c>
      <c r="F526" t="inlineStr">
        <is>
          <t>BLEKINGE LÄN</t>
        </is>
      </c>
      <c r="G526" t="inlineStr">
        <is>
          <t>KARLSKRONA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13194-2023</t>
        </is>
      </c>
      <c r="B527" t="inlineStr">
        <is>
          <t>avverkningsanmälan</t>
        </is>
      </c>
      <c r="C527" t="inlineStr">
        <is>
          <t>Föryngringsavverkning</t>
        </is>
      </c>
      <c r="D527" s="1" t="n">
        <v>45002</v>
      </c>
      <c r="E527" s="1" t="n">
        <v>46248</v>
      </c>
      <c r="F527" t="inlineStr">
        <is>
          <t>BLEKINGE LÄN</t>
        </is>
      </c>
      <c r="G527" t="inlineStr">
        <is>
          <t>KARLSKRONA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13195-2023</t>
        </is>
      </c>
      <c r="B528" t="inlineStr">
        <is>
          <t>avverkningsanmälan</t>
        </is>
      </c>
      <c r="C528" t="inlineStr">
        <is>
          <t>Föryngringsavverkning</t>
        </is>
      </c>
      <c r="D528" s="1" t="n">
        <v>45002</v>
      </c>
      <c r="E528" s="1" t="n">
        <v>46248</v>
      </c>
      <c r="F528" t="inlineStr">
        <is>
          <t>BLEKINGE LÄN</t>
        </is>
      </c>
      <c r="G528" t="inlineStr">
        <is>
          <t>OLOFSTRÖM</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16284-2023</t>
        </is>
      </c>
      <c r="B529" t="inlineStr">
        <is>
          <t>avverkningsanmälan</t>
        </is>
      </c>
      <c r="C529" t="inlineStr">
        <is>
          <t>Föryngringsavverkning</t>
        </is>
      </c>
      <c r="D529" s="1" t="n">
        <v>45028</v>
      </c>
      <c r="E529" s="1" t="n">
        <v>46248</v>
      </c>
      <c r="F529" t="inlineStr">
        <is>
          <t>BLEKINGE LÄN</t>
        </is>
      </c>
      <c r="G529" t="inlineStr">
        <is>
          <t>KARLSKRONA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38217-2022</t>
        </is>
      </c>
      <c r="B530" t="inlineStr">
        <is>
          <t>avverkningsanmälan</t>
        </is>
      </c>
      <c r="C530" t="inlineStr">
        <is>
          <t>Föryngringsavverkning</t>
        </is>
      </c>
      <c r="D530" s="1" t="n">
        <v>44812</v>
      </c>
      <c r="E530" s="1" t="n">
        <v>46248</v>
      </c>
      <c r="F530" t="inlineStr">
        <is>
          <t>BLEKINGE LÄN</t>
        </is>
      </c>
      <c r="G530" t="inlineStr">
        <is>
          <t>KARLSHAMN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66447-2021</t>
        </is>
      </c>
      <c r="B531" t="inlineStr">
        <is>
          <t>avverkningsanmälan</t>
        </is>
      </c>
      <c r="C531" t="inlineStr">
        <is>
          <t>Föryngringsavverkning</t>
        </is>
      </c>
      <c r="D531" s="1" t="n">
        <v>44518</v>
      </c>
      <c r="E531" s="1" t="n">
        <v>46248</v>
      </c>
      <c r="F531" t="inlineStr">
        <is>
          <t>BLEKINGE LÄN</t>
        </is>
      </c>
      <c r="G531" t="inlineStr">
        <is>
          <t>SÖLVESBORG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38292-2022</t>
        </is>
      </c>
      <c r="B532" t="inlineStr">
        <is>
          <t>avverkningsanmälan</t>
        </is>
      </c>
      <c r="C532" t="inlineStr">
        <is>
          <t>Föryngringsavverkning</t>
        </is>
      </c>
      <c r="D532" s="1" t="n">
        <v>44812</v>
      </c>
      <c r="E532" s="1" t="n">
        <v>46248</v>
      </c>
      <c r="F532" t="inlineStr">
        <is>
          <t>BLEKINGE LÄN</t>
        </is>
      </c>
      <c r="G532" t="inlineStr">
        <is>
          <t>KARLSHAMN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6660-2024</t>
        </is>
      </c>
      <c r="B533" t="inlineStr">
        <is>
          <t>avverkningsanmälan</t>
        </is>
      </c>
      <c r="C533" t="inlineStr">
        <is>
          <t>Föryngringsavverkning</t>
        </is>
      </c>
      <c r="D533" s="1" t="n">
        <v>45341</v>
      </c>
      <c r="E533" s="1" t="n">
        <v>46248</v>
      </c>
      <c r="F533" t="inlineStr">
        <is>
          <t>BLEKINGE LÄN</t>
        </is>
      </c>
      <c r="G533" t="inlineStr">
        <is>
          <t>RONNEBY</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50352-2024</t>
        </is>
      </c>
      <c r="B534" t="inlineStr">
        <is>
          <t>avverkningsanmälan</t>
        </is>
      </c>
      <c r="C534" t="inlineStr">
        <is>
          <t>Föryngringsavverkning</t>
        </is>
      </c>
      <c r="D534" s="1" t="n">
        <v>45600</v>
      </c>
      <c r="E534" s="1" t="n">
        <v>46248</v>
      </c>
      <c r="F534" t="inlineStr">
        <is>
          <t>BLEKINGE LÄN</t>
        </is>
      </c>
      <c r="G534" t="inlineStr">
        <is>
          <t>RONNEBY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46921-2024</t>
        </is>
      </c>
      <c r="B535" t="inlineStr">
        <is>
          <t>avverkningsanmälan</t>
        </is>
      </c>
      <c r="C535" t="inlineStr">
        <is>
          <t>Föryngringsavverkning</t>
        </is>
      </c>
      <c r="D535" s="1" t="n">
        <v>45583</v>
      </c>
      <c r="E535" s="1" t="n">
        <v>46248</v>
      </c>
      <c r="F535" t="inlineStr">
        <is>
          <t>BLEKINGE LÄN</t>
        </is>
      </c>
      <c r="G535" t="inlineStr">
        <is>
          <t>OLOFSTRÖM</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50792-2022</t>
        </is>
      </c>
      <c r="B536" t="inlineStr">
        <is>
          <t>avverkningsanmälan</t>
        </is>
      </c>
      <c r="C536" t="inlineStr">
        <is>
          <t>Föryngringsavverkning</t>
        </is>
      </c>
      <c r="D536" s="1" t="n">
        <v>44862</v>
      </c>
      <c r="E536" s="1" t="n">
        <v>46248</v>
      </c>
      <c r="F536" t="inlineStr">
        <is>
          <t>BLEKINGE LÄN</t>
        </is>
      </c>
      <c r="G536" t="inlineStr">
        <is>
          <t>RONNEBY</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58159-2023</t>
        </is>
      </c>
      <c r="B537" t="inlineStr">
        <is>
          <t>avverkningsanmälan</t>
        </is>
      </c>
      <c r="C537" t="inlineStr">
        <is>
          <t>Föryngringsavverkning</t>
        </is>
      </c>
      <c r="D537" s="1" t="n">
        <v>45250</v>
      </c>
      <c r="E537" s="1" t="n">
        <v>46248</v>
      </c>
      <c r="F537" t="inlineStr">
        <is>
          <t>BLEKINGE LÄN</t>
        </is>
      </c>
      <c r="G537" t="inlineStr">
        <is>
          <t>KARLSKRONA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42300-2023</t>
        </is>
      </c>
      <c r="B538" t="inlineStr">
        <is>
          <t>avverkningsanmälan</t>
        </is>
      </c>
      <c r="C538" t="inlineStr">
        <is>
          <t>Föryngringsavverkning</t>
        </is>
      </c>
      <c r="D538" s="1" t="n">
        <v>45180</v>
      </c>
      <c r="E538" s="1" t="n">
        <v>46248</v>
      </c>
      <c r="F538" t="inlineStr">
        <is>
          <t>BLEKINGE LÄN</t>
        </is>
      </c>
      <c r="G538" t="inlineStr">
        <is>
          <t>OLOFSTRÖM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10496-2023</t>
        </is>
      </c>
      <c r="B539" t="inlineStr">
        <is>
          <t>avverkningsanmälan</t>
        </is>
      </c>
      <c r="C539" t="inlineStr">
        <is>
          <t>Föryngringsavverkning</t>
        </is>
      </c>
      <c r="D539" s="1" t="n">
        <v>44987</v>
      </c>
      <c r="E539" s="1" t="n">
        <v>46248</v>
      </c>
      <c r="F539" t="inlineStr">
        <is>
          <t>BLEKINGE LÄN</t>
        </is>
      </c>
      <c r="G539" t="inlineStr">
        <is>
          <t>RONNEBY</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5407-2024</t>
        </is>
      </c>
      <c r="B540" t="inlineStr">
        <is>
          <t>avverkningsanmälan</t>
        </is>
      </c>
      <c r="C540" t="inlineStr">
        <is>
          <t>Föryngringsavverkning</t>
        </is>
      </c>
      <c r="D540" s="1" t="n">
        <v>45331</v>
      </c>
      <c r="E540" s="1" t="n">
        <v>46248</v>
      </c>
      <c r="F540" t="inlineStr">
        <is>
          <t>BLEKINGE LÄN</t>
        </is>
      </c>
      <c r="G540" t="inlineStr">
        <is>
          <t>SÖLVESBORG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62734-2023</t>
        </is>
      </c>
      <c r="B541" t="inlineStr">
        <is>
          <t>avverkningsanmälan</t>
        </is>
      </c>
      <c r="C541" t="inlineStr">
        <is>
          <t>Föryngringsavverkning</t>
        </is>
      </c>
      <c r="D541" s="1" t="n">
        <v>45268</v>
      </c>
      <c r="E541" s="1" t="n">
        <v>46248</v>
      </c>
      <c r="F541" t="inlineStr">
        <is>
          <t>BLEKINGE LÄN</t>
        </is>
      </c>
      <c r="G541" t="inlineStr">
        <is>
          <t>OLOFSTRÖM</t>
        </is>
      </c>
      <c r="H541" t="inlineStr">
        <is>
          <t>Övriga Aktiebolag</t>
        </is>
      </c>
      <c r="I541" t="n">
        <v>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1015-2023</t>
        </is>
      </c>
      <c r="B542" t="inlineStr">
        <is>
          <t>avverkningsanmälan</t>
        </is>
      </c>
      <c r="C542" t="inlineStr">
        <is>
          <t>Föryngringsavverkning</t>
        </is>
      </c>
      <c r="D542" s="1" t="n">
        <v>44935</v>
      </c>
      <c r="E542" s="1" t="n">
        <v>46248</v>
      </c>
      <c r="F542" t="inlineStr">
        <is>
          <t>BLEKINGE LÄN</t>
        </is>
      </c>
      <c r="G542" t="inlineStr">
        <is>
          <t>OLOFSTRÖM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72273-2021</t>
        </is>
      </c>
      <c r="B543" t="inlineStr">
        <is>
          <t>avverkningsanmälan</t>
        </is>
      </c>
      <c r="C543" t="inlineStr">
        <is>
          <t>Föryngringsavverkning</t>
        </is>
      </c>
      <c r="D543" s="1" t="n">
        <v>44545</v>
      </c>
      <c r="E543" s="1" t="n">
        <v>46248</v>
      </c>
      <c r="F543" t="inlineStr">
        <is>
          <t>BLEKINGE LÄN</t>
        </is>
      </c>
      <c r="G543" t="inlineStr">
        <is>
          <t>KARLSKRONA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26867-2024</t>
        </is>
      </c>
      <c r="B544" t="inlineStr">
        <is>
          <t>avverkningsanmälan</t>
        </is>
      </c>
      <c r="C544" t="inlineStr">
        <is>
          <t>Föryngringsavverkning</t>
        </is>
      </c>
      <c r="D544" s="1" t="n">
        <v>45470</v>
      </c>
      <c r="E544" s="1" t="n">
        <v>46248</v>
      </c>
      <c r="F544" t="inlineStr">
        <is>
          <t>BLEKINGE LÄN</t>
        </is>
      </c>
      <c r="G544" t="inlineStr">
        <is>
          <t>RONNEBY</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39360-2024</t>
        </is>
      </c>
      <c r="B545" t="inlineStr">
        <is>
          <t>avverkningsanmälan</t>
        </is>
      </c>
      <c r="C545" t="inlineStr">
        <is>
          <t>Föryngringsavverkning</t>
        </is>
      </c>
      <c r="D545" s="1" t="n">
        <v>45551</v>
      </c>
      <c r="E545" s="1" t="n">
        <v>46248</v>
      </c>
      <c r="F545" t="inlineStr">
        <is>
          <t>BLEKINGE LÄN</t>
        </is>
      </c>
      <c r="G545" t="inlineStr">
        <is>
          <t>KARLSKRONA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4665-2024</t>
        </is>
      </c>
      <c r="B546" t="inlineStr">
        <is>
          <t>avverkningsanmälan</t>
        </is>
      </c>
      <c r="C546" t="inlineStr">
        <is>
          <t>Föryngringsavverkning</t>
        </is>
      </c>
      <c r="D546" s="1" t="n">
        <v>45328</v>
      </c>
      <c r="E546" s="1" t="n">
        <v>46248</v>
      </c>
      <c r="F546" t="inlineStr">
        <is>
          <t>BLEKINGE LÄN</t>
        </is>
      </c>
      <c r="G546" t="inlineStr">
        <is>
          <t>RONNEBY</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19142-2022</t>
        </is>
      </c>
      <c r="B547" t="inlineStr">
        <is>
          <t>avverkningsanmälan</t>
        </is>
      </c>
      <c r="C547" t="inlineStr">
        <is>
          <t>Föryngringsavverkning</t>
        </is>
      </c>
      <c r="D547" s="1" t="n">
        <v>44691</v>
      </c>
      <c r="E547" s="1" t="n">
        <v>46248</v>
      </c>
      <c r="F547" t="inlineStr">
        <is>
          <t>BLEKINGE LÄN</t>
        </is>
      </c>
      <c r="G547" t="inlineStr">
        <is>
          <t>KARLSKRONA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5746-2023</t>
        </is>
      </c>
      <c r="B548" t="inlineStr">
        <is>
          <t>avverkningsanmälan</t>
        </is>
      </c>
      <c r="C548" t="inlineStr">
        <is>
          <t>Föryngringsavverkning</t>
        </is>
      </c>
      <c r="D548" s="1" t="n">
        <v>44962</v>
      </c>
      <c r="E548" s="1" t="n">
        <v>46248</v>
      </c>
      <c r="F548" t="inlineStr">
        <is>
          <t>BLEKINGE LÄN</t>
        </is>
      </c>
      <c r="G548" t="inlineStr">
        <is>
          <t>KARLSHAMN</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46279-2022</t>
        </is>
      </c>
      <c r="B549" t="inlineStr">
        <is>
          <t>avverkningsanmälan</t>
        </is>
      </c>
      <c r="C549" t="inlineStr">
        <is>
          <t>Föryngringsavverkning</t>
        </is>
      </c>
      <c r="D549" s="1" t="n">
        <v>44847</v>
      </c>
      <c r="E549" s="1" t="n">
        <v>46248</v>
      </c>
      <c r="F549" t="inlineStr">
        <is>
          <t>BLEKINGE LÄN</t>
        </is>
      </c>
      <c r="G549" t="inlineStr">
        <is>
          <t>KARLSKRONA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47775-2024</t>
        </is>
      </c>
      <c r="B550" t="inlineStr">
        <is>
          <t>avverkningsanmälan</t>
        </is>
      </c>
      <c r="C550" t="inlineStr">
        <is>
          <t>Föryngringsavverkning</t>
        </is>
      </c>
      <c r="D550" s="1" t="n">
        <v>45588</v>
      </c>
      <c r="E550" s="1" t="n">
        <v>46248</v>
      </c>
      <c r="F550" t="inlineStr">
        <is>
          <t>BLEKINGE LÄN</t>
        </is>
      </c>
      <c r="G550" t="inlineStr">
        <is>
          <t>RONNEBY</t>
        </is>
      </c>
      <c r="H550" t="inlineStr">
        <is>
          <t>Kommuner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64459-2023</t>
        </is>
      </c>
      <c r="B551" t="inlineStr">
        <is>
          <t>avverkningsanmälan</t>
        </is>
      </c>
      <c r="C551" t="inlineStr">
        <is>
          <t>Föryngringsavverkning</t>
        </is>
      </c>
      <c r="D551" s="1" t="n">
        <v>45280</v>
      </c>
      <c r="E551" s="1" t="n">
        <v>46248</v>
      </c>
      <c r="F551" t="inlineStr">
        <is>
          <t>BLEKINGE LÄN</t>
        </is>
      </c>
      <c r="G551" t="inlineStr">
        <is>
          <t>RONNEBY</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30509-2023</t>
        </is>
      </c>
      <c r="B552" t="inlineStr">
        <is>
          <t>avverkningsanmälan</t>
        </is>
      </c>
      <c r="C552" t="inlineStr">
        <is>
          <t>Föryngringsavverkning</t>
        </is>
      </c>
      <c r="D552" s="1" t="n">
        <v>45111</v>
      </c>
      <c r="E552" s="1" t="n">
        <v>46248</v>
      </c>
      <c r="F552" t="inlineStr">
        <is>
          <t>BLEKINGE LÄN</t>
        </is>
      </c>
      <c r="G552" t="inlineStr">
        <is>
          <t>OLOFSTRÖM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2807-2023</t>
        </is>
      </c>
      <c r="B553" t="inlineStr">
        <is>
          <t>avverkningsanmälan</t>
        </is>
      </c>
      <c r="C553" t="inlineStr">
        <is>
          <t>Föryngringsavverkning</t>
        </is>
      </c>
      <c r="D553" s="1" t="n">
        <v>44944</v>
      </c>
      <c r="E553" s="1" t="n">
        <v>46248</v>
      </c>
      <c r="F553" t="inlineStr">
        <is>
          <t>BLEKINGE LÄN</t>
        </is>
      </c>
      <c r="G553" t="inlineStr">
        <is>
          <t>RONNEBY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64466-2023</t>
        </is>
      </c>
      <c r="B554" t="inlineStr">
        <is>
          <t>avverkningsanmälan</t>
        </is>
      </c>
      <c r="C554" t="inlineStr">
        <is>
          <t>Föryngringsavverkning</t>
        </is>
      </c>
      <c r="D554" s="1" t="n">
        <v>45280</v>
      </c>
      <c r="E554" s="1" t="n">
        <v>46248</v>
      </c>
      <c r="F554" t="inlineStr">
        <is>
          <t>BLEKINGE LÄN</t>
        </is>
      </c>
      <c r="G554" t="inlineStr">
        <is>
          <t>RONNEBY</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24668-2023</t>
        </is>
      </c>
      <c r="B555" t="inlineStr">
        <is>
          <t>avverkningsanmälan</t>
        </is>
      </c>
      <c r="C555" t="inlineStr">
        <is>
          <t>Föryngringsavverkning</t>
        </is>
      </c>
      <c r="D555" s="1" t="n">
        <v>45084</v>
      </c>
      <c r="E555" s="1" t="n">
        <v>46248</v>
      </c>
      <c r="F555" t="inlineStr">
        <is>
          <t>BLEKINGE LÄN</t>
        </is>
      </c>
      <c r="G555" t="inlineStr">
        <is>
          <t>KARLSKRONA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55147-2021</t>
        </is>
      </c>
      <c r="B556" t="inlineStr">
        <is>
          <t>avverkningsanmälan</t>
        </is>
      </c>
      <c r="C556" t="inlineStr">
        <is>
          <t>Föryngringsavverkning</t>
        </is>
      </c>
      <c r="D556" s="1" t="n">
        <v>44474</v>
      </c>
      <c r="E556" s="1" t="n">
        <v>46248</v>
      </c>
      <c r="F556" t="inlineStr">
        <is>
          <t>BLEKINGE LÄN</t>
        </is>
      </c>
      <c r="G556" t="inlineStr">
        <is>
          <t>KARLSKRONA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60924-2024</t>
        </is>
      </c>
      <c r="B557" t="inlineStr">
        <is>
          <t>avverkningsanmälan</t>
        </is>
      </c>
      <c r="C557" t="inlineStr">
        <is>
          <t>Föryngringsavverkning</t>
        </is>
      </c>
      <c r="D557" s="1" t="n">
        <v>45645</v>
      </c>
      <c r="E557" s="1" t="n">
        <v>46248</v>
      </c>
      <c r="F557" t="inlineStr">
        <is>
          <t>BLEKINGE LÄN</t>
        </is>
      </c>
      <c r="G557" t="inlineStr">
        <is>
          <t>KARLSKRONA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42371-2023</t>
        </is>
      </c>
      <c r="B558" t="inlineStr">
        <is>
          <t>avverkningsanmälan</t>
        </is>
      </c>
      <c r="C558" t="inlineStr">
        <is>
          <t>Föryngringsavverkning</t>
        </is>
      </c>
      <c r="D558" s="1" t="n">
        <v>45180</v>
      </c>
      <c r="E558" s="1" t="n">
        <v>46248</v>
      </c>
      <c r="F558" t="inlineStr">
        <is>
          <t>BLEKINGE LÄN</t>
        </is>
      </c>
      <c r="G558" t="inlineStr">
        <is>
          <t>KARLSHAMN</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47892-2023</t>
        </is>
      </c>
      <c r="B559" t="inlineStr">
        <is>
          <t>avverkningsanmälan</t>
        </is>
      </c>
      <c r="C559" t="inlineStr">
        <is>
          <t>Föryngringsavverkning</t>
        </is>
      </c>
      <c r="D559" s="1" t="n">
        <v>45198</v>
      </c>
      <c r="E559" s="1" t="n">
        <v>46248</v>
      </c>
      <c r="F559" t="inlineStr">
        <is>
          <t>BLEKINGE LÄN</t>
        </is>
      </c>
      <c r="G559" t="inlineStr">
        <is>
          <t>OLOFSTRÖM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24931-2023</t>
        </is>
      </c>
      <c r="B560" t="inlineStr">
        <is>
          <t>avverkningsanmälan</t>
        </is>
      </c>
      <c r="C560" t="inlineStr">
        <is>
          <t>Föryngringsavverkning</t>
        </is>
      </c>
      <c r="D560" s="1" t="n">
        <v>45085</v>
      </c>
      <c r="E560" s="1" t="n">
        <v>46248</v>
      </c>
      <c r="F560" t="inlineStr">
        <is>
          <t>BLEKINGE LÄN</t>
        </is>
      </c>
      <c r="G560" t="inlineStr">
        <is>
          <t>KARLSKRONA</t>
        </is>
      </c>
      <c r="I560" t="n">
        <v>10.9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25216-2023</t>
        </is>
      </c>
      <c r="B561" t="inlineStr">
        <is>
          <t>avverkningsanmälan</t>
        </is>
      </c>
      <c r="C561" t="inlineStr">
        <is>
          <t>Föryngringsavverkning</t>
        </is>
      </c>
      <c r="D561" s="1" t="n">
        <v>45086</v>
      </c>
      <c r="E561" s="1" t="n">
        <v>46248</v>
      </c>
      <c r="F561" t="inlineStr">
        <is>
          <t>BLEKINGE LÄN</t>
        </is>
      </c>
      <c r="G561" t="inlineStr">
        <is>
          <t>RONNEBY</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51270-2021</t>
        </is>
      </c>
      <c r="B562" t="inlineStr">
        <is>
          <t>avverkningsanmälan</t>
        </is>
      </c>
      <c r="C562" t="inlineStr">
        <is>
          <t>Föryngringsavverkning</t>
        </is>
      </c>
      <c r="D562" s="1" t="n">
        <v>44461</v>
      </c>
      <c r="E562" s="1" t="n">
        <v>46248</v>
      </c>
      <c r="F562" t="inlineStr">
        <is>
          <t>BLEKINGE LÄN</t>
        </is>
      </c>
      <c r="G562" t="inlineStr">
        <is>
          <t>KARLSKRONA</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35858-2022</t>
        </is>
      </c>
      <c r="B563" t="inlineStr">
        <is>
          <t>avverkningsanmälan</t>
        </is>
      </c>
      <c r="C563" t="inlineStr">
        <is>
          <t>Föryngringsavverkning</t>
        </is>
      </c>
      <c r="D563" s="1" t="n">
        <v>44799</v>
      </c>
      <c r="E563" s="1" t="n">
        <v>46248</v>
      </c>
      <c r="F563" t="inlineStr">
        <is>
          <t>BLEKINGE LÄN</t>
        </is>
      </c>
      <c r="G563" t="inlineStr">
        <is>
          <t>KARLSKRONA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8799-2024</t>
        </is>
      </c>
      <c r="B564" t="inlineStr">
        <is>
          <t>avverkningsanmälan</t>
        </is>
      </c>
      <c r="C564" t="inlineStr">
        <is>
          <t>Föryngringsavverkning</t>
        </is>
      </c>
      <c r="D564" s="1" t="n">
        <v>45335</v>
      </c>
      <c r="E564" s="1" t="n">
        <v>46248</v>
      </c>
      <c r="F564" t="inlineStr">
        <is>
          <t>BLEKINGE LÄN</t>
        </is>
      </c>
      <c r="G564" t="inlineStr">
        <is>
          <t>KARLSKRONA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2388-2024</t>
        </is>
      </c>
      <c r="B565" t="inlineStr">
        <is>
          <t>avverkningsanmälan</t>
        </is>
      </c>
      <c r="C565" t="inlineStr">
        <is>
          <t>Föryngringsavverkning</t>
        </is>
      </c>
      <c r="D565" s="1" t="n">
        <v>45310</v>
      </c>
      <c r="E565" s="1" t="n">
        <v>46248</v>
      </c>
      <c r="F565" t="inlineStr">
        <is>
          <t>BLEKINGE LÄN</t>
        </is>
      </c>
      <c r="G565" t="inlineStr">
        <is>
          <t>RONNEBY</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55113-2024</t>
        </is>
      </c>
      <c r="B566" t="inlineStr">
        <is>
          <t>avverkningsanmälan</t>
        </is>
      </c>
      <c r="C566" t="inlineStr">
        <is>
          <t>Föryngringsavverkning</t>
        </is>
      </c>
      <c r="D566" s="1" t="n">
        <v>45621</v>
      </c>
      <c r="E566" s="1" t="n">
        <v>46248</v>
      </c>
      <c r="F566" t="inlineStr">
        <is>
          <t>BLEKINGE LÄN</t>
        </is>
      </c>
      <c r="G566" t="inlineStr">
        <is>
          <t>RONNEBY</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12698-2022</t>
        </is>
      </c>
      <c r="B567" t="inlineStr">
        <is>
          <t>avverkningsanmälan</t>
        </is>
      </c>
      <c r="C567" t="inlineStr">
        <is>
          <t>Föryngringsavverkning</t>
        </is>
      </c>
      <c r="D567" s="1" t="n">
        <v>44641</v>
      </c>
      <c r="E567" s="1" t="n">
        <v>46248</v>
      </c>
      <c r="F567" t="inlineStr">
        <is>
          <t>BLEKINGE LÄN</t>
        </is>
      </c>
      <c r="G567" t="inlineStr">
        <is>
          <t>KARLSKRONA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17904-2023</t>
        </is>
      </c>
      <c r="B568" t="inlineStr">
        <is>
          <t>avverkningsanmälan</t>
        </is>
      </c>
      <c r="C568" t="inlineStr">
        <is>
          <t>Föryngringsavverkning</t>
        </is>
      </c>
      <c r="D568" s="1" t="n">
        <v>45040</v>
      </c>
      <c r="E568" s="1" t="n">
        <v>46248</v>
      </c>
      <c r="F568" t="inlineStr">
        <is>
          <t>BLEKINGE LÄN</t>
        </is>
      </c>
      <c r="G568" t="inlineStr">
        <is>
          <t>RONNEBY</t>
        </is>
      </c>
      <c r="I568" t="n">
        <v>11.5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28975-2023</t>
        </is>
      </c>
      <c r="B569" t="inlineStr">
        <is>
          <t>avverkningsanmälan</t>
        </is>
      </c>
      <c r="C569" t="inlineStr">
        <is>
          <t>Avverkning för annat ändamål</t>
        </is>
      </c>
      <c r="D569" s="1" t="n">
        <v>45104</v>
      </c>
      <c r="E569" s="1" t="n">
        <v>46248</v>
      </c>
      <c r="F569" t="inlineStr">
        <is>
          <t>BLEKINGE LÄN</t>
        </is>
      </c>
      <c r="G569" t="inlineStr">
        <is>
          <t>RONNEBY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6980-2023</t>
        </is>
      </c>
      <c r="B570" t="inlineStr">
        <is>
          <t>avverkningsanmälan</t>
        </is>
      </c>
      <c r="C570" t="inlineStr">
        <is>
          <t>Föryngringsavverkning</t>
        </is>
      </c>
      <c r="D570" s="1" t="n">
        <v>44967</v>
      </c>
      <c r="E570" s="1" t="n">
        <v>46248</v>
      </c>
      <c r="F570" t="inlineStr">
        <is>
          <t>BLEKINGE LÄN</t>
        </is>
      </c>
      <c r="G570" t="inlineStr">
        <is>
          <t>KARLSKRONA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2885-2022</t>
        </is>
      </c>
      <c r="B571" t="inlineStr">
        <is>
          <t>avverkningsanmälan</t>
        </is>
      </c>
      <c r="C571" t="inlineStr">
        <is>
          <t>Föryngringsavverkning</t>
        </is>
      </c>
      <c r="D571" s="1" t="n">
        <v>44581</v>
      </c>
      <c r="E571" s="1" t="n">
        <v>46248</v>
      </c>
      <c r="F571" t="inlineStr">
        <is>
          <t>BLEKINGE LÄN</t>
        </is>
      </c>
      <c r="G571" t="inlineStr">
        <is>
          <t>OLOFSTRÖM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17599-2025</t>
        </is>
      </c>
      <c r="B572" t="inlineStr">
        <is>
          <t>avverkningsanmälan</t>
        </is>
      </c>
      <c r="C572" t="inlineStr">
        <is>
          <t>Föryngringsavverkning</t>
        </is>
      </c>
      <c r="D572" s="1" t="n">
        <v>45757</v>
      </c>
      <c r="E572" s="1" t="n">
        <v>46248</v>
      </c>
      <c r="F572" t="inlineStr">
        <is>
          <t>BLEKINGE LÄN</t>
        </is>
      </c>
      <c r="G572" t="inlineStr">
        <is>
          <t>RONNEBY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23098-2023</t>
        </is>
      </c>
      <c r="B573" t="inlineStr">
        <is>
          <t>avverkningsanmälan</t>
        </is>
      </c>
      <c r="C573" t="inlineStr">
        <is>
          <t>Föryngringsavverkning</t>
        </is>
      </c>
      <c r="D573" s="1" t="n">
        <v>45075</v>
      </c>
      <c r="E573" s="1" t="n">
        <v>46248</v>
      </c>
      <c r="F573" t="inlineStr">
        <is>
          <t>BLEKINGE LÄN</t>
        </is>
      </c>
      <c r="G573" t="inlineStr">
        <is>
          <t>KARLSKRONA</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61861-2023</t>
        </is>
      </c>
      <c r="B574" t="inlineStr">
        <is>
          <t>avverkningsanmälan</t>
        </is>
      </c>
      <c r="C574" t="inlineStr">
        <is>
          <t>Föryngringsavverkning</t>
        </is>
      </c>
      <c r="D574" s="1" t="n">
        <v>45266</v>
      </c>
      <c r="E574" s="1" t="n">
        <v>46248</v>
      </c>
      <c r="F574" t="inlineStr">
        <is>
          <t>BLEKINGE LÄN</t>
        </is>
      </c>
      <c r="G574" t="inlineStr">
        <is>
          <t>KARLSKRONA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23592-2023</t>
        </is>
      </c>
      <c r="B575" t="inlineStr">
        <is>
          <t>avverkningsanmälan</t>
        </is>
      </c>
      <c r="C575" t="inlineStr">
        <is>
          <t>Föryngringsavverkning</t>
        </is>
      </c>
      <c r="D575" s="1" t="n">
        <v>45077</v>
      </c>
      <c r="E575" s="1" t="n">
        <v>46248</v>
      </c>
      <c r="F575" t="inlineStr">
        <is>
          <t>BLEKINGE LÄN</t>
        </is>
      </c>
      <c r="G575" t="inlineStr">
        <is>
          <t>KARLSKRONA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47242-2023</t>
        </is>
      </c>
      <c r="B576" t="inlineStr">
        <is>
          <t>avverkningsanmälan</t>
        </is>
      </c>
      <c r="C576" t="inlineStr">
        <is>
          <t>Föryngringsavverkning</t>
        </is>
      </c>
      <c r="D576" s="1" t="n">
        <v>45197</v>
      </c>
      <c r="E576" s="1" t="n">
        <v>46248</v>
      </c>
      <c r="F576" t="inlineStr">
        <is>
          <t>BLEKINGE LÄN</t>
        </is>
      </c>
      <c r="G576" t="inlineStr">
        <is>
          <t>SÖLVESBORG</t>
        </is>
      </c>
      <c r="I576" t="n">
        <v>11.6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2382-2024</t>
        </is>
      </c>
      <c r="B577" t="inlineStr">
        <is>
          <t>avverkningsanmälan</t>
        </is>
      </c>
      <c r="C577" t="inlineStr">
        <is>
          <t>Föryngringsavverkning</t>
        </is>
      </c>
      <c r="D577" s="1" t="n">
        <v>45310</v>
      </c>
      <c r="E577" s="1" t="n">
        <v>46248</v>
      </c>
      <c r="F577" t="inlineStr">
        <is>
          <t>BLEKINGE LÄN</t>
        </is>
      </c>
      <c r="G577" t="inlineStr">
        <is>
          <t>RONNEBY</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11071-2023</t>
        </is>
      </c>
      <c r="B578" t="inlineStr">
        <is>
          <t>avverkningsanmälan</t>
        </is>
      </c>
      <c r="C578" t="inlineStr">
        <is>
          <t>Föryngringsavverkning</t>
        </is>
      </c>
      <c r="D578" s="1" t="n">
        <v>44992</v>
      </c>
      <c r="E578" s="1" t="n">
        <v>46248</v>
      </c>
      <c r="F578" t="inlineStr">
        <is>
          <t>BLEKINGE LÄN</t>
        </is>
      </c>
      <c r="G578" t="inlineStr">
        <is>
          <t>OLOFSTRÖM</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41875-2022</t>
        </is>
      </c>
      <c r="B579" t="inlineStr">
        <is>
          <t>avverkningsanmälan</t>
        </is>
      </c>
      <c r="C579" t="inlineStr">
        <is>
          <t>Föryngringsavverkning</t>
        </is>
      </c>
      <c r="D579" s="1" t="n">
        <v>44829</v>
      </c>
      <c r="E579" s="1" t="n">
        <v>46248</v>
      </c>
      <c r="F579" t="inlineStr">
        <is>
          <t>BLEKINGE LÄN</t>
        </is>
      </c>
      <c r="G579" t="inlineStr">
        <is>
          <t>RONNEBY</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15460-2023</t>
        </is>
      </c>
      <c r="B580" t="inlineStr">
        <is>
          <t>avverkningsanmälan</t>
        </is>
      </c>
      <c r="C580" t="inlineStr">
        <is>
          <t>Föryngringsavverkning</t>
        </is>
      </c>
      <c r="D580" s="1" t="n">
        <v>45020</v>
      </c>
      <c r="E580" s="1" t="n">
        <v>46248</v>
      </c>
      <c r="F580" t="inlineStr">
        <is>
          <t>BLEKINGE LÄN</t>
        </is>
      </c>
      <c r="G580" t="inlineStr">
        <is>
          <t>KARLSKRONA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10403-2022</t>
        </is>
      </c>
      <c r="B581" t="inlineStr">
        <is>
          <t>avverkningsanmälan</t>
        </is>
      </c>
      <c r="C581" t="inlineStr">
        <is>
          <t>Föryngringsavverkning</t>
        </is>
      </c>
      <c r="D581" s="1" t="n">
        <v>44623</v>
      </c>
      <c r="E581" s="1" t="n">
        <v>46248</v>
      </c>
      <c r="F581" t="inlineStr">
        <is>
          <t>BLEKINGE LÄN</t>
        </is>
      </c>
      <c r="G581" t="inlineStr">
        <is>
          <t>SÖLVESBORG</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57675-2023</t>
        </is>
      </c>
      <c r="B582" t="inlineStr">
        <is>
          <t>avverkningsanmälan</t>
        </is>
      </c>
      <c r="C582" t="inlineStr">
        <is>
          <t>Föryngringsavverkning</t>
        </is>
      </c>
      <c r="D582" s="1" t="n">
        <v>45246</v>
      </c>
      <c r="E582" s="1" t="n">
        <v>46248</v>
      </c>
      <c r="F582" t="inlineStr">
        <is>
          <t>BLEKINGE LÄN</t>
        </is>
      </c>
      <c r="G582" t="inlineStr">
        <is>
          <t>OLOFSTRÖM</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57678-2023</t>
        </is>
      </c>
      <c r="B583" t="inlineStr">
        <is>
          <t>avverkningsanmälan</t>
        </is>
      </c>
      <c r="C583" t="inlineStr">
        <is>
          <t>Föryngringsavverkning</t>
        </is>
      </c>
      <c r="D583" s="1" t="n">
        <v>45246</v>
      </c>
      <c r="E583" s="1" t="n">
        <v>46248</v>
      </c>
      <c r="F583" t="inlineStr">
        <is>
          <t>BLEKINGE LÄN</t>
        </is>
      </c>
      <c r="G583" t="inlineStr">
        <is>
          <t>KARLSHAMN</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57687-2023</t>
        </is>
      </c>
      <c r="B584" t="inlineStr">
        <is>
          <t>avverkningsanmälan</t>
        </is>
      </c>
      <c r="C584" t="inlineStr">
        <is>
          <t>Föryngringsavverkning</t>
        </is>
      </c>
      <c r="D584" s="1" t="n">
        <v>45246</v>
      </c>
      <c r="E584" s="1" t="n">
        <v>46248</v>
      </c>
      <c r="F584" t="inlineStr">
        <is>
          <t>BLEKINGE LÄN</t>
        </is>
      </c>
      <c r="G584" t="inlineStr">
        <is>
          <t>KARLSHAMN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4793-2022</t>
        </is>
      </c>
      <c r="B585" t="inlineStr">
        <is>
          <t>avverkningsanmälan</t>
        </is>
      </c>
      <c r="C585" t="inlineStr">
        <is>
          <t>Föryngringsavverkning</t>
        </is>
      </c>
      <c r="D585" s="1" t="n">
        <v>44592</v>
      </c>
      <c r="E585" s="1" t="n">
        <v>46248</v>
      </c>
      <c r="F585" t="inlineStr">
        <is>
          <t>BLEKINGE LÄN</t>
        </is>
      </c>
      <c r="G585" t="inlineStr">
        <is>
          <t>KARLSKRONA</t>
        </is>
      </c>
      <c r="H585" t="inlineStr">
        <is>
          <t>Kommuner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31038-2024</t>
        </is>
      </c>
      <c r="B586" t="inlineStr">
        <is>
          <t>avverkningsanmälan</t>
        </is>
      </c>
      <c r="C586" t="inlineStr">
        <is>
          <t>Föryngringsavverkning</t>
        </is>
      </c>
      <c r="D586" s="1" t="n">
        <v>45501</v>
      </c>
      <c r="E586" s="1" t="n">
        <v>46248</v>
      </c>
      <c r="F586" t="inlineStr">
        <is>
          <t>BLEKINGE LÄN</t>
        </is>
      </c>
      <c r="G586" t="inlineStr">
        <is>
          <t>KARLSHAMN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30992-2022</t>
        </is>
      </c>
      <c r="B587" t="inlineStr">
        <is>
          <t>avverkningsanmälan</t>
        </is>
      </c>
      <c r="C587" t="inlineStr">
        <is>
          <t>Föryngringsavverkning</t>
        </is>
      </c>
      <c r="D587" s="1" t="n">
        <v>44768</v>
      </c>
      <c r="E587" s="1" t="n">
        <v>46248</v>
      </c>
      <c r="F587" t="inlineStr">
        <is>
          <t>BLEKINGE LÄN</t>
        </is>
      </c>
      <c r="G587" t="inlineStr">
        <is>
          <t>SÖLVESBORG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5649-2024</t>
        </is>
      </c>
      <c r="B588" t="inlineStr">
        <is>
          <t>avverkningsanmälan</t>
        </is>
      </c>
      <c r="C588" t="inlineStr">
        <is>
          <t>Föryngringsavverkning</t>
        </is>
      </c>
      <c r="D588" s="1" t="n">
        <v>45334</v>
      </c>
      <c r="E588" s="1" t="n">
        <v>46248</v>
      </c>
      <c r="F588" t="inlineStr">
        <is>
          <t>BLEKINGE LÄN</t>
        </is>
      </c>
      <c r="G588" t="inlineStr">
        <is>
          <t>KARLSKRONA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36731-2024</t>
        </is>
      </c>
      <c r="B589" t="inlineStr">
        <is>
          <t>avverkningsanmälan</t>
        </is>
      </c>
      <c r="C589" t="inlineStr">
        <is>
          <t>Föryngringsavverkning</t>
        </is>
      </c>
      <c r="D589" s="1" t="n">
        <v>45537</v>
      </c>
      <c r="E589" s="1" t="n">
        <v>46248</v>
      </c>
      <c r="F589" t="inlineStr">
        <is>
          <t>BLEKINGE LÄN</t>
        </is>
      </c>
      <c r="G589" t="inlineStr">
        <is>
          <t>KARLSKRONA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36811-2024</t>
        </is>
      </c>
      <c r="B590" t="inlineStr">
        <is>
          <t>avverkningsanmälan</t>
        </is>
      </c>
      <c r="C590" t="inlineStr">
        <is>
          <t>Föryngringsavverkning</t>
        </is>
      </c>
      <c r="D590" s="1" t="n">
        <v>45538</v>
      </c>
      <c r="E590" s="1" t="n">
        <v>46248</v>
      </c>
      <c r="F590" t="inlineStr">
        <is>
          <t>BLEKINGE LÄN</t>
        </is>
      </c>
      <c r="G590" t="inlineStr">
        <is>
          <t>KARLSKRONA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54513-2021</t>
        </is>
      </c>
      <c r="B591" t="inlineStr">
        <is>
          <t>avverkningsanmälan</t>
        </is>
      </c>
      <c r="C591" t="inlineStr">
        <is>
          <t>Föryngringsavverkning</t>
        </is>
      </c>
      <c r="D591" s="1" t="n">
        <v>44473</v>
      </c>
      <c r="E591" s="1" t="n">
        <v>46248</v>
      </c>
      <c r="F591" t="inlineStr">
        <is>
          <t>BLEKINGE LÄN</t>
        </is>
      </c>
      <c r="G591" t="inlineStr">
        <is>
          <t>OLOFSTRÖM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55351-2023</t>
        </is>
      </c>
      <c r="B592" t="inlineStr">
        <is>
          <t>avverkningsanmälan</t>
        </is>
      </c>
      <c r="C592" t="inlineStr">
        <is>
          <t>Föryngringsavverkning</t>
        </is>
      </c>
      <c r="D592" s="1" t="n">
        <v>45238</v>
      </c>
      <c r="E592" s="1" t="n">
        <v>46248</v>
      </c>
      <c r="F592" t="inlineStr">
        <is>
          <t>BLEKINGE LÄN</t>
        </is>
      </c>
      <c r="G592" t="inlineStr">
        <is>
          <t>RONNEBY</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4902-2023</t>
        </is>
      </c>
      <c r="B593" t="inlineStr">
        <is>
          <t>avverkningsanmälan</t>
        </is>
      </c>
      <c r="C593" t="inlineStr">
        <is>
          <t>Föryngringsavverkning</t>
        </is>
      </c>
      <c r="D593" s="1" t="n">
        <v>44956</v>
      </c>
      <c r="E593" s="1" t="n">
        <v>46248</v>
      </c>
      <c r="F593" t="inlineStr">
        <is>
          <t>BLEKINGE LÄN</t>
        </is>
      </c>
      <c r="G593" t="inlineStr">
        <is>
          <t>RONNEBY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40714-2023</t>
        </is>
      </c>
      <c r="B594" t="inlineStr">
        <is>
          <t>avverkningsanmälan</t>
        </is>
      </c>
      <c r="C594" t="inlineStr">
        <is>
          <t>Föryngringsavverkning</t>
        </is>
      </c>
      <c r="D594" s="1" t="n">
        <v>45170</v>
      </c>
      <c r="E594" s="1" t="n">
        <v>46248</v>
      </c>
      <c r="F594" t="inlineStr">
        <is>
          <t>BLEKINGE LÄN</t>
        </is>
      </c>
      <c r="G594" t="inlineStr">
        <is>
          <t>KARLSKRONA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33766-2024</t>
        </is>
      </c>
      <c r="B595" t="inlineStr">
        <is>
          <t>avverkningsanmälan</t>
        </is>
      </c>
      <c r="C595" t="inlineStr">
        <is>
          <t>Föryngringsavverkning</t>
        </is>
      </c>
      <c r="D595" s="1" t="n">
        <v>45520</v>
      </c>
      <c r="E595" s="1" t="n">
        <v>46248</v>
      </c>
      <c r="F595" t="inlineStr">
        <is>
          <t>BLEKINGE LÄN</t>
        </is>
      </c>
      <c r="G595" t="inlineStr">
        <is>
          <t>SÖLVESBORG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57238-2024</t>
        </is>
      </c>
      <c r="B596" t="inlineStr">
        <is>
          <t>avverkningsanmälan</t>
        </is>
      </c>
      <c r="C596" t="inlineStr">
        <is>
          <t>Föryngringsavverkning</t>
        </is>
      </c>
      <c r="D596" s="1" t="n">
        <v>45629</v>
      </c>
      <c r="E596" s="1" t="n">
        <v>46248</v>
      </c>
      <c r="F596" t="inlineStr">
        <is>
          <t>BLEKINGE LÄN</t>
        </is>
      </c>
      <c r="G596" t="inlineStr">
        <is>
          <t>OLOFSTRÖM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30536-2023</t>
        </is>
      </c>
      <c r="B597" t="inlineStr">
        <is>
          <t>avverkningsanmälan</t>
        </is>
      </c>
      <c r="C597" t="inlineStr">
        <is>
          <t>Föryngringsavverkning</t>
        </is>
      </c>
      <c r="D597" s="1" t="n">
        <v>45111</v>
      </c>
      <c r="E597" s="1" t="n">
        <v>46248</v>
      </c>
      <c r="F597" t="inlineStr">
        <is>
          <t>BLEKINGE LÄN</t>
        </is>
      </c>
      <c r="G597" t="inlineStr">
        <is>
          <t>RONNEBY</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3012-2024</t>
        </is>
      </c>
      <c r="B598" t="inlineStr">
        <is>
          <t>avverkningsanmälan</t>
        </is>
      </c>
      <c r="C598" t="inlineStr">
        <is>
          <t>Föryngringsavverkning</t>
        </is>
      </c>
      <c r="D598" s="1" t="n">
        <v>45315</v>
      </c>
      <c r="E598" s="1" t="n">
        <v>46248</v>
      </c>
      <c r="F598" t="inlineStr">
        <is>
          <t>BLEKINGE LÄN</t>
        </is>
      </c>
      <c r="G598" t="inlineStr">
        <is>
          <t>KARLSKRONA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69510-2021</t>
        </is>
      </c>
      <c r="B599" t="inlineStr">
        <is>
          <t>avverkningsanmälan</t>
        </is>
      </c>
      <c r="C599" t="inlineStr">
        <is>
          <t>Föryngringsavverkning</t>
        </is>
      </c>
      <c r="D599" s="1" t="n">
        <v>44531</v>
      </c>
      <c r="E599" s="1" t="n">
        <v>46248</v>
      </c>
      <c r="F599" t="inlineStr">
        <is>
          <t>BLEKINGE LÄN</t>
        </is>
      </c>
      <c r="G599" t="inlineStr">
        <is>
          <t>OLOFSTRÖM</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38619-2023</t>
        </is>
      </c>
      <c r="B600" t="inlineStr">
        <is>
          <t>avverkningsanmälan</t>
        </is>
      </c>
      <c r="C600" t="inlineStr">
        <is>
          <t>Avverkning för annat ändamål</t>
        </is>
      </c>
      <c r="D600" s="1" t="n">
        <v>45162</v>
      </c>
      <c r="E600" s="1" t="n">
        <v>46248</v>
      </c>
      <c r="F600" t="inlineStr">
        <is>
          <t>BLEKINGE LÄN</t>
        </is>
      </c>
      <c r="G600" t="inlineStr">
        <is>
          <t>KARLSKRONA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21810-2023</t>
        </is>
      </c>
      <c r="B601" t="inlineStr">
        <is>
          <t>avverkningsanmälan</t>
        </is>
      </c>
      <c r="C601" t="inlineStr">
        <is>
          <t>Föryngringsavverkning</t>
        </is>
      </c>
      <c r="D601" s="1" t="n">
        <v>45068</v>
      </c>
      <c r="E601" s="1" t="n">
        <v>46248</v>
      </c>
      <c r="F601" t="inlineStr">
        <is>
          <t>BLEKINGE LÄN</t>
        </is>
      </c>
      <c r="G601" t="inlineStr">
        <is>
          <t>KARLSHAMN</t>
        </is>
      </c>
      <c r="H601" t="inlineStr">
        <is>
          <t>Kommuner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53326-2022</t>
        </is>
      </c>
      <c r="B602" t="inlineStr">
        <is>
          <t>avverkningsanmälan</t>
        </is>
      </c>
      <c r="C602" t="inlineStr">
        <is>
          <t>Föryngringsavverkning</t>
        </is>
      </c>
      <c r="D602" s="1" t="n">
        <v>44879</v>
      </c>
      <c r="E602" s="1" t="n">
        <v>46248</v>
      </c>
      <c r="F602" t="inlineStr">
        <is>
          <t>BLEKINGE LÄN</t>
        </is>
      </c>
      <c r="G602" t="inlineStr">
        <is>
          <t>KARLSKRONA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50201-2024</t>
        </is>
      </c>
      <c r="B603" t="inlineStr">
        <is>
          <t>avverkningsanmälan</t>
        </is>
      </c>
      <c r="C603" t="inlineStr">
        <is>
          <t>Föryngringsavverkning</t>
        </is>
      </c>
      <c r="D603" s="1" t="n">
        <v>45600</v>
      </c>
      <c r="E603" s="1" t="n">
        <v>46248</v>
      </c>
      <c r="F603" t="inlineStr">
        <is>
          <t>BLEKINGE LÄN</t>
        </is>
      </c>
      <c r="G603" t="inlineStr">
        <is>
          <t>RONNEBY</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10767-2022</t>
        </is>
      </c>
      <c r="B604" t="inlineStr">
        <is>
          <t>avverkningsanmälan</t>
        </is>
      </c>
      <c r="C604" t="inlineStr">
        <is>
          <t>Föryngringsavverkning</t>
        </is>
      </c>
      <c r="D604" s="1" t="n">
        <v>44627</v>
      </c>
      <c r="E604" s="1" t="n">
        <v>46248</v>
      </c>
      <c r="F604" t="inlineStr">
        <is>
          <t>BLEKINGE LÄN</t>
        </is>
      </c>
      <c r="G604" t="inlineStr">
        <is>
          <t>RONNEBY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59573-2023</t>
        </is>
      </c>
      <c r="B605" t="inlineStr">
        <is>
          <t>avverkningsanmälan</t>
        </is>
      </c>
      <c r="C605" t="inlineStr">
        <is>
          <t>Föryngringsavverkning</t>
        </is>
      </c>
      <c r="D605" s="1" t="n">
        <v>45254</v>
      </c>
      <c r="E605" s="1" t="n">
        <v>46248</v>
      </c>
      <c r="F605" t="inlineStr">
        <is>
          <t>BLEKINGE LÄN</t>
        </is>
      </c>
      <c r="G605" t="inlineStr">
        <is>
          <t>KARLSHAMN</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10390-2024</t>
        </is>
      </c>
      <c r="B606" t="inlineStr">
        <is>
          <t>avverkningsanmälan</t>
        </is>
      </c>
      <c r="C606" t="inlineStr">
        <is>
          <t>Föryngringsavverkning</t>
        </is>
      </c>
      <c r="D606" s="1" t="n">
        <v>45365</v>
      </c>
      <c r="E606" s="1" t="n">
        <v>46248</v>
      </c>
      <c r="F606" t="inlineStr">
        <is>
          <t>BLEKINGE LÄN</t>
        </is>
      </c>
      <c r="G606" t="inlineStr">
        <is>
          <t>SÖLVESBORG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46542-2022</t>
        </is>
      </c>
      <c r="B607" t="inlineStr">
        <is>
          <t>avverkningsanmälan</t>
        </is>
      </c>
      <c r="C607" t="inlineStr">
        <is>
          <t>Föryngringsavverkning</t>
        </is>
      </c>
      <c r="D607" s="1" t="n">
        <v>44848</v>
      </c>
      <c r="E607" s="1" t="n">
        <v>46248</v>
      </c>
      <c r="F607" t="inlineStr">
        <is>
          <t>BLEKINGE LÄN</t>
        </is>
      </c>
      <c r="G607" t="inlineStr">
        <is>
          <t>RONNEBY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39391-2023</t>
        </is>
      </c>
      <c r="B608" t="inlineStr">
        <is>
          <t>avverkningsanmälan</t>
        </is>
      </c>
      <c r="C608" t="inlineStr">
        <is>
          <t>Föryngringsavverkning</t>
        </is>
      </c>
      <c r="D608" s="1" t="n">
        <v>45166</v>
      </c>
      <c r="E608" s="1" t="n">
        <v>46248</v>
      </c>
      <c r="F608" t="inlineStr">
        <is>
          <t>BLEKINGE LÄN</t>
        </is>
      </c>
      <c r="G608" t="inlineStr">
        <is>
          <t>KARLSKRONA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11024-2024</t>
        </is>
      </c>
      <c r="B609" t="inlineStr">
        <is>
          <t>avverkningsanmälan</t>
        </is>
      </c>
      <c r="C609" t="inlineStr">
        <is>
          <t>Föryngringsavverkning</t>
        </is>
      </c>
      <c r="D609" s="1" t="n">
        <v>45370</v>
      </c>
      <c r="E609" s="1" t="n">
        <v>46248</v>
      </c>
      <c r="F609" t="inlineStr">
        <is>
          <t>BLEKINGE LÄN</t>
        </is>
      </c>
      <c r="G609" t="inlineStr">
        <is>
          <t>KARLSKRONA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39468-2023</t>
        </is>
      </c>
      <c r="B610" t="inlineStr">
        <is>
          <t>avverkningsanmälan</t>
        </is>
      </c>
      <c r="C610" t="inlineStr">
        <is>
          <t>Föryngringsavverkning</t>
        </is>
      </c>
      <c r="D610" s="1" t="n">
        <v>45166</v>
      </c>
      <c r="E610" s="1" t="n">
        <v>46248</v>
      </c>
      <c r="F610" t="inlineStr">
        <is>
          <t>BLEKINGE LÄN</t>
        </is>
      </c>
      <c r="G610" t="inlineStr">
        <is>
          <t>RONNEBY</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39472-2024</t>
        </is>
      </c>
      <c r="B611" t="inlineStr">
        <is>
          <t>avverkningsanmälan</t>
        </is>
      </c>
      <c r="C611" t="inlineStr">
        <is>
          <t>Föryngringsavverkning</t>
        </is>
      </c>
      <c r="D611" s="1" t="n">
        <v>45551</v>
      </c>
      <c r="E611" s="1" t="n">
        <v>46248</v>
      </c>
      <c r="F611" t="inlineStr">
        <is>
          <t>BLEKINGE LÄN</t>
        </is>
      </c>
      <c r="G611" t="inlineStr">
        <is>
          <t>RONNEBY</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58627-2023</t>
        </is>
      </c>
      <c r="B612" t="inlineStr">
        <is>
          <t>avverkningsanmälan</t>
        </is>
      </c>
      <c r="C612" t="inlineStr">
        <is>
          <t>Föryngringsavverkning</t>
        </is>
      </c>
      <c r="D612" s="1" t="n">
        <v>45251</v>
      </c>
      <c r="E612" s="1" t="n">
        <v>46248</v>
      </c>
      <c r="F612" t="inlineStr">
        <is>
          <t>BLEKINGE LÄN</t>
        </is>
      </c>
      <c r="G612" t="inlineStr">
        <is>
          <t>KARLSKRONA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40219-2023</t>
        </is>
      </c>
      <c r="B613" t="inlineStr">
        <is>
          <t>avverkningsanmälan</t>
        </is>
      </c>
      <c r="C613" t="inlineStr">
        <is>
          <t>Föryngringsavverkning</t>
        </is>
      </c>
      <c r="D613" s="1" t="n">
        <v>45169</v>
      </c>
      <c r="E613" s="1" t="n">
        <v>46248</v>
      </c>
      <c r="F613" t="inlineStr">
        <is>
          <t>BLEKINGE LÄN</t>
        </is>
      </c>
      <c r="G613" t="inlineStr">
        <is>
          <t>KARLSKRONA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11630-2022</t>
        </is>
      </c>
      <c r="B614" t="inlineStr">
        <is>
          <t>avverkningsanmälan</t>
        </is>
      </c>
      <c r="C614" t="inlineStr">
        <is>
          <t>Föryngringsavverkning</t>
        </is>
      </c>
      <c r="D614" s="1" t="n">
        <v>44631</v>
      </c>
      <c r="E614" s="1" t="n">
        <v>46248</v>
      </c>
      <c r="F614" t="inlineStr">
        <is>
          <t>BLEKINGE LÄN</t>
        </is>
      </c>
      <c r="G614" t="inlineStr">
        <is>
          <t>KARLSKRONA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54532-2022</t>
        </is>
      </c>
      <c r="B615" t="inlineStr">
        <is>
          <t>avverkningsanmälan</t>
        </is>
      </c>
      <c r="C615" t="inlineStr">
        <is>
          <t>Föryngringsavverkning</t>
        </is>
      </c>
      <c r="D615" s="1" t="n">
        <v>44882</v>
      </c>
      <c r="E615" s="1" t="n">
        <v>46248</v>
      </c>
      <c r="F615" t="inlineStr">
        <is>
          <t>BLEKINGE LÄN</t>
        </is>
      </c>
      <c r="G615" t="inlineStr">
        <is>
          <t>RONNEBY</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26796-2023</t>
        </is>
      </c>
      <c r="B616" t="inlineStr">
        <is>
          <t>avverkningsanmälan</t>
        </is>
      </c>
      <c r="C616" t="inlineStr">
        <is>
          <t>Föryngringsavverkning</t>
        </is>
      </c>
      <c r="D616" s="1" t="n">
        <v>45093</v>
      </c>
      <c r="E616" s="1" t="n">
        <v>46248</v>
      </c>
      <c r="F616" t="inlineStr">
        <is>
          <t>BLEKINGE LÄN</t>
        </is>
      </c>
      <c r="G616" t="inlineStr">
        <is>
          <t>KARLSKRONA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25455-2024</t>
        </is>
      </c>
      <c r="B617" t="inlineStr">
        <is>
          <t>avverkningsanmälan</t>
        </is>
      </c>
      <c r="C617" t="inlineStr">
        <is>
          <t>Föryngringsavverkning</t>
        </is>
      </c>
      <c r="D617" s="1" t="n">
        <v>45463</v>
      </c>
      <c r="E617" s="1" t="n">
        <v>46248</v>
      </c>
      <c r="F617" t="inlineStr">
        <is>
          <t>BLEKINGE LÄN</t>
        </is>
      </c>
      <c r="G617" t="inlineStr">
        <is>
          <t>KARLSKRONA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25458-2024</t>
        </is>
      </c>
      <c r="B618" t="inlineStr">
        <is>
          <t>avverkningsanmälan</t>
        </is>
      </c>
      <c r="C618" t="inlineStr">
        <is>
          <t>Föryngringsavverkning</t>
        </is>
      </c>
      <c r="D618" s="1" t="n">
        <v>45463</v>
      </c>
      <c r="E618" s="1" t="n">
        <v>46248</v>
      </c>
      <c r="F618" t="inlineStr">
        <is>
          <t>BLEKINGE LÄN</t>
        </is>
      </c>
      <c r="G618" t="inlineStr">
        <is>
          <t>KARLSKRONA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62278-2022</t>
        </is>
      </c>
      <c r="B619" t="inlineStr">
        <is>
          <t>avverkningsanmälan</t>
        </is>
      </c>
      <c r="C619" t="inlineStr">
        <is>
          <t>Föryngringsavverkning</t>
        </is>
      </c>
      <c r="D619" s="1" t="n">
        <v>44916</v>
      </c>
      <c r="E619" s="1" t="n">
        <v>46248</v>
      </c>
      <c r="F619" t="inlineStr">
        <is>
          <t>BLEKINGE LÄN</t>
        </is>
      </c>
      <c r="G619" t="inlineStr">
        <is>
          <t>RONNEBY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36202-2024</t>
        </is>
      </c>
      <c r="B620" t="inlineStr">
        <is>
          <t>avverkningsanmälan</t>
        </is>
      </c>
      <c r="C620" t="inlineStr">
        <is>
          <t>Föryngringsavverkning</t>
        </is>
      </c>
      <c r="D620" s="1" t="n">
        <v>45534</v>
      </c>
      <c r="E620" s="1" t="n">
        <v>46248</v>
      </c>
      <c r="F620" t="inlineStr">
        <is>
          <t>BLEKINGE LÄN</t>
        </is>
      </c>
      <c r="G620" t="inlineStr">
        <is>
          <t>RONNEBY</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15464-2024</t>
        </is>
      </c>
      <c r="B621" t="inlineStr">
        <is>
          <t>avverkningsanmälan</t>
        </is>
      </c>
      <c r="C621" t="inlineStr">
        <is>
          <t>Föryngringsavverkning</t>
        </is>
      </c>
      <c r="D621" s="1" t="n">
        <v>45401</v>
      </c>
      <c r="E621" s="1" t="n">
        <v>46248</v>
      </c>
      <c r="F621" t="inlineStr">
        <is>
          <t>BLEKINGE LÄN</t>
        </is>
      </c>
      <c r="G621" t="inlineStr">
        <is>
          <t>OLOFSTRÖM</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20527-2023</t>
        </is>
      </c>
      <c r="B622" t="inlineStr">
        <is>
          <t>avverkningsanmälan</t>
        </is>
      </c>
      <c r="C622" t="inlineStr">
        <is>
          <t>Föryngringsavverkning</t>
        </is>
      </c>
      <c r="D622" s="1" t="n">
        <v>45057</v>
      </c>
      <c r="E622" s="1" t="n">
        <v>46248</v>
      </c>
      <c r="F622" t="inlineStr">
        <is>
          <t>BLEKINGE LÄN</t>
        </is>
      </c>
      <c r="G622" t="inlineStr">
        <is>
          <t>KARLSKRONA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17017-2025</t>
        </is>
      </c>
      <c r="B623" t="inlineStr">
        <is>
          <t>avverkningsanmälan</t>
        </is>
      </c>
      <c r="C623" t="inlineStr">
        <is>
          <t>Föryngringsavverkning</t>
        </is>
      </c>
      <c r="D623" s="1" t="n">
        <v>45755</v>
      </c>
      <c r="E623" s="1" t="n">
        <v>46248</v>
      </c>
      <c r="F623" t="inlineStr">
        <is>
          <t>BLEKINGE LÄN</t>
        </is>
      </c>
      <c r="G623" t="inlineStr">
        <is>
          <t>OLOFSTRÖM</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35271-2022</t>
        </is>
      </c>
      <c r="B624" t="inlineStr">
        <is>
          <t>avverkningsanmälan</t>
        </is>
      </c>
      <c r="C624" t="inlineStr">
        <is>
          <t>Föryngringsavverkning</t>
        </is>
      </c>
      <c r="D624" s="1" t="n">
        <v>44797</v>
      </c>
      <c r="E624" s="1" t="n">
        <v>46248</v>
      </c>
      <c r="F624" t="inlineStr">
        <is>
          <t>BLEKINGE LÄN</t>
        </is>
      </c>
      <c r="G624" t="inlineStr">
        <is>
          <t>KARLSHAMN</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17440-2023</t>
        </is>
      </c>
      <c r="B625" t="inlineStr">
        <is>
          <t>avverkningsanmälan</t>
        </is>
      </c>
      <c r="C625" t="inlineStr">
        <is>
          <t>Föryngringsavverkning</t>
        </is>
      </c>
      <c r="D625" s="1" t="n">
        <v>45035</v>
      </c>
      <c r="E625" s="1" t="n">
        <v>46248</v>
      </c>
      <c r="F625" t="inlineStr">
        <is>
          <t>BLEKINGE LÄN</t>
        </is>
      </c>
      <c r="G625" t="inlineStr">
        <is>
          <t>KARLSHAMN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39775-2024</t>
        </is>
      </c>
      <c r="B626" t="inlineStr">
        <is>
          <t>avverkningsanmälan</t>
        </is>
      </c>
      <c r="C626" t="inlineStr">
        <is>
          <t>Avverkning för annat ändamål</t>
        </is>
      </c>
      <c r="D626" s="1" t="n">
        <v>45552</v>
      </c>
      <c r="E626" s="1" t="n">
        <v>46248</v>
      </c>
      <c r="F626" t="inlineStr">
        <is>
          <t>BLEKINGE LÄN</t>
        </is>
      </c>
      <c r="G626" t="inlineStr">
        <is>
          <t>OLOFSTRÖM</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29583-2022</t>
        </is>
      </c>
      <c r="B627" t="inlineStr">
        <is>
          <t>avverkningsanmälan</t>
        </is>
      </c>
      <c r="C627" t="inlineStr">
        <is>
          <t>Föryngringsavverkning</t>
        </is>
      </c>
      <c r="D627" s="1" t="n">
        <v>44754</v>
      </c>
      <c r="E627" s="1" t="n">
        <v>46248</v>
      </c>
      <c r="F627" t="inlineStr">
        <is>
          <t>BLEKINGE LÄN</t>
        </is>
      </c>
      <c r="G627" t="inlineStr">
        <is>
          <t>KARLSKRONA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58729-2023</t>
        </is>
      </c>
      <c r="B628" t="inlineStr">
        <is>
          <t>avverkningsanmälan</t>
        </is>
      </c>
      <c r="C628" t="inlineStr">
        <is>
          <t>Föryngringsavverkning</t>
        </is>
      </c>
      <c r="D628" s="1" t="n">
        <v>45251</v>
      </c>
      <c r="E628" s="1" t="n">
        <v>46248</v>
      </c>
      <c r="F628" t="inlineStr">
        <is>
          <t>BLEKINGE LÄN</t>
        </is>
      </c>
      <c r="G628" t="inlineStr">
        <is>
          <t>KARLSKRONA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13502-2024</t>
        </is>
      </c>
      <c r="B629" t="inlineStr">
        <is>
          <t>avverkningsanmälan</t>
        </is>
      </c>
      <c r="C629" t="inlineStr">
        <is>
          <t>Föryngringsavverkning</t>
        </is>
      </c>
      <c r="D629" s="1" t="n">
        <v>45387</v>
      </c>
      <c r="E629" s="1" t="n">
        <v>46248</v>
      </c>
      <c r="F629" t="inlineStr">
        <is>
          <t>BLEKINGE LÄN</t>
        </is>
      </c>
      <c r="G629" t="inlineStr">
        <is>
          <t>RONNEBY</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61123-2024</t>
        </is>
      </c>
      <c r="B630" t="inlineStr">
        <is>
          <t>avverkningsanmälan</t>
        </is>
      </c>
      <c r="C630" t="inlineStr">
        <is>
          <t>Föryngringsavverkning</t>
        </is>
      </c>
      <c r="D630" s="1" t="n">
        <v>45645</v>
      </c>
      <c r="E630" s="1" t="n">
        <v>46248</v>
      </c>
      <c r="F630" t="inlineStr">
        <is>
          <t>BLEKINGE LÄN</t>
        </is>
      </c>
      <c r="G630" t="inlineStr">
        <is>
          <t>OLOFSTRÖM</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26496-2023</t>
        </is>
      </c>
      <c r="B631" t="inlineStr">
        <is>
          <t>avverkningsanmälan</t>
        </is>
      </c>
      <c r="C631" t="inlineStr">
        <is>
          <t>Föryngringsavverkning</t>
        </is>
      </c>
      <c r="D631" s="1" t="n">
        <v>45092</v>
      </c>
      <c r="E631" s="1" t="n">
        <v>46248</v>
      </c>
      <c r="F631" t="inlineStr">
        <is>
          <t>BLEKINGE LÄN</t>
        </is>
      </c>
      <c r="G631" t="inlineStr">
        <is>
          <t>KARLSKRONA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59946-2021</t>
        </is>
      </c>
      <c r="B632" t="inlineStr">
        <is>
          <t>avverkningsanmälan</t>
        </is>
      </c>
      <c r="C632" t="inlineStr">
        <is>
          <t>Föryngringsavverkning</t>
        </is>
      </c>
      <c r="D632" s="1" t="n">
        <v>44494</v>
      </c>
      <c r="E632" s="1" t="n">
        <v>46248</v>
      </c>
      <c r="F632" t="inlineStr">
        <is>
          <t>BLEKINGE LÄN</t>
        </is>
      </c>
      <c r="G632" t="inlineStr">
        <is>
          <t>RONNEBY</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16288-2023</t>
        </is>
      </c>
      <c r="B633" t="inlineStr">
        <is>
          <t>avverkningsanmälan</t>
        </is>
      </c>
      <c r="C633" t="inlineStr">
        <is>
          <t>Föryngringsavverkning</t>
        </is>
      </c>
      <c r="D633" s="1" t="n">
        <v>45028</v>
      </c>
      <c r="E633" s="1" t="n">
        <v>46248</v>
      </c>
      <c r="F633" t="inlineStr">
        <is>
          <t>BLEKINGE LÄN</t>
        </is>
      </c>
      <c r="G633" t="inlineStr">
        <is>
          <t>KARLSKRONA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73356-2021</t>
        </is>
      </c>
      <c r="B634" t="inlineStr">
        <is>
          <t>avverkningsanmälan</t>
        </is>
      </c>
      <c r="C634" t="inlineStr">
        <is>
          <t>Föryngringsavverkning</t>
        </is>
      </c>
      <c r="D634" s="1" t="n">
        <v>44551</v>
      </c>
      <c r="E634" s="1" t="n">
        <v>46248</v>
      </c>
      <c r="F634" t="inlineStr">
        <is>
          <t>BLEKINGE LÄN</t>
        </is>
      </c>
      <c r="G634" t="inlineStr">
        <is>
          <t>KARLSKRONA</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56592-2022</t>
        </is>
      </c>
      <c r="B635" t="inlineStr">
        <is>
          <t>avverkningsanmälan</t>
        </is>
      </c>
      <c r="C635" t="inlineStr">
        <is>
          <t>Föryngringsavverkning</t>
        </is>
      </c>
      <c r="D635" s="1" t="n">
        <v>44893</v>
      </c>
      <c r="E635" s="1" t="n">
        <v>46248</v>
      </c>
      <c r="F635" t="inlineStr">
        <is>
          <t>BLEKINGE LÄN</t>
        </is>
      </c>
      <c r="G635" t="inlineStr">
        <is>
          <t>RONNEBY</t>
        </is>
      </c>
      <c r="I635" t="n">
        <v>7.5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29262-2023</t>
        </is>
      </c>
      <c r="B636" t="inlineStr">
        <is>
          <t>avverkningsanmälan</t>
        </is>
      </c>
      <c r="C636" t="inlineStr">
        <is>
          <t>Föryngringsavverkning</t>
        </is>
      </c>
      <c r="D636" s="1" t="n">
        <v>45098</v>
      </c>
      <c r="E636" s="1" t="n">
        <v>46248</v>
      </c>
      <c r="F636" t="inlineStr">
        <is>
          <t>BLEKINGE LÄN</t>
        </is>
      </c>
      <c r="G636" t="inlineStr">
        <is>
          <t>RONNEBY</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15208-2025</t>
        </is>
      </c>
      <c r="B637" t="inlineStr">
        <is>
          <t>avverkningsanmälan</t>
        </is>
      </c>
      <c r="C637" t="inlineStr">
        <is>
          <t>Föryngringsavverkning</t>
        </is>
      </c>
      <c r="D637" s="1" t="n">
        <v>45744</v>
      </c>
      <c r="E637" s="1" t="n">
        <v>46248</v>
      </c>
      <c r="F637" t="inlineStr">
        <is>
          <t>BLEKINGE LÄN</t>
        </is>
      </c>
      <c r="G637" t="inlineStr">
        <is>
          <t>KARLSHAMN</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52637-2024</t>
        </is>
      </c>
      <c r="B638" t="inlineStr">
        <is>
          <t>avverkningsanmälan</t>
        </is>
      </c>
      <c r="C638" t="inlineStr">
        <is>
          <t>Föryngringsavverkning</t>
        </is>
      </c>
      <c r="D638" s="1" t="n">
        <v>45610</v>
      </c>
      <c r="E638" s="1" t="n">
        <v>46248</v>
      </c>
      <c r="F638" t="inlineStr">
        <is>
          <t>BLEKINGE LÄN</t>
        </is>
      </c>
      <c r="G638" t="inlineStr">
        <is>
          <t>RONNEBY</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2200-2025</t>
        </is>
      </c>
      <c r="B639" t="inlineStr">
        <is>
          <t>avverkningsanmälan</t>
        </is>
      </c>
      <c r="C639" t="inlineStr">
        <is>
          <t>Föryngringsavverkning</t>
        </is>
      </c>
      <c r="D639" s="1" t="n">
        <v>45673</v>
      </c>
      <c r="E639" s="1" t="n">
        <v>46248</v>
      </c>
      <c r="F639" t="inlineStr">
        <is>
          <t>BLEKINGE LÄN</t>
        </is>
      </c>
      <c r="G639" t="inlineStr">
        <is>
          <t>SÖLVESBORG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2210-2025</t>
        </is>
      </c>
      <c r="B640" t="inlineStr">
        <is>
          <t>avverkningsanmälan</t>
        </is>
      </c>
      <c r="C640" t="inlineStr">
        <is>
          <t>Föryngringsavverkning</t>
        </is>
      </c>
      <c r="D640" s="1" t="n">
        <v>45673</v>
      </c>
      <c r="E640" s="1" t="n">
        <v>46248</v>
      </c>
      <c r="F640" t="inlineStr">
        <is>
          <t>BLEKINGE LÄN</t>
        </is>
      </c>
      <c r="G640" t="inlineStr">
        <is>
          <t>SÖLVESBORG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8041-2025</t>
        </is>
      </c>
      <c r="B641" t="inlineStr">
        <is>
          <t>avverkningsanmälan</t>
        </is>
      </c>
      <c r="C641" t="inlineStr">
        <is>
          <t>Föryngringsavverkning</t>
        </is>
      </c>
      <c r="D641" s="1" t="n">
        <v>45707</v>
      </c>
      <c r="E641" s="1" t="n">
        <v>46248</v>
      </c>
      <c r="F641" t="inlineStr">
        <is>
          <t>BLEKINGE LÄN</t>
        </is>
      </c>
      <c r="G641" t="inlineStr">
        <is>
          <t>OLOFSTRÖM</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8060-2025</t>
        </is>
      </c>
      <c r="B642" t="inlineStr">
        <is>
          <t>avverkningsanmälan</t>
        </is>
      </c>
      <c r="C642" t="inlineStr">
        <is>
          <t>Föryngringsavverkning</t>
        </is>
      </c>
      <c r="D642" s="1" t="n">
        <v>45707</v>
      </c>
      <c r="E642" s="1" t="n">
        <v>46248</v>
      </c>
      <c r="F642" t="inlineStr">
        <is>
          <t>BLEKINGE LÄN</t>
        </is>
      </c>
      <c r="G642" t="inlineStr">
        <is>
          <t>OLOFSTRÖM</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57996-2024</t>
        </is>
      </c>
      <c r="B643" t="inlineStr">
        <is>
          <t>avverkningsanmälan</t>
        </is>
      </c>
      <c r="C643" t="inlineStr">
        <is>
          <t>Avverkning för annat ändamål</t>
        </is>
      </c>
      <c r="D643" s="1" t="n">
        <v>45631</v>
      </c>
      <c r="E643" s="1" t="n">
        <v>46248</v>
      </c>
      <c r="F643" t="inlineStr">
        <is>
          <t>BLEKINGE LÄN</t>
        </is>
      </c>
      <c r="G643" t="inlineStr">
        <is>
          <t>KARLSKRONA</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15348-2025</t>
        </is>
      </c>
      <c r="B644" t="inlineStr">
        <is>
          <t>avverkningsanmälan</t>
        </is>
      </c>
      <c r="C644" t="inlineStr">
        <is>
          <t>Föryngringsavverkning</t>
        </is>
      </c>
      <c r="D644" s="1" t="n">
        <v>45747</v>
      </c>
      <c r="E644" s="1" t="n">
        <v>46248</v>
      </c>
      <c r="F644" t="inlineStr">
        <is>
          <t>BLEKINGE LÄN</t>
        </is>
      </c>
      <c r="G644" t="inlineStr">
        <is>
          <t>OLOFSTRÖM</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15354-2025</t>
        </is>
      </c>
      <c r="B645" t="inlineStr">
        <is>
          <t>avverkningsanmälan</t>
        </is>
      </c>
      <c r="C645" t="inlineStr">
        <is>
          <t>Föryngringsavverkning</t>
        </is>
      </c>
      <c r="D645" s="1" t="n">
        <v>45747</v>
      </c>
      <c r="E645" s="1" t="n">
        <v>46248</v>
      </c>
      <c r="F645" t="inlineStr">
        <is>
          <t>BLEKINGE LÄN</t>
        </is>
      </c>
      <c r="G645" t="inlineStr">
        <is>
          <t>OLOFSTRÖM</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14954-2022</t>
        </is>
      </c>
      <c r="B646" t="inlineStr">
        <is>
          <t>avverkningsanmälan</t>
        </is>
      </c>
      <c r="C646" t="inlineStr">
        <is>
          <t>Föryngringsavverkning</t>
        </is>
      </c>
      <c r="D646" s="1" t="n">
        <v>44657</v>
      </c>
      <c r="E646" s="1" t="n">
        <v>46248</v>
      </c>
      <c r="F646" t="inlineStr">
        <is>
          <t>BLEKINGE LÄN</t>
        </is>
      </c>
      <c r="G646" t="inlineStr">
        <is>
          <t>KARLSKRONA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49388-2022</t>
        </is>
      </c>
      <c r="B647" t="inlineStr">
        <is>
          <t>avverkningsanmälan</t>
        </is>
      </c>
      <c r="C647" t="inlineStr">
        <is>
          <t>Föryngringsavverkning</t>
        </is>
      </c>
      <c r="D647" s="1" t="n">
        <v>44858</v>
      </c>
      <c r="E647" s="1" t="n">
        <v>46248</v>
      </c>
      <c r="F647" t="inlineStr">
        <is>
          <t>BLEKINGE LÄN</t>
        </is>
      </c>
      <c r="G647" t="inlineStr">
        <is>
          <t>KARLSKRONA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5651-2024</t>
        </is>
      </c>
      <c r="B648" t="inlineStr">
        <is>
          <t>avverkningsanmälan</t>
        </is>
      </c>
      <c r="C648" t="inlineStr">
        <is>
          <t>Föryngringsavverkning</t>
        </is>
      </c>
      <c r="D648" s="1" t="n">
        <v>45334</v>
      </c>
      <c r="E648" s="1" t="n">
        <v>46248</v>
      </c>
      <c r="F648" t="inlineStr">
        <is>
          <t>BLEKINGE LÄN</t>
        </is>
      </c>
      <c r="G648" t="inlineStr">
        <is>
          <t>KARLSKRONA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9281-2024</t>
        </is>
      </c>
      <c r="B649" t="inlineStr">
        <is>
          <t>avverkningsanmälan</t>
        </is>
      </c>
      <c r="C649" t="inlineStr">
        <is>
          <t>Föryngringsavverkning</t>
        </is>
      </c>
      <c r="D649" s="1" t="n">
        <v>45358</v>
      </c>
      <c r="E649" s="1" t="n">
        <v>46248</v>
      </c>
      <c r="F649" t="inlineStr">
        <is>
          <t>BLEKINGE LÄN</t>
        </is>
      </c>
      <c r="G649" t="inlineStr">
        <is>
          <t>KARLSKRONA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31413-2024</t>
        </is>
      </c>
      <c r="B650" t="inlineStr">
        <is>
          <t>avverkningsanmälan</t>
        </is>
      </c>
      <c r="C650" t="inlineStr">
        <is>
          <t>Föryngringsavverkning</t>
        </is>
      </c>
      <c r="D650" s="1" t="n">
        <v>45505</v>
      </c>
      <c r="E650" s="1" t="n">
        <v>46248</v>
      </c>
      <c r="F650" t="inlineStr">
        <is>
          <t>BLEKINGE LÄN</t>
        </is>
      </c>
      <c r="G650" t="inlineStr">
        <is>
          <t>RONNEBY</t>
        </is>
      </c>
      <c r="H650" t="inlineStr">
        <is>
          <t>Kommuner</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33854-2023</t>
        </is>
      </c>
      <c r="B651" t="inlineStr">
        <is>
          <t>avverkningsanmälan</t>
        </is>
      </c>
      <c r="C651" t="inlineStr">
        <is>
          <t>Föryngringsavverkning</t>
        </is>
      </c>
      <c r="D651" s="1" t="n">
        <v>45133</v>
      </c>
      <c r="E651" s="1" t="n">
        <v>46248</v>
      </c>
      <c r="F651" t="inlineStr">
        <is>
          <t>BLEKINGE LÄN</t>
        </is>
      </c>
      <c r="G651" t="inlineStr">
        <is>
          <t>KARLSKRONA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33420-2023</t>
        </is>
      </c>
      <c r="B652" t="inlineStr">
        <is>
          <t>avverkningsanmälan</t>
        </is>
      </c>
      <c r="C652" t="inlineStr">
        <is>
          <t>Föryngringsavverkning</t>
        </is>
      </c>
      <c r="D652" s="1" t="n">
        <v>45128</v>
      </c>
      <c r="E652" s="1" t="n">
        <v>46248</v>
      </c>
      <c r="F652" t="inlineStr">
        <is>
          <t>BLEKINGE LÄN</t>
        </is>
      </c>
      <c r="G652" t="inlineStr">
        <is>
          <t>RONNEBY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26572-2023</t>
        </is>
      </c>
      <c r="B653" t="inlineStr">
        <is>
          <t>avverkningsanmälan</t>
        </is>
      </c>
      <c r="C653" t="inlineStr">
        <is>
          <t>Föryngringsavverkning</t>
        </is>
      </c>
      <c r="D653" s="1" t="n">
        <v>45092</v>
      </c>
      <c r="E653" s="1" t="n">
        <v>46248</v>
      </c>
      <c r="F653" t="inlineStr">
        <is>
          <t>BLEKINGE LÄN</t>
        </is>
      </c>
      <c r="G653" t="inlineStr">
        <is>
          <t>KARLSKRONA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52067-2022</t>
        </is>
      </c>
      <c r="B654" t="inlineStr">
        <is>
          <t>avverkningsanmälan</t>
        </is>
      </c>
      <c r="C654" t="inlineStr">
        <is>
          <t>Föryngringsavverkning</t>
        </is>
      </c>
      <c r="D654" s="1" t="n">
        <v>44873</v>
      </c>
      <c r="E654" s="1" t="n">
        <v>46248</v>
      </c>
      <c r="F654" t="inlineStr">
        <is>
          <t>BLEKINGE LÄN</t>
        </is>
      </c>
      <c r="G654" t="inlineStr">
        <is>
          <t>OLOFSTRÖM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7716-2023</t>
        </is>
      </c>
      <c r="B655" t="inlineStr">
        <is>
          <t>avverkningsanmälan</t>
        </is>
      </c>
      <c r="C655" t="inlineStr">
        <is>
          <t>Föryngringsavverkning</t>
        </is>
      </c>
      <c r="D655" s="1" t="n">
        <v>44972</v>
      </c>
      <c r="E655" s="1" t="n">
        <v>46248</v>
      </c>
      <c r="F655" t="inlineStr">
        <is>
          <t>BLEKINGE LÄN</t>
        </is>
      </c>
      <c r="G655" t="inlineStr">
        <is>
          <t>RONNEBY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54536-2022</t>
        </is>
      </c>
      <c r="B656" t="inlineStr">
        <is>
          <t>avverkningsanmälan</t>
        </is>
      </c>
      <c r="C656" t="inlineStr">
        <is>
          <t>Föryngringsavverkning</t>
        </is>
      </c>
      <c r="D656" s="1" t="n">
        <v>44882</v>
      </c>
      <c r="E656" s="1" t="n">
        <v>46248</v>
      </c>
      <c r="F656" t="inlineStr">
        <is>
          <t>BLEKINGE LÄN</t>
        </is>
      </c>
      <c r="G656" t="inlineStr">
        <is>
          <t>RONNEBY</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47260-2024</t>
        </is>
      </c>
      <c r="B657" t="inlineStr">
        <is>
          <t>avverkningsanmälan</t>
        </is>
      </c>
      <c r="C657" t="inlineStr">
        <is>
          <t>Föryngringsavverkning</t>
        </is>
      </c>
      <c r="D657" s="1" t="n">
        <v>45586</v>
      </c>
      <c r="E657" s="1" t="n">
        <v>46248</v>
      </c>
      <c r="F657" t="inlineStr">
        <is>
          <t>BLEKINGE LÄN</t>
        </is>
      </c>
      <c r="G657" t="inlineStr">
        <is>
          <t>KARLSKRONA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53552-2022</t>
        </is>
      </c>
      <c r="B658" t="inlineStr">
        <is>
          <t>avverkningsanmälan</t>
        </is>
      </c>
      <c r="C658" t="inlineStr">
        <is>
          <t>Föryngringsavverkning</t>
        </is>
      </c>
      <c r="D658" s="1" t="n">
        <v>44874</v>
      </c>
      <c r="E658" s="1" t="n">
        <v>46248</v>
      </c>
      <c r="F658" t="inlineStr">
        <is>
          <t>BLEKINGE LÄN</t>
        </is>
      </c>
      <c r="G658" t="inlineStr">
        <is>
          <t>KARLSKRONA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52832-2022</t>
        </is>
      </c>
      <c r="B659" t="inlineStr">
        <is>
          <t>avverkningsanmälan</t>
        </is>
      </c>
      <c r="C659" t="inlineStr">
        <is>
          <t>Föryngringsavverkning</t>
        </is>
      </c>
      <c r="D659" s="1" t="n">
        <v>44875</v>
      </c>
      <c r="E659" s="1" t="n">
        <v>46248</v>
      </c>
      <c r="F659" t="inlineStr">
        <is>
          <t>BLEKINGE LÄN</t>
        </is>
      </c>
      <c r="G659" t="inlineStr">
        <is>
          <t>KARLSKRONA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49389-2024</t>
        </is>
      </c>
      <c r="B660" t="inlineStr">
        <is>
          <t>avverkningsanmälan</t>
        </is>
      </c>
      <c r="C660" t="inlineStr">
        <is>
          <t>Föryngringsavverkning</t>
        </is>
      </c>
      <c r="D660" s="1" t="n">
        <v>45595</v>
      </c>
      <c r="E660" s="1" t="n">
        <v>46248</v>
      </c>
      <c r="F660" t="inlineStr">
        <is>
          <t>BLEKINGE LÄN</t>
        </is>
      </c>
      <c r="G660" t="inlineStr">
        <is>
          <t>OLOFSTRÖM</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5551-2025</t>
        </is>
      </c>
      <c r="B661" t="inlineStr">
        <is>
          <t>avverkningsanmälan</t>
        </is>
      </c>
      <c r="C661" t="inlineStr">
        <is>
          <t>Föryngringsavverkning</t>
        </is>
      </c>
      <c r="D661" s="1" t="n">
        <v>45693</v>
      </c>
      <c r="E661" s="1" t="n">
        <v>46248</v>
      </c>
      <c r="F661" t="inlineStr">
        <is>
          <t>BLEKINGE LÄN</t>
        </is>
      </c>
      <c r="G661" t="inlineStr">
        <is>
          <t>OLOFSTRÖM</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57910-2023</t>
        </is>
      </c>
      <c r="B662" t="inlineStr">
        <is>
          <t>avverkningsanmälan</t>
        </is>
      </c>
      <c r="C662" t="inlineStr">
        <is>
          <t>Föryngringsavverkning</t>
        </is>
      </c>
      <c r="D662" s="1" t="n">
        <v>45247</v>
      </c>
      <c r="E662" s="1" t="n">
        <v>46248</v>
      </c>
      <c r="F662" t="inlineStr">
        <is>
          <t>BLEKINGE LÄN</t>
        </is>
      </c>
      <c r="G662" t="inlineStr">
        <is>
          <t>OLOFSTRÖM</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57915-2023</t>
        </is>
      </c>
      <c r="B663" t="inlineStr">
        <is>
          <t>avverkningsanmälan</t>
        </is>
      </c>
      <c r="C663" t="inlineStr">
        <is>
          <t>Föryngringsavverkning</t>
        </is>
      </c>
      <c r="D663" s="1" t="n">
        <v>45247</v>
      </c>
      <c r="E663" s="1" t="n">
        <v>46248</v>
      </c>
      <c r="F663" t="inlineStr">
        <is>
          <t>BLEKINGE LÄN</t>
        </is>
      </c>
      <c r="G663" t="inlineStr">
        <is>
          <t>OLOFSTRÖM</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11729-2022</t>
        </is>
      </c>
      <c r="B664" t="inlineStr">
        <is>
          <t>avverkningsanmälan</t>
        </is>
      </c>
      <c r="C664" t="inlineStr">
        <is>
          <t>Föryngringsavverkning</t>
        </is>
      </c>
      <c r="D664" s="1" t="n">
        <v>44634</v>
      </c>
      <c r="E664" s="1" t="n">
        <v>46248</v>
      </c>
      <c r="F664" t="inlineStr">
        <is>
          <t>BLEKINGE LÄN</t>
        </is>
      </c>
      <c r="G664" t="inlineStr">
        <is>
          <t>OLOFSTRÖM</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57796-2022</t>
        </is>
      </c>
      <c r="B665" t="inlineStr">
        <is>
          <t>avverkningsanmälan</t>
        </is>
      </c>
      <c r="C665" t="inlineStr">
        <is>
          <t>Föryngringsavverkning</t>
        </is>
      </c>
      <c r="D665" s="1" t="n">
        <v>44897</v>
      </c>
      <c r="E665" s="1" t="n">
        <v>46248</v>
      </c>
      <c r="F665" t="inlineStr">
        <is>
          <t>BLEKINGE LÄN</t>
        </is>
      </c>
      <c r="G665" t="inlineStr">
        <is>
          <t>KARLSHAMN</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61802-2023</t>
        </is>
      </c>
      <c r="B666" t="inlineStr">
        <is>
          <t>avverkningsanmälan</t>
        </is>
      </c>
      <c r="C666" t="inlineStr">
        <is>
          <t>Föryngringsavverkning</t>
        </is>
      </c>
      <c r="D666" s="1" t="n">
        <v>45265</v>
      </c>
      <c r="E666" s="1" t="n">
        <v>46248</v>
      </c>
      <c r="F666" t="inlineStr">
        <is>
          <t>BLEKINGE LÄN</t>
        </is>
      </c>
      <c r="G666" t="inlineStr">
        <is>
          <t>OLOFSTRÖM</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61840-2023</t>
        </is>
      </c>
      <c r="B667" t="inlineStr">
        <is>
          <t>avverkningsanmälan</t>
        </is>
      </c>
      <c r="C667" t="inlineStr">
        <is>
          <t>Föryngringsavverkning</t>
        </is>
      </c>
      <c r="D667" s="1" t="n">
        <v>45266</v>
      </c>
      <c r="E667" s="1" t="n">
        <v>46248</v>
      </c>
      <c r="F667" t="inlineStr">
        <is>
          <t>BLEKINGE LÄN</t>
        </is>
      </c>
      <c r="G667" t="inlineStr">
        <is>
          <t>RONNEBY</t>
        </is>
      </c>
      <c r="H667" t="inlineStr">
        <is>
          <t>Övriga Aktiebolag</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14224-2025</t>
        </is>
      </c>
      <c r="B668" t="inlineStr">
        <is>
          <t>avverkningsanmälan</t>
        </is>
      </c>
      <c r="C668" t="inlineStr">
        <is>
          <t>Föryngringsavverkning</t>
        </is>
      </c>
      <c r="D668" s="1" t="n">
        <v>45740</v>
      </c>
      <c r="E668" s="1" t="n">
        <v>46248</v>
      </c>
      <c r="F668" t="inlineStr">
        <is>
          <t>BLEKINGE LÄN</t>
        </is>
      </c>
      <c r="G668" t="inlineStr">
        <is>
          <t>KARLSHAMN</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14099-2023</t>
        </is>
      </c>
      <c r="B669" t="inlineStr">
        <is>
          <t>avverkningsanmälan</t>
        </is>
      </c>
      <c r="C669" t="inlineStr">
        <is>
          <t>Föryngringsavverkning</t>
        </is>
      </c>
      <c r="D669" s="1" t="n">
        <v>45009</v>
      </c>
      <c r="E669" s="1" t="n">
        <v>46248</v>
      </c>
      <c r="F669" t="inlineStr">
        <is>
          <t>BLEKINGE LÄN</t>
        </is>
      </c>
      <c r="G669" t="inlineStr">
        <is>
          <t>RONNEBY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51370-2023</t>
        </is>
      </c>
      <c r="B670" t="inlineStr">
        <is>
          <t>avverkningsanmälan</t>
        </is>
      </c>
      <c r="C670" t="inlineStr">
        <is>
          <t>Föryngringsavverkning</t>
        </is>
      </c>
      <c r="D670" s="1" t="n">
        <v>45219</v>
      </c>
      <c r="E670" s="1" t="n">
        <v>46248</v>
      </c>
      <c r="F670" t="inlineStr">
        <is>
          <t>BLEKINGE LÄN</t>
        </is>
      </c>
      <c r="G670" t="inlineStr">
        <is>
          <t>KARLSHAMN</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14131-2023</t>
        </is>
      </c>
      <c r="B671" t="inlineStr">
        <is>
          <t>avverkningsanmälan</t>
        </is>
      </c>
      <c r="C671" t="inlineStr">
        <is>
          <t>Föryngringsavverkning</t>
        </is>
      </c>
      <c r="D671" s="1" t="n">
        <v>45009</v>
      </c>
      <c r="E671" s="1" t="n">
        <v>46248</v>
      </c>
      <c r="F671" t="inlineStr">
        <is>
          <t>BLEKINGE LÄN</t>
        </is>
      </c>
      <c r="G671" t="inlineStr">
        <is>
          <t>KARLSKRONA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9870-2024</t>
        </is>
      </c>
      <c r="B672" t="inlineStr">
        <is>
          <t>avverkningsanmälan</t>
        </is>
      </c>
      <c r="C672" t="inlineStr">
        <is>
          <t>Föryngringsavverkning</t>
        </is>
      </c>
      <c r="D672" s="1" t="n">
        <v>45363</v>
      </c>
      <c r="E672" s="1" t="n">
        <v>46248</v>
      </c>
      <c r="F672" t="inlineStr">
        <is>
          <t>BLEKINGE LÄN</t>
        </is>
      </c>
      <c r="G672" t="inlineStr">
        <is>
          <t>RONNEBY</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54065-2024</t>
        </is>
      </c>
      <c r="B673" t="inlineStr">
        <is>
          <t>avverkningsanmälan</t>
        </is>
      </c>
      <c r="C673" t="inlineStr">
        <is>
          <t>Avverkning för att bevara och utveckla /försöksver</t>
        </is>
      </c>
      <c r="D673" s="1" t="n">
        <v>45616</v>
      </c>
      <c r="E673" s="1" t="n">
        <v>46248</v>
      </c>
      <c r="F673" t="inlineStr">
        <is>
          <t>BLEKINGE LÄN</t>
        </is>
      </c>
      <c r="G673" t="inlineStr">
        <is>
          <t>RONNEBY</t>
        </is>
      </c>
      <c r="H673" t="inlineStr">
        <is>
          <t>Kommuner</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19841-2023</t>
        </is>
      </c>
      <c r="B674" t="inlineStr">
        <is>
          <t>avverkningsanmälan</t>
        </is>
      </c>
      <c r="C674" t="inlineStr">
        <is>
          <t>Föryngringsavverkning</t>
        </is>
      </c>
      <c r="D674" s="1" t="n">
        <v>45053</v>
      </c>
      <c r="E674" s="1" t="n">
        <v>46248</v>
      </c>
      <c r="F674" t="inlineStr">
        <is>
          <t>BLEKINGE LÄN</t>
        </is>
      </c>
      <c r="G674" t="inlineStr">
        <is>
          <t>RONNEBY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19150-2022</t>
        </is>
      </c>
      <c r="B675" t="inlineStr">
        <is>
          <t>avverkningsanmälan</t>
        </is>
      </c>
      <c r="C675" t="inlineStr">
        <is>
          <t>Föryngringsavverkning</t>
        </is>
      </c>
      <c r="D675" s="1" t="n">
        <v>44691</v>
      </c>
      <c r="E675" s="1" t="n">
        <v>46248</v>
      </c>
      <c r="F675" t="inlineStr">
        <is>
          <t>BLEKINGE LÄN</t>
        </is>
      </c>
      <c r="G675" t="inlineStr">
        <is>
          <t>KARLSKRONA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23819-2024</t>
        </is>
      </c>
      <c r="B676" t="inlineStr">
        <is>
          <t>avverkningsanmälan</t>
        </is>
      </c>
      <c r="C676" t="inlineStr">
        <is>
          <t>Föryngringsavverkning</t>
        </is>
      </c>
      <c r="D676" s="1" t="n">
        <v>45455</v>
      </c>
      <c r="E676" s="1" t="n">
        <v>46248</v>
      </c>
      <c r="F676" t="inlineStr">
        <is>
          <t>BLEKINGE LÄN</t>
        </is>
      </c>
      <c r="G676" t="inlineStr">
        <is>
          <t>KARLSKRONA</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5077-2025</t>
        </is>
      </c>
      <c r="B677" t="inlineStr">
        <is>
          <t>avverkningsanmälan</t>
        </is>
      </c>
      <c r="C677" t="inlineStr">
        <is>
          <t>Föryngringsavverkning</t>
        </is>
      </c>
      <c r="D677" s="1" t="n">
        <v>45691</v>
      </c>
      <c r="E677" s="1" t="n">
        <v>46248</v>
      </c>
      <c r="F677" t="inlineStr">
        <is>
          <t>BLEKINGE LÄN</t>
        </is>
      </c>
      <c r="G677" t="inlineStr">
        <is>
          <t>RONNEBY</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21206-2023</t>
        </is>
      </c>
      <c r="B678" t="inlineStr">
        <is>
          <t>avverkningsanmälan</t>
        </is>
      </c>
      <c r="C678" t="inlineStr">
        <is>
          <t>Föryngringsavverkning</t>
        </is>
      </c>
      <c r="D678" s="1" t="n">
        <v>45062</v>
      </c>
      <c r="E678" s="1" t="n">
        <v>46248</v>
      </c>
      <c r="F678" t="inlineStr">
        <is>
          <t>BLEKINGE LÄN</t>
        </is>
      </c>
      <c r="G678" t="inlineStr">
        <is>
          <t>RONNEBY</t>
        </is>
      </c>
      <c r="H678" t="inlineStr">
        <is>
          <t>Kommuner</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29232-2024</t>
        </is>
      </c>
      <c r="B679" t="inlineStr">
        <is>
          <t>avverkningsanmälan</t>
        </is>
      </c>
      <c r="C679" t="inlineStr">
        <is>
          <t>Föryngringsavverkning</t>
        </is>
      </c>
      <c r="D679" s="1" t="n">
        <v>45482</v>
      </c>
      <c r="E679" s="1" t="n">
        <v>46248</v>
      </c>
      <c r="F679" t="inlineStr">
        <is>
          <t>BLEKINGE LÄN</t>
        </is>
      </c>
      <c r="G679" t="inlineStr">
        <is>
          <t>RONNEBY</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4698-2024</t>
        </is>
      </c>
      <c r="B680" t="inlineStr">
        <is>
          <t>avverkningsanmälan</t>
        </is>
      </c>
      <c r="C680" t="inlineStr">
        <is>
          <t>Föryngringsavverkning</t>
        </is>
      </c>
      <c r="D680" s="1" t="n">
        <v>45328</v>
      </c>
      <c r="E680" s="1" t="n">
        <v>46248</v>
      </c>
      <c r="F680" t="inlineStr">
        <is>
          <t>BLEKINGE LÄN</t>
        </is>
      </c>
      <c r="G680" t="inlineStr">
        <is>
          <t>KARLSKRONA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42430-2023</t>
        </is>
      </c>
      <c r="B681" t="inlineStr">
        <is>
          <t>avverkningsanmälan</t>
        </is>
      </c>
      <c r="C681" t="inlineStr">
        <is>
          <t>Föryngringsavverkning</t>
        </is>
      </c>
      <c r="D681" s="1" t="n">
        <v>45180</v>
      </c>
      <c r="E681" s="1" t="n">
        <v>46248</v>
      </c>
      <c r="F681" t="inlineStr">
        <is>
          <t>BLEKINGE LÄN</t>
        </is>
      </c>
      <c r="G681" t="inlineStr">
        <is>
          <t>KARLSKRONA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31218-2024</t>
        </is>
      </c>
      <c r="B682" t="inlineStr">
        <is>
          <t>avverkningsanmälan</t>
        </is>
      </c>
      <c r="C682" t="inlineStr">
        <is>
          <t>Föryngringsavverkning</t>
        </is>
      </c>
      <c r="D682" s="1" t="n">
        <v>45503</v>
      </c>
      <c r="E682" s="1" t="n">
        <v>46248</v>
      </c>
      <c r="F682" t="inlineStr">
        <is>
          <t>BLEKINGE LÄN</t>
        </is>
      </c>
      <c r="G682" t="inlineStr">
        <is>
          <t>RONNEBY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13984-2025</t>
        </is>
      </c>
      <c r="B683" t="inlineStr">
        <is>
          <t>avverkningsanmälan</t>
        </is>
      </c>
      <c r="C683" t="inlineStr">
        <is>
          <t>Föryngringsavverkning</t>
        </is>
      </c>
      <c r="D683" s="1" t="n">
        <v>45739</v>
      </c>
      <c r="E683" s="1" t="n">
        <v>46248</v>
      </c>
      <c r="F683" t="inlineStr">
        <is>
          <t>BLEKINGE LÄN</t>
        </is>
      </c>
      <c r="G683" t="inlineStr">
        <is>
          <t>RONNEBY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21486-2022</t>
        </is>
      </c>
      <c r="B684" t="inlineStr">
        <is>
          <t>avverkningsanmälan</t>
        </is>
      </c>
      <c r="C684" t="inlineStr">
        <is>
          <t>Föryngringsavverkning</t>
        </is>
      </c>
      <c r="D684" s="1" t="n">
        <v>44706</v>
      </c>
      <c r="E684" s="1" t="n">
        <v>46248</v>
      </c>
      <c r="F684" t="inlineStr">
        <is>
          <t>BLEKINGE LÄN</t>
        </is>
      </c>
      <c r="G684" t="inlineStr">
        <is>
          <t>KARLSKRONA</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10505-2023</t>
        </is>
      </c>
      <c r="B685" t="inlineStr">
        <is>
          <t>avverkningsanmälan</t>
        </is>
      </c>
      <c r="C685" t="inlineStr">
        <is>
          <t>Föryngringsavverkning</t>
        </is>
      </c>
      <c r="D685" s="1" t="n">
        <v>44987</v>
      </c>
      <c r="E685" s="1" t="n">
        <v>46248</v>
      </c>
      <c r="F685" t="inlineStr">
        <is>
          <t>BLEKINGE LÄN</t>
        </is>
      </c>
      <c r="G685" t="inlineStr">
        <is>
          <t>RONNEBY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10506-2023</t>
        </is>
      </c>
      <c r="B686" t="inlineStr">
        <is>
          <t>avverkningsanmälan</t>
        </is>
      </c>
      <c r="C686" t="inlineStr">
        <is>
          <t>Föryngringsavverkning</t>
        </is>
      </c>
      <c r="D686" s="1" t="n">
        <v>44987</v>
      </c>
      <c r="E686" s="1" t="n">
        <v>46248</v>
      </c>
      <c r="F686" t="inlineStr">
        <is>
          <t>BLEKINGE LÄN</t>
        </is>
      </c>
      <c r="G686" t="inlineStr">
        <is>
          <t>RONNEBY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39236-2023</t>
        </is>
      </c>
      <c r="B687" t="inlineStr">
        <is>
          <t>avverkningsanmälan</t>
        </is>
      </c>
      <c r="C687" t="inlineStr">
        <is>
          <t>Föryngringsavverkning</t>
        </is>
      </c>
      <c r="D687" s="1" t="n">
        <v>45166</v>
      </c>
      <c r="E687" s="1" t="n">
        <v>46248</v>
      </c>
      <c r="F687" t="inlineStr">
        <is>
          <t>BLEKINGE LÄN</t>
        </is>
      </c>
      <c r="G687" t="inlineStr">
        <is>
          <t>KARLSKRONA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39273-2023</t>
        </is>
      </c>
      <c r="B688" t="inlineStr">
        <is>
          <t>avverkningsanmälan</t>
        </is>
      </c>
      <c r="C688" t="inlineStr">
        <is>
          <t>Föryngringsavverkning</t>
        </is>
      </c>
      <c r="D688" s="1" t="n">
        <v>45166</v>
      </c>
      <c r="E688" s="1" t="n">
        <v>46248</v>
      </c>
      <c r="F688" t="inlineStr">
        <is>
          <t>BLEKINGE LÄN</t>
        </is>
      </c>
      <c r="G688" t="inlineStr">
        <is>
          <t>KARLSKRONA</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49093-2023</t>
        </is>
      </c>
      <c r="B689" t="inlineStr">
        <is>
          <t>avverkningsanmälan</t>
        </is>
      </c>
      <c r="C689" t="inlineStr">
        <is>
          <t>Föryngringsavverkning</t>
        </is>
      </c>
      <c r="D689" s="1" t="n">
        <v>45210</v>
      </c>
      <c r="E689" s="1" t="n">
        <v>46248</v>
      </c>
      <c r="F689" t="inlineStr">
        <is>
          <t>BLEKINGE LÄN</t>
        </is>
      </c>
      <c r="G689" t="inlineStr">
        <is>
          <t>KARLSKRONA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51369-2023</t>
        </is>
      </c>
      <c r="B690" t="inlineStr">
        <is>
          <t>avverkningsanmälan</t>
        </is>
      </c>
      <c r="C690" t="inlineStr">
        <is>
          <t>Föryngringsavverkning</t>
        </is>
      </c>
      <c r="D690" s="1" t="n">
        <v>45219</v>
      </c>
      <c r="E690" s="1" t="n">
        <v>46248</v>
      </c>
      <c r="F690" t="inlineStr">
        <is>
          <t>BLEKINGE LÄN</t>
        </is>
      </c>
      <c r="G690" t="inlineStr">
        <is>
          <t>KARLSHAMN</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55434-2023</t>
        </is>
      </c>
      <c r="B691" t="inlineStr">
        <is>
          <t>avverkningsanmälan</t>
        </is>
      </c>
      <c r="C691" t="inlineStr">
        <is>
          <t>Föryngringsavverkning</t>
        </is>
      </c>
      <c r="D691" s="1" t="n">
        <v>45238</v>
      </c>
      <c r="E691" s="1" t="n">
        <v>46248</v>
      </c>
      <c r="F691" t="inlineStr">
        <is>
          <t>BLEKINGE LÄN</t>
        </is>
      </c>
      <c r="G691" t="inlineStr">
        <is>
          <t>KARLSKRONA</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10737-2022</t>
        </is>
      </c>
      <c r="B692" t="inlineStr">
        <is>
          <t>avverkningsanmälan</t>
        </is>
      </c>
      <c r="C692" t="inlineStr">
        <is>
          <t>Föryngringsavverkning</t>
        </is>
      </c>
      <c r="D692" s="1" t="n">
        <v>44627</v>
      </c>
      <c r="E692" s="1" t="n">
        <v>46248</v>
      </c>
      <c r="F692" t="inlineStr">
        <is>
          <t>BLEKINGE LÄN</t>
        </is>
      </c>
      <c r="G692" t="inlineStr">
        <is>
          <t>RONNEBY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19438-2024</t>
        </is>
      </c>
      <c r="B693" t="inlineStr">
        <is>
          <t>avverkningsanmälan</t>
        </is>
      </c>
      <c r="C693" t="inlineStr">
        <is>
          <t>Föryngringsavverkning</t>
        </is>
      </c>
      <c r="D693" s="1" t="n">
        <v>45429</v>
      </c>
      <c r="E693" s="1" t="n">
        <v>46248</v>
      </c>
      <c r="F693" t="inlineStr">
        <is>
          <t>BLEKINGE LÄN</t>
        </is>
      </c>
      <c r="G693" t="inlineStr">
        <is>
          <t>RONNEBY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3429-2023</t>
        </is>
      </c>
      <c r="B694" t="inlineStr">
        <is>
          <t>avverkningsanmälan</t>
        </is>
      </c>
      <c r="C694" t="inlineStr">
        <is>
          <t>Föryngringsavverkning</t>
        </is>
      </c>
      <c r="D694" s="1" t="n">
        <v>44949</v>
      </c>
      <c r="E694" s="1" t="n">
        <v>46248</v>
      </c>
      <c r="F694" t="inlineStr">
        <is>
          <t>BLEKINGE LÄN</t>
        </is>
      </c>
      <c r="G694" t="inlineStr">
        <is>
          <t>OLOFSTRÖM</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21024-2024</t>
        </is>
      </c>
      <c r="B695" t="inlineStr">
        <is>
          <t>avverkningsanmälan</t>
        </is>
      </c>
      <c r="C695" t="inlineStr">
        <is>
          <t>Föryngringsavverkning</t>
        </is>
      </c>
      <c r="D695" s="1" t="n">
        <v>45439</v>
      </c>
      <c r="E695" s="1" t="n">
        <v>46248</v>
      </c>
      <c r="F695" t="inlineStr">
        <is>
          <t>BLEKINGE LÄN</t>
        </is>
      </c>
      <c r="G695" t="inlineStr">
        <is>
          <t>KARLSHAMN</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36302-2023</t>
        </is>
      </c>
      <c r="B696" t="inlineStr">
        <is>
          <t>avverkningsanmälan</t>
        </is>
      </c>
      <c r="C696" t="inlineStr">
        <is>
          <t>Föryngringsavverkning</t>
        </is>
      </c>
      <c r="D696" s="1" t="n">
        <v>45152</v>
      </c>
      <c r="E696" s="1" t="n">
        <v>46248</v>
      </c>
      <c r="F696" t="inlineStr">
        <is>
          <t>BLEKINGE LÄN</t>
        </is>
      </c>
      <c r="G696" t="inlineStr">
        <is>
          <t>KARLSHAMN</t>
        </is>
      </c>
      <c r="I696" t="n">
        <v>8.4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61679-2024</t>
        </is>
      </c>
      <c r="B697" t="inlineStr">
        <is>
          <t>avverkningsanmälan</t>
        </is>
      </c>
      <c r="C697" t="inlineStr">
        <is>
          <t>Föryngringsavverkning</t>
        </is>
      </c>
      <c r="D697" s="1" t="n">
        <v>45647</v>
      </c>
      <c r="E697" s="1" t="n">
        <v>46248</v>
      </c>
      <c r="F697" t="inlineStr">
        <is>
          <t>BLEKINGE LÄN</t>
        </is>
      </c>
      <c r="G697" t="inlineStr">
        <is>
          <t>KARLSKRONA</t>
        </is>
      </c>
      <c r="I697" t="n">
        <v>20.2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20585-2025</t>
        </is>
      </c>
      <c r="B698" t="inlineStr">
        <is>
          <t>avverkningsanmälan</t>
        </is>
      </c>
      <c r="C698" t="inlineStr">
        <is>
          <t>Föryngringsavverkning</t>
        </is>
      </c>
      <c r="D698" s="1" t="n">
        <v>45775</v>
      </c>
      <c r="E698" s="1" t="n">
        <v>46248</v>
      </c>
      <c r="F698" t="inlineStr">
        <is>
          <t>BLEKINGE LÄN</t>
        </is>
      </c>
      <c r="G698" t="inlineStr">
        <is>
          <t>RONNEBY</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64490-2021</t>
        </is>
      </c>
      <c r="B699" t="inlineStr">
        <is>
          <t>avverkningsanmälan</t>
        </is>
      </c>
      <c r="C699" t="inlineStr">
        <is>
          <t>Föryngringsavverkning</t>
        </is>
      </c>
      <c r="D699" s="1" t="n">
        <v>44511</v>
      </c>
      <c r="E699" s="1" t="n">
        <v>46248</v>
      </c>
      <c r="F699" t="inlineStr">
        <is>
          <t>BLEKINGE LÄN</t>
        </is>
      </c>
      <c r="G699" t="inlineStr">
        <is>
          <t>KARLSKRONA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1214-2023</t>
        </is>
      </c>
      <c r="B700" t="inlineStr">
        <is>
          <t>avverkningsanmälan</t>
        </is>
      </c>
      <c r="C700" t="inlineStr">
        <is>
          <t>Föryngringsavverkning</t>
        </is>
      </c>
      <c r="D700" s="1" t="n">
        <v>44935</v>
      </c>
      <c r="E700" s="1" t="n">
        <v>46248</v>
      </c>
      <c r="F700" t="inlineStr">
        <is>
          <t>BLEKINGE LÄN</t>
        </is>
      </c>
      <c r="G700" t="inlineStr">
        <is>
          <t>KARLSHAMN</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17552-2024</t>
        </is>
      </c>
      <c r="B701" t="inlineStr">
        <is>
          <t>avverkningsanmälan</t>
        </is>
      </c>
      <c r="C701" t="inlineStr">
        <is>
          <t>Föryngringsavverkning</t>
        </is>
      </c>
      <c r="D701" s="1" t="n">
        <v>45415</v>
      </c>
      <c r="E701" s="1" t="n">
        <v>46248</v>
      </c>
      <c r="F701" t="inlineStr">
        <is>
          <t>BLEKINGE LÄN</t>
        </is>
      </c>
      <c r="G701" t="inlineStr">
        <is>
          <t>KARLSKRONA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10717-2022</t>
        </is>
      </c>
      <c r="B702" t="inlineStr">
        <is>
          <t>avverkningsanmälan</t>
        </is>
      </c>
      <c r="C702" t="inlineStr">
        <is>
          <t>Avverkning för annat ändamål</t>
        </is>
      </c>
      <c r="D702" s="1" t="n">
        <v>44626</v>
      </c>
      <c r="E702" s="1" t="n">
        <v>46248</v>
      </c>
      <c r="F702" t="inlineStr">
        <is>
          <t>BLEKINGE LÄN</t>
        </is>
      </c>
      <c r="G702" t="inlineStr">
        <is>
          <t>OLOFSTRÖM</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49833-2024</t>
        </is>
      </c>
      <c r="B703" t="inlineStr">
        <is>
          <t>avverkningsanmälan</t>
        </is>
      </c>
      <c r="C703" t="inlineStr">
        <is>
          <t>Föryngringsavverkning</t>
        </is>
      </c>
      <c r="D703" s="1" t="n">
        <v>45597</v>
      </c>
      <c r="E703" s="1" t="n">
        <v>46248</v>
      </c>
      <c r="F703" t="inlineStr">
        <is>
          <t>BLEKINGE LÄN</t>
        </is>
      </c>
      <c r="G703" t="inlineStr">
        <is>
          <t>RONNEBY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1523-2025</t>
        </is>
      </c>
      <c r="B704" t="inlineStr">
        <is>
          <t>avverkningsanmälan</t>
        </is>
      </c>
      <c r="C704" t="inlineStr">
        <is>
          <t>Föryngringsavverkning</t>
        </is>
      </c>
      <c r="D704" s="1" t="n">
        <v>45670</v>
      </c>
      <c r="E704" s="1" t="n">
        <v>46248</v>
      </c>
      <c r="F704" t="inlineStr">
        <is>
          <t>BLEKINGE LÄN</t>
        </is>
      </c>
      <c r="G704" t="inlineStr">
        <is>
          <t>RONNEBY</t>
        </is>
      </c>
      <c r="I704" t="n">
        <v>0</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14938-2025</t>
        </is>
      </c>
      <c r="B705" t="inlineStr">
        <is>
          <t>avverkningsanmälan</t>
        </is>
      </c>
      <c r="C705" t="inlineStr">
        <is>
          <t>Föryngringsavverkning</t>
        </is>
      </c>
      <c r="D705" s="1" t="n">
        <v>45743</v>
      </c>
      <c r="E705" s="1" t="n">
        <v>46248</v>
      </c>
      <c r="F705" t="inlineStr">
        <is>
          <t>BLEKINGE LÄN</t>
        </is>
      </c>
      <c r="G705" t="inlineStr">
        <is>
          <t>KARLSKRONA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2692-2022</t>
        </is>
      </c>
      <c r="B706" t="inlineStr">
        <is>
          <t>avverkningsanmälan</t>
        </is>
      </c>
      <c r="C706" t="inlineStr">
        <is>
          <t>Föryngringsavverkning</t>
        </is>
      </c>
      <c r="D706" s="1" t="n">
        <v>44580</v>
      </c>
      <c r="E706" s="1" t="n">
        <v>46248</v>
      </c>
      <c r="F706" t="inlineStr">
        <is>
          <t>BLEKINGE LÄN</t>
        </is>
      </c>
      <c r="G706" t="inlineStr">
        <is>
          <t>KARLSKRONA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52689-2023</t>
        </is>
      </c>
      <c r="B707" t="inlineStr">
        <is>
          <t>avverkningsanmälan</t>
        </is>
      </c>
      <c r="C707" t="inlineStr">
        <is>
          <t>Föryngringsavverkning</t>
        </is>
      </c>
      <c r="D707" s="1" t="n">
        <v>45225</v>
      </c>
      <c r="E707" s="1" t="n">
        <v>46248</v>
      </c>
      <c r="F707" t="inlineStr">
        <is>
          <t>BLEKINGE LÄN</t>
        </is>
      </c>
      <c r="G707" t="inlineStr">
        <is>
          <t>OLOFSTRÖM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69976-2021</t>
        </is>
      </c>
      <c r="B708" t="inlineStr">
        <is>
          <t>avverkningsanmälan</t>
        </is>
      </c>
      <c r="C708" t="inlineStr">
        <is>
          <t>Föryngringsavverkning</t>
        </is>
      </c>
      <c r="D708" s="1" t="n">
        <v>44533</v>
      </c>
      <c r="E708" s="1" t="n">
        <v>46248</v>
      </c>
      <c r="F708" t="inlineStr">
        <is>
          <t>BLEKINGE LÄN</t>
        </is>
      </c>
      <c r="G708" t="inlineStr">
        <is>
          <t>KARLSHAMN</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26277-2023</t>
        </is>
      </c>
      <c r="B709" t="inlineStr">
        <is>
          <t>avverkningsanmälan</t>
        </is>
      </c>
      <c r="C709" t="inlineStr">
        <is>
          <t>Föryngringsavverkning</t>
        </is>
      </c>
      <c r="D709" s="1" t="n">
        <v>45091</v>
      </c>
      <c r="E709" s="1" t="n">
        <v>46248</v>
      </c>
      <c r="F709" t="inlineStr">
        <is>
          <t>BLEKINGE LÄN</t>
        </is>
      </c>
      <c r="G709" t="inlineStr">
        <is>
          <t>KARLSKRONA</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37430-2023</t>
        </is>
      </c>
      <c r="B710" t="inlineStr">
        <is>
          <t>avverkningsanmälan</t>
        </is>
      </c>
      <c r="C710" t="inlineStr">
        <is>
          <t>Föryngringsavverkning</t>
        </is>
      </c>
      <c r="D710" s="1" t="n">
        <v>45156</v>
      </c>
      <c r="E710" s="1" t="n">
        <v>46248</v>
      </c>
      <c r="F710" t="inlineStr">
        <is>
          <t>BLEKINGE LÄN</t>
        </is>
      </c>
      <c r="G710" t="inlineStr">
        <is>
          <t>KARLSKRONA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57125-2022</t>
        </is>
      </c>
      <c r="B711" t="inlineStr">
        <is>
          <t>avverkningsanmälan</t>
        </is>
      </c>
      <c r="C711" t="inlineStr">
        <is>
          <t>Föryngringsavverkning</t>
        </is>
      </c>
      <c r="D711" s="1" t="n">
        <v>44895</v>
      </c>
      <c r="E711" s="1" t="n">
        <v>46248</v>
      </c>
      <c r="F711" t="inlineStr">
        <is>
          <t>BLEKINGE LÄN</t>
        </is>
      </c>
      <c r="G711" t="inlineStr">
        <is>
          <t>KARLSHAMN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49298-2022</t>
        </is>
      </c>
      <c r="B712" t="inlineStr">
        <is>
          <t>avverkningsanmälan</t>
        </is>
      </c>
      <c r="C712" t="inlineStr">
        <is>
          <t>Föryngringsavverkning</t>
        </is>
      </c>
      <c r="D712" s="1" t="n">
        <v>44858</v>
      </c>
      <c r="E712" s="1" t="n">
        <v>46248</v>
      </c>
      <c r="F712" t="inlineStr">
        <is>
          <t>BLEKINGE LÄN</t>
        </is>
      </c>
      <c r="G712" t="inlineStr">
        <is>
          <t>OLOFSTRÖM</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52208-2024</t>
        </is>
      </c>
      <c r="B713" t="inlineStr">
        <is>
          <t>avverkningsanmälan</t>
        </is>
      </c>
      <c r="C713" t="inlineStr">
        <is>
          <t>Föryngringsavverkning</t>
        </is>
      </c>
      <c r="D713" s="1" t="n">
        <v>45608</v>
      </c>
      <c r="E713" s="1" t="n">
        <v>46248</v>
      </c>
      <c r="F713" t="inlineStr">
        <is>
          <t>BLEKINGE LÄN</t>
        </is>
      </c>
      <c r="G713" t="inlineStr">
        <is>
          <t>OLOFSTRÖM</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37454-2024</t>
        </is>
      </c>
      <c r="B714" t="inlineStr">
        <is>
          <t>avverkningsanmälan</t>
        </is>
      </c>
      <c r="C714" t="inlineStr">
        <is>
          <t>Föryngringsavverkning</t>
        </is>
      </c>
      <c r="D714" s="1" t="n">
        <v>45540</v>
      </c>
      <c r="E714" s="1" t="n">
        <v>46248</v>
      </c>
      <c r="F714" t="inlineStr">
        <is>
          <t>BLEKINGE LÄN</t>
        </is>
      </c>
      <c r="G714" t="inlineStr">
        <is>
          <t>KARLSHAMN</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3011-2024</t>
        </is>
      </c>
      <c r="B715" t="inlineStr">
        <is>
          <t>avverkningsanmälan</t>
        </is>
      </c>
      <c r="C715" t="inlineStr">
        <is>
          <t>Föryngringsavverkning</t>
        </is>
      </c>
      <c r="D715" s="1" t="n">
        <v>45315</v>
      </c>
      <c r="E715" s="1" t="n">
        <v>46248</v>
      </c>
      <c r="F715" t="inlineStr">
        <is>
          <t>BLEKINGE LÄN</t>
        </is>
      </c>
      <c r="G715" t="inlineStr">
        <is>
          <t>KARLSKRONA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3035-2024</t>
        </is>
      </c>
      <c r="B716" t="inlineStr">
        <is>
          <t>avverkningsanmälan</t>
        </is>
      </c>
      <c r="C716" t="inlineStr">
        <is>
          <t>Föryngringsavverkning</t>
        </is>
      </c>
      <c r="D716" s="1" t="n">
        <v>45316</v>
      </c>
      <c r="E716" s="1" t="n">
        <v>46248</v>
      </c>
      <c r="F716" t="inlineStr">
        <is>
          <t>BLEKINGE LÄN</t>
        </is>
      </c>
      <c r="G716" t="inlineStr">
        <is>
          <t>RONNEBY</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4119-2023</t>
        </is>
      </c>
      <c r="B717" t="inlineStr">
        <is>
          <t>avverkningsanmälan</t>
        </is>
      </c>
      <c r="C717" t="inlineStr">
        <is>
          <t>Föryngringsavverkning</t>
        </is>
      </c>
      <c r="D717" s="1" t="n">
        <v>44952</v>
      </c>
      <c r="E717" s="1" t="n">
        <v>46248</v>
      </c>
      <c r="F717" t="inlineStr">
        <is>
          <t>BLEKINGE LÄN</t>
        </is>
      </c>
      <c r="G717" t="inlineStr">
        <is>
          <t>KARLSHAMN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4120-2023</t>
        </is>
      </c>
      <c r="B718" t="inlineStr">
        <is>
          <t>avverkningsanmälan</t>
        </is>
      </c>
      <c r="C718" t="inlineStr">
        <is>
          <t>Föryngringsavverkning</t>
        </is>
      </c>
      <c r="D718" s="1" t="n">
        <v>44952</v>
      </c>
      <c r="E718" s="1" t="n">
        <v>46248</v>
      </c>
      <c r="F718" t="inlineStr">
        <is>
          <t>BLEKINGE LÄN</t>
        </is>
      </c>
      <c r="G718" t="inlineStr">
        <is>
          <t>KARLSHAMN</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63392-2023</t>
        </is>
      </c>
      <c r="B719" t="inlineStr">
        <is>
          <t>avverkningsanmälan</t>
        </is>
      </c>
      <c r="C719" t="inlineStr">
        <is>
          <t>Föryngringsavverkning</t>
        </is>
      </c>
      <c r="D719" s="1" t="n">
        <v>45274</v>
      </c>
      <c r="E719" s="1" t="n">
        <v>46248</v>
      </c>
      <c r="F719" t="inlineStr">
        <is>
          <t>BLEKINGE LÄN</t>
        </is>
      </c>
      <c r="G719" t="inlineStr">
        <is>
          <t>OLOFSTRÖM</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63393-2023</t>
        </is>
      </c>
      <c r="B720" t="inlineStr">
        <is>
          <t>avverkningsanmälan</t>
        </is>
      </c>
      <c r="C720" t="inlineStr">
        <is>
          <t>Föryngringsavverkning</t>
        </is>
      </c>
      <c r="D720" s="1" t="n">
        <v>45274</v>
      </c>
      <c r="E720" s="1" t="n">
        <v>46248</v>
      </c>
      <c r="F720" t="inlineStr">
        <is>
          <t>BLEKINGE LÄN</t>
        </is>
      </c>
      <c r="G720" t="inlineStr">
        <is>
          <t>OLOFSTRÖM</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29373-2024</t>
        </is>
      </c>
      <c r="B721" t="inlineStr">
        <is>
          <t>avverkningsanmälan</t>
        </is>
      </c>
      <c r="C721" t="inlineStr">
        <is>
          <t>Föryngringsavverkning</t>
        </is>
      </c>
      <c r="D721" s="1" t="n">
        <v>45483</v>
      </c>
      <c r="E721" s="1" t="n">
        <v>46248</v>
      </c>
      <c r="F721" t="inlineStr">
        <is>
          <t>BLEKINGE LÄN</t>
        </is>
      </c>
      <c r="G721" t="inlineStr">
        <is>
          <t>KARLSKRONA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63441-2023</t>
        </is>
      </c>
      <c r="B722" t="inlineStr">
        <is>
          <t>avverkningsanmälan</t>
        </is>
      </c>
      <c r="C722" t="inlineStr">
        <is>
          <t>Föryngringsavverkning</t>
        </is>
      </c>
      <c r="D722" s="1" t="n">
        <v>45274</v>
      </c>
      <c r="E722" s="1" t="n">
        <v>46248</v>
      </c>
      <c r="F722" t="inlineStr">
        <is>
          <t>BLEKINGE LÄN</t>
        </is>
      </c>
      <c r="G722" t="inlineStr">
        <is>
          <t>OLOFSTRÖM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47195-2021</t>
        </is>
      </c>
      <c r="B723" t="inlineStr">
        <is>
          <t>avverkningsanmälan</t>
        </is>
      </c>
      <c r="C723" t="inlineStr">
        <is>
          <t>Avverkning för annat ändamål</t>
        </is>
      </c>
      <c r="D723" s="1" t="n">
        <v>44447</v>
      </c>
      <c r="E723" s="1" t="n">
        <v>46248</v>
      </c>
      <c r="F723" t="inlineStr">
        <is>
          <t>BLEKINGE LÄN</t>
        </is>
      </c>
      <c r="G723" t="inlineStr">
        <is>
          <t>OLOFSTRÖM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57771-2024</t>
        </is>
      </c>
      <c r="B724" t="inlineStr">
        <is>
          <t>avverkningsanmälan</t>
        </is>
      </c>
      <c r="C724" t="inlineStr">
        <is>
          <t>Föryngringsavverkning</t>
        </is>
      </c>
      <c r="D724" s="1" t="n">
        <v>45630</v>
      </c>
      <c r="E724" s="1" t="n">
        <v>46248</v>
      </c>
      <c r="F724" t="inlineStr">
        <is>
          <t>BLEKINGE LÄN</t>
        </is>
      </c>
      <c r="G724" t="inlineStr">
        <is>
          <t>RONNEBY</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57773-2024</t>
        </is>
      </c>
      <c r="B725" t="inlineStr">
        <is>
          <t>avverkningsanmälan</t>
        </is>
      </c>
      <c r="C725" t="inlineStr">
        <is>
          <t>Föryngringsavverkning</t>
        </is>
      </c>
      <c r="D725" s="1" t="n">
        <v>45630</v>
      </c>
      <c r="E725" s="1" t="n">
        <v>46248</v>
      </c>
      <c r="F725" t="inlineStr">
        <is>
          <t>BLEKINGE LÄN</t>
        </is>
      </c>
      <c r="G725" t="inlineStr">
        <is>
          <t>RONNEBY</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49704-2021</t>
        </is>
      </c>
      <c r="B726" t="inlineStr">
        <is>
          <t>avverkningsanmälan</t>
        </is>
      </c>
      <c r="C726" t="inlineStr">
        <is>
          <t>Föryngringsavverkning</t>
        </is>
      </c>
      <c r="D726" s="1" t="n">
        <v>44455</v>
      </c>
      <c r="E726" s="1" t="n">
        <v>46248</v>
      </c>
      <c r="F726" t="inlineStr">
        <is>
          <t>BLEKINGE LÄN</t>
        </is>
      </c>
      <c r="G726" t="inlineStr">
        <is>
          <t>OLOFSTRÖM</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6819-2024</t>
        </is>
      </c>
      <c r="B727" t="inlineStr">
        <is>
          <t>avverkningsanmälan</t>
        </is>
      </c>
      <c r="C727" t="inlineStr">
        <is>
          <t>Föryngringsavverkning</t>
        </is>
      </c>
      <c r="D727" s="1" t="n">
        <v>45342</v>
      </c>
      <c r="E727" s="1" t="n">
        <v>46248</v>
      </c>
      <c r="F727" t="inlineStr">
        <is>
          <t>BLEKINGE LÄN</t>
        </is>
      </c>
      <c r="G727" t="inlineStr">
        <is>
          <t>RONNEBY</t>
        </is>
      </c>
      <c r="I727" t="n">
        <v>15.2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2656-2023</t>
        </is>
      </c>
      <c r="B728" t="inlineStr">
        <is>
          <t>avverkningsanmälan</t>
        </is>
      </c>
      <c r="C728" t="inlineStr">
        <is>
          <t>Föryngringsavverkning</t>
        </is>
      </c>
      <c r="D728" s="1" t="n">
        <v>44944</v>
      </c>
      <c r="E728" s="1" t="n">
        <v>46248</v>
      </c>
      <c r="F728" t="inlineStr">
        <is>
          <t>BLEKINGE LÄN</t>
        </is>
      </c>
      <c r="G728" t="inlineStr">
        <is>
          <t>RONNEBY</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5437-2023</t>
        </is>
      </c>
      <c r="B729" t="inlineStr">
        <is>
          <t>avverkningsanmälan</t>
        </is>
      </c>
      <c r="C729" t="inlineStr">
        <is>
          <t>Föryngringsavverkning</t>
        </is>
      </c>
      <c r="D729" s="1" t="n">
        <v>44959</v>
      </c>
      <c r="E729" s="1" t="n">
        <v>46248</v>
      </c>
      <c r="F729" t="inlineStr">
        <is>
          <t>BLEKINGE LÄN</t>
        </is>
      </c>
      <c r="G729" t="inlineStr">
        <is>
          <t>KARLSHAMN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18719-2023</t>
        </is>
      </c>
      <c r="B730" t="inlineStr">
        <is>
          <t>avverkningsanmälan</t>
        </is>
      </c>
      <c r="C730" t="inlineStr">
        <is>
          <t>Föryngringsavverkning</t>
        </is>
      </c>
      <c r="D730" s="1" t="n">
        <v>45043</v>
      </c>
      <c r="E730" s="1" t="n">
        <v>46248</v>
      </c>
      <c r="F730" t="inlineStr">
        <is>
          <t>BLEKINGE LÄN</t>
        </is>
      </c>
      <c r="G730" t="inlineStr">
        <is>
          <t>KARLSKRONA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46361-2023</t>
        </is>
      </c>
      <c r="B731" t="inlineStr">
        <is>
          <t>avverkningsanmälan</t>
        </is>
      </c>
      <c r="C731" t="inlineStr">
        <is>
          <t>Föryngringsavverkning</t>
        </is>
      </c>
      <c r="D731" s="1" t="n">
        <v>45197</v>
      </c>
      <c r="E731" s="1" t="n">
        <v>46248</v>
      </c>
      <c r="F731" t="inlineStr">
        <is>
          <t>BLEKINGE LÄN</t>
        </is>
      </c>
      <c r="G731" t="inlineStr">
        <is>
          <t>OLOFSTRÖM</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20997-2023</t>
        </is>
      </c>
      <c r="B732" t="inlineStr">
        <is>
          <t>avverkningsanmälan</t>
        </is>
      </c>
      <c r="C732" t="inlineStr">
        <is>
          <t>Föryngringsavverkning</t>
        </is>
      </c>
      <c r="D732" s="1" t="n">
        <v>45061</v>
      </c>
      <c r="E732" s="1" t="n">
        <v>46248</v>
      </c>
      <c r="F732" t="inlineStr">
        <is>
          <t>BLEKINGE LÄN</t>
        </is>
      </c>
      <c r="G732" t="inlineStr">
        <is>
          <t>RONNEBY</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19610-2024</t>
        </is>
      </c>
      <c r="B733" t="inlineStr">
        <is>
          <t>avverkningsanmälan</t>
        </is>
      </c>
      <c r="C733" t="inlineStr">
        <is>
          <t>Föryngringsavverkning</t>
        </is>
      </c>
      <c r="D733" s="1" t="n">
        <v>45432</v>
      </c>
      <c r="E733" s="1" t="n">
        <v>46248</v>
      </c>
      <c r="F733" t="inlineStr">
        <is>
          <t>BLEKINGE LÄN</t>
        </is>
      </c>
      <c r="G733" t="inlineStr">
        <is>
          <t>RONNEBY</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53459-2021</t>
        </is>
      </c>
      <c r="B734" t="inlineStr">
        <is>
          <t>avverkningsanmälan</t>
        </is>
      </c>
      <c r="C734" t="inlineStr">
        <is>
          <t>Föryngringsavverkning</t>
        </is>
      </c>
      <c r="D734" s="1" t="n">
        <v>44468</v>
      </c>
      <c r="E734" s="1" t="n">
        <v>46248</v>
      </c>
      <c r="F734" t="inlineStr">
        <is>
          <t>BLEKINGE LÄN</t>
        </is>
      </c>
      <c r="G734" t="inlineStr">
        <is>
          <t>OLOFSTRÖM</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11639-2025</t>
        </is>
      </c>
      <c r="B735" t="inlineStr">
        <is>
          <t>avverkningsanmälan</t>
        </is>
      </c>
      <c r="C735" t="inlineStr">
        <is>
          <t>Föryngringsavverkning</t>
        </is>
      </c>
      <c r="D735" s="1" t="n">
        <v>45727</v>
      </c>
      <c r="E735" s="1" t="n">
        <v>46248</v>
      </c>
      <c r="F735" t="inlineStr">
        <is>
          <t>BLEKINGE LÄN</t>
        </is>
      </c>
      <c r="G735" t="inlineStr">
        <is>
          <t>KARLSKRONA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49309-2022</t>
        </is>
      </c>
      <c r="B736" t="inlineStr">
        <is>
          <t>avverkningsanmälan</t>
        </is>
      </c>
      <c r="C736" t="inlineStr">
        <is>
          <t>Föryngringsavverkning</t>
        </is>
      </c>
      <c r="D736" s="1" t="n">
        <v>44858</v>
      </c>
      <c r="E736" s="1" t="n">
        <v>46248</v>
      </c>
      <c r="F736" t="inlineStr">
        <is>
          <t>BLEKINGE LÄN</t>
        </is>
      </c>
      <c r="G736" t="inlineStr">
        <is>
          <t>OLOFSTRÖM</t>
        </is>
      </c>
      <c r="I736" t="n">
        <v>20.5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5962-2024</t>
        </is>
      </c>
      <c r="B737" t="inlineStr">
        <is>
          <t>avverkningsanmälan</t>
        </is>
      </c>
      <c r="C737" t="inlineStr">
        <is>
          <t>Föryngringsavverkning</t>
        </is>
      </c>
      <c r="D737" s="1" t="n">
        <v>45335</v>
      </c>
      <c r="E737" s="1" t="n">
        <v>46248</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30106-2022</t>
        </is>
      </c>
      <c r="B738" t="inlineStr">
        <is>
          <t>avverkningsanmälan</t>
        </is>
      </c>
      <c r="C738" t="inlineStr">
        <is>
          <t>Föryngringsavverkning</t>
        </is>
      </c>
      <c r="D738" s="1" t="n">
        <v>44757</v>
      </c>
      <c r="E738" s="1" t="n">
        <v>46248</v>
      </c>
      <c r="F738" t="inlineStr">
        <is>
          <t>BLEKINGE LÄN</t>
        </is>
      </c>
      <c r="G738" t="inlineStr">
        <is>
          <t>KARLSKRONA</t>
        </is>
      </c>
      <c r="I738" t="n">
        <v>11.2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4286-2024</t>
        </is>
      </c>
      <c r="B739" t="inlineStr">
        <is>
          <t>avverkningsanmälan</t>
        </is>
      </c>
      <c r="C739" t="inlineStr">
        <is>
          <t>Föryngringsavverkning</t>
        </is>
      </c>
      <c r="D739" s="1" t="n">
        <v>45324</v>
      </c>
      <c r="E739" s="1" t="n">
        <v>46248</v>
      </c>
      <c r="F739" t="inlineStr">
        <is>
          <t>BLEKINGE LÄN</t>
        </is>
      </c>
      <c r="G739" t="inlineStr">
        <is>
          <t>KARLSKRONA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39876-2023</t>
        </is>
      </c>
      <c r="B740" t="inlineStr">
        <is>
          <t>avverkningsanmälan</t>
        </is>
      </c>
      <c r="C740" t="inlineStr">
        <is>
          <t>Föryngringsavverkning</t>
        </is>
      </c>
      <c r="D740" s="1" t="n">
        <v>45166</v>
      </c>
      <c r="E740" s="1" t="n">
        <v>46248</v>
      </c>
      <c r="F740" t="inlineStr">
        <is>
          <t>BLEKINGE LÄN</t>
        </is>
      </c>
      <c r="G740" t="inlineStr">
        <is>
          <t>OLOFSTRÖM</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39226-2024</t>
        </is>
      </c>
      <c r="B741" t="inlineStr">
        <is>
          <t>avverkningsanmälan</t>
        </is>
      </c>
      <c r="C741" t="inlineStr">
        <is>
          <t>Föryngringsavverkning</t>
        </is>
      </c>
      <c r="D741" s="1" t="n">
        <v>45550</v>
      </c>
      <c r="E741" s="1" t="n">
        <v>46248</v>
      </c>
      <c r="F741" t="inlineStr">
        <is>
          <t>BLEKINGE LÄN</t>
        </is>
      </c>
      <c r="G741" t="inlineStr">
        <is>
          <t>KARLSHAMN</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698-2023</t>
        </is>
      </c>
      <c r="B742" t="inlineStr">
        <is>
          <t>avverkningsanmälan</t>
        </is>
      </c>
      <c r="C742" t="inlineStr">
        <is>
          <t>Föryngringsavverkning</t>
        </is>
      </c>
      <c r="D742" s="1" t="n">
        <v>44930</v>
      </c>
      <c r="E742" s="1" t="n">
        <v>46248</v>
      </c>
      <c r="F742" t="inlineStr">
        <is>
          <t>BLEKINGE LÄN</t>
        </is>
      </c>
      <c r="G742" t="inlineStr">
        <is>
          <t>KARLSKRONA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46901-2022</t>
        </is>
      </c>
      <c r="B743" t="inlineStr">
        <is>
          <t>avverkningsanmälan</t>
        </is>
      </c>
      <c r="C743" t="inlineStr">
        <is>
          <t>Föryngringsavverkning</t>
        </is>
      </c>
      <c r="D743" s="1" t="n">
        <v>44851</v>
      </c>
      <c r="E743" s="1" t="n">
        <v>46248</v>
      </c>
      <c r="F743" t="inlineStr">
        <is>
          <t>BLEKINGE LÄN</t>
        </is>
      </c>
      <c r="G743" t="inlineStr">
        <is>
          <t>KARLSKRONA</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4919-2022</t>
        </is>
      </c>
      <c r="B744" t="inlineStr">
        <is>
          <t>avverkningsanmälan</t>
        </is>
      </c>
      <c r="C744" t="inlineStr">
        <is>
          <t>Föryngringsavverkning</t>
        </is>
      </c>
      <c r="D744" s="1" t="n">
        <v>44593</v>
      </c>
      <c r="E744" s="1" t="n">
        <v>46248</v>
      </c>
      <c r="F744" t="inlineStr">
        <is>
          <t>BLEKINGE LÄN</t>
        </is>
      </c>
      <c r="G744" t="inlineStr">
        <is>
          <t>KARLSKRONA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43287-2023</t>
        </is>
      </c>
      <c r="B745" t="inlineStr">
        <is>
          <t>avverkningsanmälan</t>
        </is>
      </c>
      <c r="C745" t="inlineStr">
        <is>
          <t>Föryngringsavverkning</t>
        </is>
      </c>
      <c r="D745" s="1" t="n">
        <v>45183</v>
      </c>
      <c r="E745" s="1" t="n">
        <v>46248</v>
      </c>
      <c r="F745" t="inlineStr">
        <is>
          <t>BLEKINGE LÄN</t>
        </is>
      </c>
      <c r="G745" t="inlineStr">
        <is>
          <t>OLOFSTRÖM</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22507-2022</t>
        </is>
      </c>
      <c r="B746" t="inlineStr">
        <is>
          <t>avverkningsanmälan</t>
        </is>
      </c>
      <c r="C746" t="inlineStr">
        <is>
          <t>Föryngringsavverkning</t>
        </is>
      </c>
      <c r="D746" s="1" t="n">
        <v>44713</v>
      </c>
      <c r="E746" s="1" t="n">
        <v>46248</v>
      </c>
      <c r="F746" t="inlineStr">
        <is>
          <t>BLEKINGE LÄN</t>
        </is>
      </c>
      <c r="G746" t="inlineStr">
        <is>
          <t>RONNEBY</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15264-2023</t>
        </is>
      </c>
      <c r="B747" t="inlineStr">
        <is>
          <t>avverkningsanmälan</t>
        </is>
      </c>
      <c r="C747" t="inlineStr">
        <is>
          <t>Föryngringsavverkning</t>
        </is>
      </c>
      <c r="D747" s="1" t="n">
        <v>45019</v>
      </c>
      <c r="E747" s="1" t="n">
        <v>46248</v>
      </c>
      <c r="F747" t="inlineStr">
        <is>
          <t>BLEKINGE LÄN</t>
        </is>
      </c>
      <c r="G747" t="inlineStr">
        <is>
          <t>RONNEBY</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14415-2023</t>
        </is>
      </c>
      <c r="B748" t="inlineStr">
        <is>
          <t>avverkningsanmälan</t>
        </is>
      </c>
      <c r="C748" t="inlineStr">
        <is>
          <t>Föryngringsavverkning</t>
        </is>
      </c>
      <c r="D748" s="1" t="n">
        <v>45012</v>
      </c>
      <c r="E748" s="1" t="n">
        <v>46248</v>
      </c>
      <c r="F748" t="inlineStr">
        <is>
          <t>BLEKINGE LÄN</t>
        </is>
      </c>
      <c r="G748" t="inlineStr">
        <is>
          <t>KARLSKRONA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50412-2022</t>
        </is>
      </c>
      <c r="B749" t="inlineStr">
        <is>
          <t>avverkningsanmälan</t>
        </is>
      </c>
      <c r="C749" t="inlineStr">
        <is>
          <t>Föryngringsavverkning</t>
        </is>
      </c>
      <c r="D749" s="1" t="n">
        <v>44866</v>
      </c>
      <c r="E749" s="1" t="n">
        <v>46248</v>
      </c>
      <c r="F749" t="inlineStr">
        <is>
          <t>BLEKINGE LÄN</t>
        </is>
      </c>
      <c r="G749" t="inlineStr">
        <is>
          <t>OLOFSTRÖM</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14437-2023</t>
        </is>
      </c>
      <c r="B750" t="inlineStr">
        <is>
          <t>avverkningsanmälan</t>
        </is>
      </c>
      <c r="C750" t="inlineStr">
        <is>
          <t>Föryngringsavverkning</t>
        </is>
      </c>
      <c r="D750" s="1" t="n">
        <v>45012</v>
      </c>
      <c r="E750" s="1" t="n">
        <v>46248</v>
      </c>
      <c r="F750" t="inlineStr">
        <is>
          <t>BLEKINGE LÄN</t>
        </is>
      </c>
      <c r="G750" t="inlineStr">
        <is>
          <t>OLOFSTRÖM</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21048-2022</t>
        </is>
      </c>
      <c r="B751" t="inlineStr">
        <is>
          <t>avverkningsanmälan</t>
        </is>
      </c>
      <c r="C751" t="inlineStr">
        <is>
          <t>Föryngringsavverkning</t>
        </is>
      </c>
      <c r="D751" s="1" t="n">
        <v>44704</v>
      </c>
      <c r="E751" s="1" t="n">
        <v>46248</v>
      </c>
      <c r="F751" t="inlineStr">
        <is>
          <t>BLEKINGE LÄN</t>
        </is>
      </c>
      <c r="G751" t="inlineStr">
        <is>
          <t>OLOFSTRÖM</t>
        </is>
      </c>
      <c r="H751" t="inlineStr">
        <is>
          <t>Övriga Aktiebolag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7994-2025</t>
        </is>
      </c>
      <c r="B752" t="inlineStr">
        <is>
          <t>avverkningsanmälan</t>
        </is>
      </c>
      <c r="C752" t="inlineStr">
        <is>
          <t>Föryngringsavverkning</t>
        </is>
      </c>
      <c r="D752" s="1" t="n">
        <v>45707</v>
      </c>
      <c r="E752" s="1" t="n">
        <v>46248</v>
      </c>
      <c r="F752" t="inlineStr">
        <is>
          <t>BLEKINGE LÄN</t>
        </is>
      </c>
      <c r="G752" t="inlineStr">
        <is>
          <t>KARLSKRONA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23888-2022</t>
        </is>
      </c>
      <c r="B753" t="inlineStr">
        <is>
          <t>avverkningsanmälan</t>
        </is>
      </c>
      <c r="C753" t="inlineStr">
        <is>
          <t>Föryngringsavverkning</t>
        </is>
      </c>
      <c r="D753" s="1" t="n">
        <v>44722</v>
      </c>
      <c r="E753" s="1" t="n">
        <v>46248</v>
      </c>
      <c r="F753" t="inlineStr">
        <is>
          <t>BLEKINGE LÄN</t>
        </is>
      </c>
      <c r="G753" t="inlineStr">
        <is>
          <t>RONNEBY</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4800-2024</t>
        </is>
      </c>
      <c r="B754" t="inlineStr">
        <is>
          <t>avverkningsanmälan</t>
        </is>
      </c>
      <c r="C754" t="inlineStr">
        <is>
          <t>Föryngringsavverkning</t>
        </is>
      </c>
      <c r="D754" s="1" t="n">
        <v>45328</v>
      </c>
      <c r="E754" s="1" t="n">
        <v>46248</v>
      </c>
      <c r="F754" t="inlineStr">
        <is>
          <t>BLEKINGE LÄN</t>
        </is>
      </c>
      <c r="G754" t="inlineStr">
        <is>
          <t>KARLSKRONA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15967-2024</t>
        </is>
      </c>
      <c r="B755" t="inlineStr">
        <is>
          <t>avverkningsanmälan</t>
        </is>
      </c>
      <c r="C755" t="inlineStr">
        <is>
          <t>Föryngringsavverkning</t>
        </is>
      </c>
      <c r="D755" s="1" t="n">
        <v>45405</v>
      </c>
      <c r="E755" s="1" t="n">
        <v>46248</v>
      </c>
      <c r="F755" t="inlineStr">
        <is>
          <t>BLEKINGE LÄN</t>
        </is>
      </c>
      <c r="G755" t="inlineStr">
        <is>
          <t>KARLSHAMN</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29914-2023</t>
        </is>
      </c>
      <c r="B756" t="inlineStr">
        <is>
          <t>avverkningsanmälan</t>
        </is>
      </c>
      <c r="C756" t="inlineStr">
        <is>
          <t>Föryngringsavverkning</t>
        </is>
      </c>
      <c r="D756" s="1" t="n">
        <v>45107</v>
      </c>
      <c r="E756" s="1" t="n">
        <v>46248</v>
      </c>
      <c r="F756" t="inlineStr">
        <is>
          <t>BLEKINGE LÄN</t>
        </is>
      </c>
      <c r="G756" t="inlineStr">
        <is>
          <t>KARLSKRONA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62590-2023</t>
        </is>
      </c>
      <c r="B757" t="inlineStr">
        <is>
          <t>avverkningsanmälan</t>
        </is>
      </c>
      <c r="C757" t="inlineStr">
        <is>
          <t>Föryngringsavverkning</t>
        </is>
      </c>
      <c r="D757" s="1" t="n">
        <v>45270</v>
      </c>
      <c r="E757" s="1" t="n">
        <v>46248</v>
      </c>
      <c r="F757" t="inlineStr">
        <is>
          <t>BLEKINGE LÄN</t>
        </is>
      </c>
      <c r="G757" t="inlineStr">
        <is>
          <t>KARLSHAMN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41076-2023</t>
        </is>
      </c>
      <c r="B758" t="inlineStr">
        <is>
          <t>avverkningsanmälan</t>
        </is>
      </c>
      <c r="C758" t="inlineStr">
        <is>
          <t>Föryngringsavverkning</t>
        </is>
      </c>
      <c r="D758" s="1" t="n">
        <v>45169</v>
      </c>
      <c r="E758" s="1" t="n">
        <v>46248</v>
      </c>
      <c r="F758" t="inlineStr">
        <is>
          <t>BLEKINGE LÄN</t>
        </is>
      </c>
      <c r="G758" t="inlineStr">
        <is>
          <t>RONNEBY</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32162-2022</t>
        </is>
      </c>
      <c r="B759" t="inlineStr">
        <is>
          <t>avverkningsanmälan</t>
        </is>
      </c>
      <c r="C759" t="inlineStr">
        <is>
          <t>Föryngringsavverkning</t>
        </is>
      </c>
      <c r="D759" s="1" t="n">
        <v>44756</v>
      </c>
      <c r="E759" s="1" t="n">
        <v>46248</v>
      </c>
      <c r="F759" t="inlineStr">
        <is>
          <t>BLEKINGE LÄN</t>
        </is>
      </c>
      <c r="G759" t="inlineStr">
        <is>
          <t>RONNEBY</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37627-2023</t>
        </is>
      </c>
      <c r="B760" t="inlineStr">
        <is>
          <t>avverkningsanmälan</t>
        </is>
      </c>
      <c r="C760" t="inlineStr">
        <is>
          <t>Föryngringsavverkning</t>
        </is>
      </c>
      <c r="D760" s="1" t="n">
        <v>45159</v>
      </c>
      <c r="E760" s="1" t="n">
        <v>46248</v>
      </c>
      <c r="F760" t="inlineStr">
        <is>
          <t>BLEKINGE LÄN</t>
        </is>
      </c>
      <c r="G760" t="inlineStr">
        <is>
          <t>KARLSKRONA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24841-2023</t>
        </is>
      </c>
      <c r="B761" t="inlineStr">
        <is>
          <t>avverkningsanmälan</t>
        </is>
      </c>
      <c r="C761" t="inlineStr">
        <is>
          <t>Föryngringsavverkning</t>
        </is>
      </c>
      <c r="D761" s="1" t="n">
        <v>45085</v>
      </c>
      <c r="E761" s="1" t="n">
        <v>46248</v>
      </c>
      <c r="F761" t="inlineStr">
        <is>
          <t>BLEKINGE LÄN</t>
        </is>
      </c>
      <c r="G761" t="inlineStr">
        <is>
          <t>RONNEBY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46914-2023</t>
        </is>
      </c>
      <c r="B762" t="inlineStr">
        <is>
          <t>avverkningsanmälan</t>
        </is>
      </c>
      <c r="C762" t="inlineStr">
        <is>
          <t>Föryngringsavverkning</t>
        </is>
      </c>
      <c r="D762" s="1" t="n">
        <v>45201</v>
      </c>
      <c r="E762" s="1" t="n">
        <v>46248</v>
      </c>
      <c r="F762" t="inlineStr">
        <is>
          <t>BLEKINGE LÄN</t>
        </is>
      </c>
      <c r="G762" t="inlineStr">
        <is>
          <t>RONNEBY</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47000-2023</t>
        </is>
      </c>
      <c r="B763" t="inlineStr">
        <is>
          <t>avverkningsanmälan</t>
        </is>
      </c>
      <c r="C763" t="inlineStr">
        <is>
          <t>Föryngringsavverkning</t>
        </is>
      </c>
      <c r="D763" s="1" t="n">
        <v>45201</v>
      </c>
      <c r="E763" s="1" t="n">
        <v>46248</v>
      </c>
      <c r="F763" t="inlineStr">
        <is>
          <t>BLEKINGE LÄN</t>
        </is>
      </c>
      <c r="G763" t="inlineStr">
        <is>
          <t>RONNEBY</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18517-2022</t>
        </is>
      </c>
      <c r="B764" t="inlineStr">
        <is>
          <t>avverkningsanmälan</t>
        </is>
      </c>
      <c r="C764" t="inlineStr">
        <is>
          <t>Föryngringsavverkning</t>
        </is>
      </c>
      <c r="D764" s="1" t="n">
        <v>44686</v>
      </c>
      <c r="E764" s="1" t="n">
        <v>46248</v>
      </c>
      <c r="F764" t="inlineStr">
        <is>
          <t>BLEKINGE LÄN</t>
        </is>
      </c>
      <c r="G764" t="inlineStr">
        <is>
          <t>KARLSHAMN</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12059-2025</t>
        </is>
      </c>
      <c r="B765" t="inlineStr">
        <is>
          <t>avverkningsanmälan</t>
        </is>
      </c>
      <c r="C765" t="inlineStr">
        <is>
          <t>Föryngringsavverkning</t>
        </is>
      </c>
      <c r="D765" s="1" t="n">
        <v>45728</v>
      </c>
      <c r="E765" s="1" t="n">
        <v>46248</v>
      </c>
      <c r="F765" t="inlineStr">
        <is>
          <t>BLEKINGE LÄN</t>
        </is>
      </c>
      <c r="G765" t="inlineStr">
        <is>
          <t>KARLSKRONA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31501-2023</t>
        </is>
      </c>
      <c r="B766" t="inlineStr">
        <is>
          <t>avverkningsanmälan</t>
        </is>
      </c>
      <c r="C766" t="inlineStr">
        <is>
          <t>Föryngringsavverkning</t>
        </is>
      </c>
      <c r="D766" s="1" t="n">
        <v>45115</v>
      </c>
      <c r="E766" s="1" t="n">
        <v>46248</v>
      </c>
      <c r="F766" t="inlineStr">
        <is>
          <t>BLEKINGE LÄN</t>
        </is>
      </c>
      <c r="G766" t="inlineStr">
        <is>
          <t>RONNEBY</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22717-2023</t>
        </is>
      </c>
      <c r="B767" t="inlineStr">
        <is>
          <t>avverkningsanmälan</t>
        </is>
      </c>
      <c r="C767" t="inlineStr">
        <is>
          <t>Föryngringsavverkning</t>
        </is>
      </c>
      <c r="D767" s="1" t="n">
        <v>45071</v>
      </c>
      <c r="E767" s="1" t="n">
        <v>46248</v>
      </c>
      <c r="F767" t="inlineStr">
        <is>
          <t>BLEKINGE LÄN</t>
        </is>
      </c>
      <c r="G767" t="inlineStr">
        <is>
          <t>OLOFSTRÖM</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14329-2023</t>
        </is>
      </c>
      <c r="B768" t="inlineStr">
        <is>
          <t>avverkningsanmälan</t>
        </is>
      </c>
      <c r="C768" t="inlineStr">
        <is>
          <t>Föryngringsavverkning</t>
        </is>
      </c>
      <c r="D768" s="1" t="n">
        <v>45012</v>
      </c>
      <c r="E768" s="1" t="n">
        <v>46248</v>
      </c>
      <c r="F768" t="inlineStr">
        <is>
          <t>BLEKINGE LÄN</t>
        </is>
      </c>
      <c r="G768" t="inlineStr">
        <is>
          <t>RONNEBY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39880-2023</t>
        </is>
      </c>
      <c r="B769" t="inlineStr">
        <is>
          <t>avverkningsanmälan</t>
        </is>
      </c>
      <c r="C769" t="inlineStr">
        <is>
          <t>Föryngringsavverkning</t>
        </is>
      </c>
      <c r="D769" s="1" t="n">
        <v>45168</v>
      </c>
      <c r="E769" s="1" t="n">
        <v>46248</v>
      </c>
      <c r="F769" t="inlineStr">
        <is>
          <t>BLEKINGE LÄN</t>
        </is>
      </c>
      <c r="G769" t="inlineStr">
        <is>
          <t>OLOFSTRÖM</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25287-2024</t>
        </is>
      </c>
      <c r="B770" t="inlineStr">
        <is>
          <t>avverkningsanmälan</t>
        </is>
      </c>
      <c r="C770" t="inlineStr">
        <is>
          <t>Föryngringsavverkning</t>
        </is>
      </c>
      <c r="D770" s="1" t="n">
        <v>45462</v>
      </c>
      <c r="E770" s="1" t="n">
        <v>46248</v>
      </c>
      <c r="F770" t="inlineStr">
        <is>
          <t>BLEKINGE LÄN</t>
        </is>
      </c>
      <c r="G770" t="inlineStr">
        <is>
          <t>RONNEBY</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18678-2024</t>
        </is>
      </c>
      <c r="B771" t="inlineStr">
        <is>
          <t>avverkningsanmälan</t>
        </is>
      </c>
      <c r="C771" t="inlineStr">
        <is>
          <t>Föryngringsavverkning</t>
        </is>
      </c>
      <c r="D771" s="1" t="n">
        <v>45426</v>
      </c>
      <c r="E771" s="1" t="n">
        <v>46248</v>
      </c>
      <c r="F771" t="inlineStr">
        <is>
          <t>BLEKINGE LÄN</t>
        </is>
      </c>
      <c r="G771" t="inlineStr">
        <is>
          <t>RONNEBY</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7889-2024</t>
        </is>
      </c>
      <c r="B772" t="inlineStr">
        <is>
          <t>avverkningsanmälan</t>
        </is>
      </c>
      <c r="C772" t="inlineStr">
        <is>
          <t>Föryngringsavverkning</t>
        </is>
      </c>
      <c r="D772" s="1" t="n">
        <v>45350</v>
      </c>
      <c r="E772" s="1" t="n">
        <v>46248</v>
      </c>
      <c r="F772" t="inlineStr">
        <is>
          <t>BLEKINGE LÄN</t>
        </is>
      </c>
      <c r="G772" t="inlineStr">
        <is>
          <t>KARLSKRONA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11331-2022</t>
        </is>
      </c>
      <c r="B773" t="inlineStr">
        <is>
          <t>avverkningsanmälan</t>
        </is>
      </c>
      <c r="C773" t="inlineStr">
        <is>
          <t>Föryngringsavverkning</t>
        </is>
      </c>
      <c r="D773" s="1" t="n">
        <v>44630</v>
      </c>
      <c r="E773" s="1" t="n">
        <v>46248</v>
      </c>
      <c r="F773" t="inlineStr">
        <is>
          <t>BLEKINGE LÄN</t>
        </is>
      </c>
      <c r="G773" t="inlineStr">
        <is>
          <t>RONNEBY</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59676-2022</t>
        </is>
      </c>
      <c r="B774" t="inlineStr">
        <is>
          <t>avverkningsanmälan</t>
        </is>
      </c>
      <c r="C774" t="inlineStr">
        <is>
          <t>Föryngringsavverkning</t>
        </is>
      </c>
      <c r="D774" s="1" t="n">
        <v>44908</v>
      </c>
      <c r="E774" s="1" t="n">
        <v>46248</v>
      </c>
      <c r="F774" t="inlineStr">
        <is>
          <t>BLEKINGE LÄN</t>
        </is>
      </c>
      <c r="G774" t="inlineStr">
        <is>
          <t>RONNEBY</t>
        </is>
      </c>
      <c r="I774" t="n">
        <v>5.8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45566-2022</t>
        </is>
      </c>
      <c r="B775" t="inlineStr">
        <is>
          <t>avverkningsanmälan</t>
        </is>
      </c>
      <c r="C775" t="inlineStr">
        <is>
          <t>Föryngringsavverkning</t>
        </is>
      </c>
      <c r="D775" s="1" t="n">
        <v>44845</v>
      </c>
      <c r="E775" s="1" t="n">
        <v>46248</v>
      </c>
      <c r="F775" t="inlineStr">
        <is>
          <t>BLEKINGE LÄN</t>
        </is>
      </c>
      <c r="G775" t="inlineStr">
        <is>
          <t>KARLSHAMN</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47781-2024</t>
        </is>
      </c>
      <c r="B776" t="inlineStr">
        <is>
          <t>avverkningsanmälan</t>
        </is>
      </c>
      <c r="C776" t="inlineStr">
        <is>
          <t>Föryngringsavverkning</t>
        </is>
      </c>
      <c r="D776" s="1" t="n">
        <v>45588</v>
      </c>
      <c r="E776" s="1" t="n">
        <v>46248</v>
      </c>
      <c r="F776" t="inlineStr">
        <is>
          <t>BLEKINGE LÄN</t>
        </is>
      </c>
      <c r="G776" t="inlineStr">
        <is>
          <t>RONNEBY</t>
        </is>
      </c>
      <c r="H776" t="inlineStr">
        <is>
          <t>Kommuner</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52637-2023</t>
        </is>
      </c>
      <c r="B777" t="inlineStr">
        <is>
          <t>avverkningsanmälan</t>
        </is>
      </c>
      <c r="C777" t="inlineStr">
        <is>
          <t>Föryngringsavverkning</t>
        </is>
      </c>
      <c r="D777" s="1" t="n">
        <v>45225</v>
      </c>
      <c r="E777" s="1" t="n">
        <v>46248</v>
      </c>
      <c r="F777" t="inlineStr">
        <is>
          <t>BLEKINGE LÄN</t>
        </is>
      </c>
      <c r="G777" t="inlineStr">
        <is>
          <t>KARLSHAMN</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45409-2023</t>
        </is>
      </c>
      <c r="B778" t="inlineStr">
        <is>
          <t>avverkningsanmälan</t>
        </is>
      </c>
      <c r="C778" t="inlineStr">
        <is>
          <t>Föryngringsavverkning</t>
        </is>
      </c>
      <c r="D778" s="1" t="n">
        <v>45194</v>
      </c>
      <c r="E778" s="1" t="n">
        <v>46248</v>
      </c>
      <c r="F778" t="inlineStr">
        <is>
          <t>BLEKINGE LÄN</t>
        </is>
      </c>
      <c r="G778" t="inlineStr">
        <is>
          <t>RONNEBY</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58986-2024</t>
        </is>
      </c>
      <c r="B779" t="inlineStr">
        <is>
          <t>avverkningsanmälan</t>
        </is>
      </c>
      <c r="C779" t="inlineStr">
        <is>
          <t>Föryngringsavverkning</t>
        </is>
      </c>
      <c r="D779" s="1" t="n">
        <v>45636</v>
      </c>
      <c r="E779" s="1" t="n">
        <v>46248</v>
      </c>
      <c r="F779" t="inlineStr">
        <is>
          <t>BLEKINGE LÄN</t>
        </is>
      </c>
      <c r="G779" t="inlineStr">
        <is>
          <t>KARLSHAMN</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30956-2023</t>
        </is>
      </c>
      <c r="B780" t="inlineStr">
        <is>
          <t>avverkningsanmälan</t>
        </is>
      </c>
      <c r="C780" t="inlineStr">
        <is>
          <t>Föryngringsavverkning</t>
        </is>
      </c>
      <c r="D780" s="1" t="n">
        <v>45113</v>
      </c>
      <c r="E780" s="1" t="n">
        <v>46248</v>
      </c>
      <c r="F780" t="inlineStr">
        <is>
          <t>BLEKINGE LÄN</t>
        </is>
      </c>
      <c r="G780" t="inlineStr">
        <is>
          <t>KARLSKRONA</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17273-2023</t>
        </is>
      </c>
      <c r="B781" t="inlineStr">
        <is>
          <t>avverkningsanmälan</t>
        </is>
      </c>
      <c r="C781" t="inlineStr">
        <is>
          <t>Föryngringsavverkning</t>
        </is>
      </c>
      <c r="D781" s="1" t="n">
        <v>45035</v>
      </c>
      <c r="E781" s="1" t="n">
        <v>46248</v>
      </c>
      <c r="F781" t="inlineStr">
        <is>
          <t>BLEKINGE LÄN</t>
        </is>
      </c>
      <c r="G781" t="inlineStr">
        <is>
          <t>KARLSKRONA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17275-2023</t>
        </is>
      </c>
      <c r="B782" t="inlineStr">
        <is>
          <t>avverkningsanmälan</t>
        </is>
      </c>
      <c r="C782" t="inlineStr">
        <is>
          <t>Föryngringsavverkning</t>
        </is>
      </c>
      <c r="D782" s="1" t="n">
        <v>45035</v>
      </c>
      <c r="E782" s="1" t="n">
        <v>46248</v>
      </c>
      <c r="F782" t="inlineStr">
        <is>
          <t>BLEKINGE LÄN</t>
        </is>
      </c>
      <c r="G782" t="inlineStr">
        <is>
          <t>KARLSKRONA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54692-2022</t>
        </is>
      </c>
      <c r="B783" t="inlineStr">
        <is>
          <t>avverkningsanmälan</t>
        </is>
      </c>
      <c r="C783" t="inlineStr">
        <is>
          <t>Föryngringsavverkning</t>
        </is>
      </c>
      <c r="D783" s="1" t="n">
        <v>44881</v>
      </c>
      <c r="E783" s="1" t="n">
        <v>46248</v>
      </c>
      <c r="F783" t="inlineStr">
        <is>
          <t>BLEKINGE LÄN</t>
        </is>
      </c>
      <c r="G783" t="inlineStr">
        <is>
          <t>KARLSKRONA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11062-2025</t>
        </is>
      </c>
      <c r="B784" t="inlineStr">
        <is>
          <t>avverkningsanmälan</t>
        </is>
      </c>
      <c r="C784" t="inlineStr">
        <is>
          <t>Föryngringsavverkning</t>
        </is>
      </c>
      <c r="D784" s="1" t="n">
        <v>45723</v>
      </c>
      <c r="E784" s="1" t="n">
        <v>46248</v>
      </c>
      <c r="F784" t="inlineStr">
        <is>
          <t>BLEKINGE LÄN</t>
        </is>
      </c>
      <c r="G784" t="inlineStr">
        <is>
          <t>OLOFSTRÖM</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27481-2022</t>
        </is>
      </c>
      <c r="B785" t="inlineStr">
        <is>
          <t>avverkningsanmälan</t>
        </is>
      </c>
      <c r="C785" t="inlineStr">
        <is>
          <t>Föryngringsavverkning</t>
        </is>
      </c>
      <c r="D785" s="1" t="n">
        <v>44742</v>
      </c>
      <c r="E785" s="1" t="n">
        <v>46248</v>
      </c>
      <c r="F785" t="inlineStr">
        <is>
          <t>BLEKINGE LÄN</t>
        </is>
      </c>
      <c r="G785" t="inlineStr">
        <is>
          <t>KARLSKRONA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39032-2022</t>
        </is>
      </c>
      <c r="B786" t="inlineStr">
        <is>
          <t>avverkningsanmälan</t>
        </is>
      </c>
      <c r="C786" t="inlineStr">
        <is>
          <t>Föryngringsavverkning</t>
        </is>
      </c>
      <c r="D786" s="1" t="n">
        <v>44817</v>
      </c>
      <c r="E786" s="1" t="n">
        <v>46248</v>
      </c>
      <c r="F786" t="inlineStr">
        <is>
          <t>BLEKINGE LÄN</t>
        </is>
      </c>
      <c r="G786" t="inlineStr">
        <is>
          <t>RONNEBY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62111-2022</t>
        </is>
      </c>
      <c r="B787" t="inlineStr">
        <is>
          <t>avverkningsanmälan</t>
        </is>
      </c>
      <c r="C787" t="inlineStr">
        <is>
          <t>Föryngringsavverkning</t>
        </is>
      </c>
      <c r="D787" s="1" t="n">
        <v>44920</v>
      </c>
      <c r="E787" s="1" t="n">
        <v>46248</v>
      </c>
      <c r="F787" t="inlineStr">
        <is>
          <t>BLEKINGE LÄN</t>
        </is>
      </c>
      <c r="G787" t="inlineStr">
        <is>
          <t>KARLSKRONA</t>
        </is>
      </c>
      <c r="I787" t="n">
        <v>25.5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39520-2024</t>
        </is>
      </c>
      <c r="B788" t="inlineStr">
        <is>
          <t>avverkningsanmälan</t>
        </is>
      </c>
      <c r="C788" t="inlineStr">
        <is>
          <t>Föryngringsavverkning</t>
        </is>
      </c>
      <c r="D788" s="1" t="n">
        <v>45551</v>
      </c>
      <c r="E788" s="1" t="n">
        <v>46248</v>
      </c>
      <c r="F788" t="inlineStr">
        <is>
          <t>BLEKINGE LÄN</t>
        </is>
      </c>
      <c r="G788" t="inlineStr">
        <is>
          <t>OLOFSTRÖM</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1028-2023</t>
        </is>
      </c>
      <c r="B789" t="inlineStr">
        <is>
          <t>avverkningsanmälan</t>
        </is>
      </c>
      <c r="C789" t="inlineStr">
        <is>
          <t>Föryngringsavverkning</t>
        </is>
      </c>
      <c r="D789" s="1" t="n">
        <v>44935</v>
      </c>
      <c r="E789" s="1" t="n">
        <v>46248</v>
      </c>
      <c r="F789" t="inlineStr">
        <is>
          <t>BLEKINGE LÄN</t>
        </is>
      </c>
      <c r="G789" t="inlineStr">
        <is>
          <t>OLOFSTRÖM</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7014-2024</t>
        </is>
      </c>
      <c r="B790" t="inlineStr">
        <is>
          <t>avverkningsanmälan</t>
        </is>
      </c>
      <c r="C790" t="inlineStr">
        <is>
          <t>Föryngringsavverkning</t>
        </is>
      </c>
      <c r="D790" s="1" t="n">
        <v>45343</v>
      </c>
      <c r="E790" s="1" t="n">
        <v>46248</v>
      </c>
      <c r="F790" t="inlineStr">
        <is>
          <t>BLEKINGE LÄN</t>
        </is>
      </c>
      <c r="G790" t="inlineStr">
        <is>
          <t>KARLSKRONA</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6543-2023</t>
        </is>
      </c>
      <c r="B791" t="inlineStr">
        <is>
          <t>avverkningsanmälan</t>
        </is>
      </c>
      <c r="C791" t="inlineStr">
        <is>
          <t>Föryngringsavverkning</t>
        </is>
      </c>
      <c r="D791" s="1" t="n">
        <v>44966</v>
      </c>
      <c r="E791" s="1" t="n">
        <v>46248</v>
      </c>
      <c r="F791" t="inlineStr">
        <is>
          <t>BLEKINGE LÄN</t>
        </is>
      </c>
      <c r="G791" t="inlineStr">
        <is>
          <t>RONNEBY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41034-2024</t>
        </is>
      </c>
      <c r="B792" t="inlineStr">
        <is>
          <t>avverkningsanmälan</t>
        </is>
      </c>
      <c r="C792" t="inlineStr">
        <is>
          <t>Föryngringsavverkning</t>
        </is>
      </c>
      <c r="D792" s="1" t="n">
        <v>45559</v>
      </c>
      <c r="E792" s="1" t="n">
        <v>46248</v>
      </c>
      <c r="F792" t="inlineStr">
        <is>
          <t>BLEKINGE LÄN</t>
        </is>
      </c>
      <c r="G792" t="inlineStr">
        <is>
          <t>RONNEBY</t>
        </is>
      </c>
      <c r="H792" t="inlineStr">
        <is>
          <t>Övriga Aktiebolag</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29367-2023</t>
        </is>
      </c>
      <c r="B793" t="inlineStr">
        <is>
          <t>avverkningsanmälan</t>
        </is>
      </c>
      <c r="C793" t="inlineStr">
        <is>
          <t>Föryngringsavverkning</t>
        </is>
      </c>
      <c r="D793" s="1" t="n">
        <v>45106</v>
      </c>
      <c r="E793" s="1" t="n">
        <v>46248</v>
      </c>
      <c r="F793" t="inlineStr">
        <is>
          <t>BLEKINGE LÄN</t>
        </is>
      </c>
      <c r="G793" t="inlineStr">
        <is>
          <t>KARLSKRONA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4675-2024</t>
        </is>
      </c>
      <c r="B794" t="inlineStr">
        <is>
          <t>avverkningsanmälan</t>
        </is>
      </c>
      <c r="C794" t="inlineStr">
        <is>
          <t>Föryngringsavverkning</t>
        </is>
      </c>
      <c r="D794" s="1" t="n">
        <v>45328</v>
      </c>
      <c r="E794" s="1" t="n">
        <v>46248</v>
      </c>
      <c r="F794" t="inlineStr">
        <is>
          <t>BLEKINGE LÄN</t>
        </is>
      </c>
      <c r="G794" t="inlineStr">
        <is>
          <t>RONNEBY</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4676-2024</t>
        </is>
      </c>
      <c r="B795" t="inlineStr">
        <is>
          <t>avverkningsanmälan</t>
        </is>
      </c>
      <c r="C795" t="inlineStr">
        <is>
          <t>Föryngringsavverkning</t>
        </is>
      </c>
      <c r="D795" s="1" t="n">
        <v>45328</v>
      </c>
      <c r="E795" s="1" t="n">
        <v>46248</v>
      </c>
      <c r="F795" t="inlineStr">
        <is>
          <t>BLEKINGE LÄN</t>
        </is>
      </c>
      <c r="G795" t="inlineStr">
        <is>
          <t>RONNEBY</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62932-2023</t>
        </is>
      </c>
      <c r="B796" t="inlineStr">
        <is>
          <t>avverkningsanmälan</t>
        </is>
      </c>
      <c r="C796" t="inlineStr">
        <is>
          <t>Föryngringsavverkning</t>
        </is>
      </c>
      <c r="D796" s="1" t="n">
        <v>45272</v>
      </c>
      <c r="E796" s="1" t="n">
        <v>46248</v>
      </c>
      <c r="F796" t="inlineStr">
        <is>
          <t>BLEKINGE LÄN</t>
        </is>
      </c>
      <c r="G796" t="inlineStr">
        <is>
          <t>RONNEBY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46500-2023</t>
        </is>
      </c>
      <c r="B797" t="inlineStr">
        <is>
          <t>avverkningsanmälan</t>
        </is>
      </c>
      <c r="C797" t="inlineStr">
        <is>
          <t>Föryngringsavverkning</t>
        </is>
      </c>
      <c r="D797" s="1" t="n">
        <v>45197</v>
      </c>
      <c r="E797" s="1" t="n">
        <v>46248</v>
      </c>
      <c r="F797" t="inlineStr">
        <is>
          <t>BLEKINGE LÄN</t>
        </is>
      </c>
      <c r="G797" t="inlineStr">
        <is>
          <t>SÖLVESBORG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9571-2024</t>
        </is>
      </c>
      <c r="B798" t="inlineStr">
        <is>
          <t>avverkningsanmälan</t>
        </is>
      </c>
      <c r="C798" t="inlineStr">
        <is>
          <t>Föryngringsavverkning</t>
        </is>
      </c>
      <c r="D798" s="1" t="n">
        <v>45360</v>
      </c>
      <c r="E798" s="1" t="n">
        <v>46248</v>
      </c>
      <c r="F798" t="inlineStr">
        <is>
          <t>BLEKINGE LÄN</t>
        </is>
      </c>
      <c r="G798" t="inlineStr">
        <is>
          <t>RONNEBY</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9580-2024</t>
        </is>
      </c>
      <c r="B799" t="inlineStr">
        <is>
          <t>avverkningsanmälan</t>
        </is>
      </c>
      <c r="C799" t="inlineStr">
        <is>
          <t>Föryngringsavverkning</t>
        </is>
      </c>
      <c r="D799" s="1" t="n">
        <v>45360</v>
      </c>
      <c r="E799" s="1" t="n">
        <v>46248</v>
      </c>
      <c r="F799" t="inlineStr">
        <is>
          <t>BLEKINGE LÄN</t>
        </is>
      </c>
      <c r="G799" t="inlineStr">
        <is>
          <t>RONNEBY</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65030-2023</t>
        </is>
      </c>
      <c r="B800" t="inlineStr">
        <is>
          <t>avverkningsanmälan</t>
        </is>
      </c>
      <c r="C800" t="inlineStr">
        <is>
          <t>Föryngringsavverkning</t>
        </is>
      </c>
      <c r="D800" s="1" t="n">
        <v>45282</v>
      </c>
      <c r="E800" s="1" t="n">
        <v>46248</v>
      </c>
      <c r="F800" t="inlineStr">
        <is>
          <t>BLEKINGE LÄN</t>
        </is>
      </c>
      <c r="G800" t="inlineStr">
        <is>
          <t>OLOFSTRÖM</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11122-2024</t>
        </is>
      </c>
      <c r="B801" t="inlineStr">
        <is>
          <t>avverkningsanmälan</t>
        </is>
      </c>
      <c r="C801" t="inlineStr">
        <is>
          <t>Föryngringsavverkning</t>
        </is>
      </c>
      <c r="D801" s="1" t="n">
        <v>45371</v>
      </c>
      <c r="E801" s="1" t="n">
        <v>46248</v>
      </c>
      <c r="F801" t="inlineStr">
        <is>
          <t>BLEKINGE LÄN</t>
        </is>
      </c>
      <c r="G801" t="inlineStr">
        <is>
          <t>OLOFSTRÖM</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10998-2022</t>
        </is>
      </c>
      <c r="B802" t="inlineStr">
        <is>
          <t>avverkningsanmälan</t>
        </is>
      </c>
      <c r="C802" t="inlineStr">
        <is>
          <t>Föryngringsavverkning</t>
        </is>
      </c>
      <c r="D802" s="1" t="n">
        <v>44628</v>
      </c>
      <c r="E802" s="1" t="n">
        <v>46248</v>
      </c>
      <c r="F802" t="inlineStr">
        <is>
          <t>BLEKINGE LÄN</t>
        </is>
      </c>
      <c r="G802" t="inlineStr">
        <is>
          <t>KARLSKRONA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26605-2023</t>
        </is>
      </c>
      <c r="B803" t="inlineStr">
        <is>
          <t>avverkningsanmälan</t>
        </is>
      </c>
      <c r="C803" t="inlineStr">
        <is>
          <t>Föryngringsavverkning</t>
        </is>
      </c>
      <c r="D803" s="1" t="n">
        <v>45092</v>
      </c>
      <c r="E803" s="1" t="n">
        <v>46248</v>
      </c>
      <c r="F803" t="inlineStr">
        <is>
          <t>BLEKINGE LÄN</t>
        </is>
      </c>
      <c r="G803" t="inlineStr">
        <is>
          <t>KARLSKRONA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25450-2023</t>
        </is>
      </c>
      <c r="B804" t="inlineStr">
        <is>
          <t>avverkningsanmälan</t>
        </is>
      </c>
      <c r="C804" t="inlineStr">
        <is>
          <t>Föryngringsavverkning</t>
        </is>
      </c>
      <c r="D804" s="1" t="n">
        <v>45089</v>
      </c>
      <c r="E804" s="1" t="n">
        <v>46248</v>
      </c>
      <c r="F804" t="inlineStr">
        <is>
          <t>BLEKINGE LÄN</t>
        </is>
      </c>
      <c r="G804" t="inlineStr">
        <is>
          <t>KARLSKRONA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5172-2024</t>
        </is>
      </c>
      <c r="B805" t="inlineStr">
        <is>
          <t>avverkningsanmälan</t>
        </is>
      </c>
      <c r="C805" t="inlineStr">
        <is>
          <t>Föryngringsavverkning</t>
        </is>
      </c>
      <c r="D805" s="1" t="n">
        <v>45330</v>
      </c>
      <c r="E805" s="1" t="n">
        <v>46248</v>
      </c>
      <c r="F805" t="inlineStr">
        <is>
          <t>BLEKINGE LÄN</t>
        </is>
      </c>
      <c r="G805" t="inlineStr">
        <is>
          <t>KARLSHAMN</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6316-2023</t>
        </is>
      </c>
      <c r="B806" t="inlineStr">
        <is>
          <t>avverkningsanmälan</t>
        </is>
      </c>
      <c r="C806" t="inlineStr">
        <is>
          <t>Föryngringsavverkning</t>
        </is>
      </c>
      <c r="D806" s="1" t="n">
        <v>44965</v>
      </c>
      <c r="E806" s="1" t="n">
        <v>46248</v>
      </c>
      <c r="F806" t="inlineStr">
        <is>
          <t>BLEKINGE LÄN</t>
        </is>
      </c>
      <c r="G806" t="inlineStr">
        <is>
          <t>OLOFSTRÖM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6318-2023</t>
        </is>
      </c>
      <c r="B807" t="inlineStr">
        <is>
          <t>avverkningsanmälan</t>
        </is>
      </c>
      <c r="C807" t="inlineStr">
        <is>
          <t>Föryngringsavverkning</t>
        </is>
      </c>
      <c r="D807" s="1" t="n">
        <v>44965</v>
      </c>
      <c r="E807" s="1" t="n">
        <v>46248</v>
      </c>
      <c r="F807" t="inlineStr">
        <is>
          <t>BLEKINGE LÄN</t>
        </is>
      </c>
      <c r="G807" t="inlineStr">
        <is>
          <t>OLOFSTRÖM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25908-2023</t>
        </is>
      </c>
      <c r="B808" t="inlineStr">
        <is>
          <t>avverkningsanmälan</t>
        </is>
      </c>
      <c r="C808" t="inlineStr">
        <is>
          <t>Föryngringsavverkning</t>
        </is>
      </c>
      <c r="D808" s="1" t="n">
        <v>45090</v>
      </c>
      <c r="E808" s="1" t="n">
        <v>46248</v>
      </c>
      <c r="F808" t="inlineStr">
        <is>
          <t>BLEKINGE LÄN</t>
        </is>
      </c>
      <c r="G808" t="inlineStr">
        <is>
          <t>OLOFSTRÖM</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55439-2023</t>
        </is>
      </c>
      <c r="B809" t="inlineStr">
        <is>
          <t>avverkningsanmälan</t>
        </is>
      </c>
      <c r="C809" t="inlineStr">
        <is>
          <t>Föryngringsavverkning</t>
        </is>
      </c>
      <c r="D809" s="1" t="n">
        <v>45238</v>
      </c>
      <c r="E809" s="1" t="n">
        <v>46248</v>
      </c>
      <c r="F809" t="inlineStr">
        <is>
          <t>BLEKINGE LÄN</t>
        </is>
      </c>
      <c r="G809" t="inlineStr">
        <is>
          <t>KARLSHAMN</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542-2024</t>
        </is>
      </c>
      <c r="B810" t="inlineStr">
        <is>
          <t>avverkningsanmälan</t>
        </is>
      </c>
      <c r="C810" t="inlineStr">
        <is>
          <t>Föryngringsavverkning</t>
        </is>
      </c>
      <c r="D810" s="1" t="n">
        <v>45299</v>
      </c>
      <c r="E810" s="1" t="n">
        <v>46248</v>
      </c>
      <c r="F810" t="inlineStr">
        <is>
          <t>BLEKINGE LÄN</t>
        </is>
      </c>
      <c r="G810" t="inlineStr">
        <is>
          <t>RONNEBY</t>
        </is>
      </c>
      <c r="I810" t="n">
        <v>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27698-2022</t>
        </is>
      </c>
      <c r="B811" t="inlineStr">
        <is>
          <t>avverkningsanmälan</t>
        </is>
      </c>
      <c r="C811" t="inlineStr">
        <is>
          <t>Föryngringsavverkning</t>
        </is>
      </c>
      <c r="D811" s="1" t="n">
        <v>44743</v>
      </c>
      <c r="E811" s="1" t="n">
        <v>46248</v>
      </c>
      <c r="F811" t="inlineStr">
        <is>
          <t>BLEKINGE LÄN</t>
        </is>
      </c>
      <c r="G811" t="inlineStr">
        <is>
          <t>KARLSHAMN</t>
        </is>
      </c>
      <c r="H811" t="inlineStr">
        <is>
          <t>Kommuner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31589-2023</t>
        </is>
      </c>
      <c r="B812" t="inlineStr">
        <is>
          <t>avverkningsanmälan</t>
        </is>
      </c>
      <c r="C812" t="inlineStr">
        <is>
          <t>Föryngringsavverkning</t>
        </is>
      </c>
      <c r="D812" s="1" t="n">
        <v>45104</v>
      </c>
      <c r="E812" s="1" t="n">
        <v>46248</v>
      </c>
      <c r="F812" t="inlineStr">
        <is>
          <t>BLEKINGE LÄN</t>
        </is>
      </c>
      <c r="G812" t="inlineStr">
        <is>
          <t>RONNEBY</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54637-2023</t>
        </is>
      </c>
      <c r="B813" t="inlineStr">
        <is>
          <t>avverkningsanmälan</t>
        </is>
      </c>
      <c r="C813" t="inlineStr">
        <is>
          <t>Föryngringsavverkning</t>
        </is>
      </c>
      <c r="D813" s="1" t="n">
        <v>45234</v>
      </c>
      <c r="E813" s="1" t="n">
        <v>46248</v>
      </c>
      <c r="F813" t="inlineStr">
        <is>
          <t>BLEKINGE LÄN</t>
        </is>
      </c>
      <c r="G813" t="inlineStr">
        <is>
          <t>KARLSKRONA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12181-2022</t>
        </is>
      </c>
      <c r="B814" t="inlineStr">
        <is>
          <t>avverkningsanmälan</t>
        </is>
      </c>
      <c r="C814" t="inlineStr">
        <is>
          <t>Föryngringsavverkning</t>
        </is>
      </c>
      <c r="D814" s="1" t="n">
        <v>44636</v>
      </c>
      <c r="E814" s="1" t="n">
        <v>46248</v>
      </c>
      <c r="F814" t="inlineStr">
        <is>
          <t>BLEKINGE LÄN</t>
        </is>
      </c>
      <c r="G814" t="inlineStr">
        <is>
          <t>KARLSKRONA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20656-2023</t>
        </is>
      </c>
      <c r="B815" t="inlineStr">
        <is>
          <t>avverkningsanmälan</t>
        </is>
      </c>
      <c r="C815" t="inlineStr">
        <is>
          <t>Föryngringsavverkning</t>
        </is>
      </c>
      <c r="D815" s="1" t="n">
        <v>45055</v>
      </c>
      <c r="E815" s="1" t="n">
        <v>46248</v>
      </c>
      <c r="F815" t="inlineStr">
        <is>
          <t>BLEKINGE LÄN</t>
        </is>
      </c>
      <c r="G815" t="inlineStr">
        <is>
          <t>KARLSKRONA</t>
        </is>
      </c>
      <c r="I815" t="n">
        <v>10.6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37487-2024</t>
        </is>
      </c>
      <c r="B816" t="inlineStr">
        <is>
          <t>avverkningsanmälan</t>
        </is>
      </c>
      <c r="C816" t="inlineStr">
        <is>
          <t>Föryngringsavverkning</t>
        </is>
      </c>
      <c r="D816" s="1" t="n">
        <v>45541</v>
      </c>
      <c r="E816" s="1" t="n">
        <v>46248</v>
      </c>
      <c r="F816" t="inlineStr">
        <is>
          <t>BLEKINGE LÄN</t>
        </is>
      </c>
      <c r="G816" t="inlineStr">
        <is>
          <t>KARLSKRONA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35081-2022</t>
        </is>
      </c>
      <c r="B817" t="inlineStr">
        <is>
          <t>avverkningsanmälan</t>
        </is>
      </c>
      <c r="C817" t="inlineStr">
        <is>
          <t>Föryngringsavverkning</t>
        </is>
      </c>
      <c r="D817" s="1" t="n">
        <v>44797</v>
      </c>
      <c r="E817" s="1" t="n">
        <v>46248</v>
      </c>
      <c r="F817" t="inlineStr">
        <is>
          <t>BLEKINGE LÄN</t>
        </is>
      </c>
      <c r="G817" t="inlineStr">
        <is>
          <t>KARLSHAMN</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35807-2023</t>
        </is>
      </c>
      <c r="B818" t="inlineStr">
        <is>
          <t>avverkningsanmälan</t>
        </is>
      </c>
      <c r="C818" t="inlineStr">
        <is>
          <t>Föryngringsavverkning</t>
        </is>
      </c>
      <c r="D818" s="1" t="n">
        <v>45148</v>
      </c>
      <c r="E818" s="1" t="n">
        <v>46248</v>
      </c>
      <c r="F818" t="inlineStr">
        <is>
          <t>BLEKINGE LÄN</t>
        </is>
      </c>
      <c r="G818" t="inlineStr">
        <is>
          <t>KARLSKRONA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35828-2023</t>
        </is>
      </c>
      <c r="B819" t="inlineStr">
        <is>
          <t>avverkningsanmälan</t>
        </is>
      </c>
      <c r="C819" t="inlineStr">
        <is>
          <t>Föryngringsavverkning</t>
        </is>
      </c>
      <c r="D819" s="1" t="n">
        <v>45148</v>
      </c>
      <c r="E819" s="1" t="n">
        <v>46248</v>
      </c>
      <c r="F819" t="inlineStr">
        <is>
          <t>BLEKINGE LÄN</t>
        </is>
      </c>
      <c r="G819" t="inlineStr">
        <is>
          <t>KARLSHAMN</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20586-2025</t>
        </is>
      </c>
      <c r="B820" t="inlineStr">
        <is>
          <t>avverkningsanmälan</t>
        </is>
      </c>
      <c r="C820" t="inlineStr">
        <is>
          <t>Föryngringsavverkning</t>
        </is>
      </c>
      <c r="D820" s="1" t="n">
        <v>45775</v>
      </c>
      <c r="E820" s="1" t="n">
        <v>46248</v>
      </c>
      <c r="F820" t="inlineStr">
        <is>
          <t>BLEKINGE LÄN</t>
        </is>
      </c>
      <c r="G820" t="inlineStr">
        <is>
          <t>RONNEBY</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19609-2024</t>
        </is>
      </c>
      <c r="B821" t="inlineStr">
        <is>
          <t>avverkningsanmälan</t>
        </is>
      </c>
      <c r="C821" t="inlineStr">
        <is>
          <t>Föryngringsavverkning</t>
        </is>
      </c>
      <c r="D821" s="1" t="n">
        <v>45432</v>
      </c>
      <c r="E821" s="1" t="n">
        <v>46248</v>
      </c>
      <c r="F821" t="inlineStr">
        <is>
          <t>BLEKINGE LÄN</t>
        </is>
      </c>
      <c r="G821" t="inlineStr">
        <is>
          <t>RONNEBY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44487-2023</t>
        </is>
      </c>
      <c r="B822" t="inlineStr">
        <is>
          <t>avverkningsanmälan</t>
        </is>
      </c>
      <c r="C822" t="inlineStr">
        <is>
          <t>Föryngringsavverkning</t>
        </is>
      </c>
      <c r="D822" s="1" t="n">
        <v>45187</v>
      </c>
      <c r="E822" s="1" t="n">
        <v>46248</v>
      </c>
      <c r="F822" t="inlineStr">
        <is>
          <t>BLEKINGE LÄN</t>
        </is>
      </c>
      <c r="G822" t="inlineStr">
        <is>
          <t>KARLSHAMN</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13482-2023</t>
        </is>
      </c>
      <c r="B823" t="inlineStr">
        <is>
          <t>avverkningsanmälan</t>
        </is>
      </c>
      <c r="C823" t="inlineStr">
        <is>
          <t>Föryngringsavverkning</t>
        </is>
      </c>
      <c r="D823" s="1" t="n">
        <v>45005</v>
      </c>
      <c r="E823" s="1" t="n">
        <v>46248</v>
      </c>
      <c r="F823" t="inlineStr">
        <is>
          <t>BLEKINGE LÄN</t>
        </is>
      </c>
      <c r="G823" t="inlineStr">
        <is>
          <t>OLOFSTRÖM</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12180-2022</t>
        </is>
      </c>
      <c r="B824" t="inlineStr">
        <is>
          <t>avverkningsanmälan</t>
        </is>
      </c>
      <c r="C824" t="inlineStr">
        <is>
          <t>Föryngringsavverkning</t>
        </is>
      </c>
      <c r="D824" s="1" t="n">
        <v>44636</v>
      </c>
      <c r="E824" s="1" t="n">
        <v>46248</v>
      </c>
      <c r="F824" t="inlineStr">
        <is>
          <t>BLEKINGE LÄN</t>
        </is>
      </c>
      <c r="G824" t="inlineStr">
        <is>
          <t>KARLSKRONA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6507-2023</t>
        </is>
      </c>
      <c r="B825" t="inlineStr">
        <is>
          <t>avverkningsanmälan</t>
        </is>
      </c>
      <c r="C825" t="inlineStr">
        <is>
          <t>Föryngringsavverkning</t>
        </is>
      </c>
      <c r="D825" s="1" t="n">
        <v>44966</v>
      </c>
      <c r="E825" s="1" t="n">
        <v>46248</v>
      </c>
      <c r="F825" t="inlineStr">
        <is>
          <t>BLEKINGE LÄN</t>
        </is>
      </c>
      <c r="G825" t="inlineStr">
        <is>
          <t>RONNEBY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12767-2023</t>
        </is>
      </c>
      <c r="B826" t="inlineStr">
        <is>
          <t>avverkningsanmälan</t>
        </is>
      </c>
      <c r="C826" t="inlineStr">
        <is>
          <t>Föryngringsavverkning</t>
        </is>
      </c>
      <c r="D826" s="1" t="n">
        <v>45001</v>
      </c>
      <c r="E826" s="1" t="n">
        <v>46248</v>
      </c>
      <c r="F826" t="inlineStr">
        <is>
          <t>BLEKINGE LÄN</t>
        </is>
      </c>
      <c r="G826" t="inlineStr">
        <is>
          <t>RONNEBY</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12768-2023</t>
        </is>
      </c>
      <c r="B827" t="inlineStr">
        <is>
          <t>avverkningsanmälan</t>
        </is>
      </c>
      <c r="C827" t="inlineStr">
        <is>
          <t>Föryngringsavverkning</t>
        </is>
      </c>
      <c r="D827" s="1" t="n">
        <v>45001</v>
      </c>
      <c r="E827" s="1" t="n">
        <v>46248</v>
      </c>
      <c r="F827" t="inlineStr">
        <is>
          <t>BLEKINGE LÄN</t>
        </is>
      </c>
      <c r="G827" t="inlineStr">
        <is>
          <t>RONNEBY</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43444-2024</t>
        </is>
      </c>
      <c r="B828" t="inlineStr">
        <is>
          <t>avverkningsanmälan</t>
        </is>
      </c>
      <c r="C828" t="inlineStr">
        <is>
          <t>Föryngringsavverkning</t>
        </is>
      </c>
      <c r="D828" s="1" t="n">
        <v>45568</v>
      </c>
      <c r="E828" s="1" t="n">
        <v>46248</v>
      </c>
      <c r="F828" t="inlineStr">
        <is>
          <t>BLEKINGE LÄN</t>
        </is>
      </c>
      <c r="G828" t="inlineStr">
        <is>
          <t>KARLSKRONA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7862-2025</t>
        </is>
      </c>
      <c r="B829" t="inlineStr">
        <is>
          <t>avverkningsanmälan</t>
        </is>
      </c>
      <c r="C829" t="inlineStr">
        <is>
          <t>Föryngringsavverkning</t>
        </is>
      </c>
      <c r="D829" s="1" t="n">
        <v>45706</v>
      </c>
      <c r="E829" s="1" t="n">
        <v>46248</v>
      </c>
      <c r="F829" t="inlineStr">
        <is>
          <t>BLEKINGE LÄN</t>
        </is>
      </c>
      <c r="G829" t="inlineStr">
        <is>
          <t>OLOFSTRÖM</t>
        </is>
      </c>
      <c r="I829" t="n">
        <v>5.8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31418-2024</t>
        </is>
      </c>
      <c r="B830" t="inlineStr">
        <is>
          <t>avverkningsanmälan</t>
        </is>
      </c>
      <c r="C830" t="inlineStr">
        <is>
          <t>Föryngringsavverkning</t>
        </is>
      </c>
      <c r="D830" s="1" t="n">
        <v>45505</v>
      </c>
      <c r="E830" s="1" t="n">
        <v>46248</v>
      </c>
      <c r="F830" t="inlineStr">
        <is>
          <t>BLEKINGE LÄN</t>
        </is>
      </c>
      <c r="G830" t="inlineStr">
        <is>
          <t>RONNEBY</t>
        </is>
      </c>
      <c r="H830" t="inlineStr">
        <is>
          <t>Kommuner</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29158-2023</t>
        </is>
      </c>
      <c r="B831" t="inlineStr">
        <is>
          <t>avverkningsanmälan</t>
        </is>
      </c>
      <c r="C831" t="inlineStr">
        <is>
          <t>Föryngringsavverkning</t>
        </is>
      </c>
      <c r="D831" s="1" t="n">
        <v>45105</v>
      </c>
      <c r="E831" s="1" t="n">
        <v>46248</v>
      </c>
      <c r="F831" t="inlineStr">
        <is>
          <t>BLEKINGE LÄN</t>
        </is>
      </c>
      <c r="G831" t="inlineStr">
        <is>
          <t>RONNEBY</t>
        </is>
      </c>
      <c r="H831" t="inlineStr">
        <is>
          <t>Kommuner</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31130-2024</t>
        </is>
      </c>
      <c r="B832" t="inlineStr">
        <is>
          <t>avverkningsanmälan</t>
        </is>
      </c>
      <c r="C832" t="inlineStr">
        <is>
          <t>Föryngringsavverkning</t>
        </is>
      </c>
      <c r="D832" s="1" t="n">
        <v>45502</v>
      </c>
      <c r="E832" s="1" t="n">
        <v>46248</v>
      </c>
      <c r="F832" t="inlineStr">
        <is>
          <t>BLEKINGE LÄN</t>
        </is>
      </c>
      <c r="G832" t="inlineStr">
        <is>
          <t>KARLSHAMN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23996-2023</t>
        </is>
      </c>
      <c r="B833" t="inlineStr">
        <is>
          <t>avverkningsanmälan</t>
        </is>
      </c>
      <c r="C833" t="inlineStr">
        <is>
          <t>Föryngringsavverkning</t>
        </is>
      </c>
      <c r="D833" s="1" t="n">
        <v>45075</v>
      </c>
      <c r="E833" s="1" t="n">
        <v>46248</v>
      </c>
      <c r="F833" t="inlineStr">
        <is>
          <t>BLEKINGE LÄN</t>
        </is>
      </c>
      <c r="G833" t="inlineStr">
        <is>
          <t>RONNEBY</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15360-2024</t>
        </is>
      </c>
      <c r="B834" t="inlineStr">
        <is>
          <t>avverkningsanmälan</t>
        </is>
      </c>
      <c r="C834" t="inlineStr">
        <is>
          <t>Föryngringsavverkning</t>
        </is>
      </c>
      <c r="D834" s="1" t="n">
        <v>45400</v>
      </c>
      <c r="E834" s="1" t="n">
        <v>46248</v>
      </c>
      <c r="F834" t="inlineStr">
        <is>
          <t>BLEKINGE LÄN</t>
        </is>
      </c>
      <c r="G834" t="inlineStr">
        <is>
          <t>KARLSKRONA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16275-2023</t>
        </is>
      </c>
      <c r="B835" t="inlineStr">
        <is>
          <t>avverkningsanmälan</t>
        </is>
      </c>
      <c r="C835" t="inlineStr">
        <is>
          <t>Föryngringsavverkning</t>
        </is>
      </c>
      <c r="D835" s="1" t="n">
        <v>45028</v>
      </c>
      <c r="E835" s="1" t="n">
        <v>46248</v>
      </c>
      <c r="F835" t="inlineStr">
        <is>
          <t>BLEKINGE LÄN</t>
        </is>
      </c>
      <c r="G835" t="inlineStr">
        <is>
          <t>KARLSKRONA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16290-2023</t>
        </is>
      </c>
      <c r="B836" t="inlineStr">
        <is>
          <t>avverkningsanmälan</t>
        </is>
      </c>
      <c r="C836" t="inlineStr">
        <is>
          <t>Föryngringsavverkning</t>
        </is>
      </c>
      <c r="D836" s="1" t="n">
        <v>45028</v>
      </c>
      <c r="E836" s="1" t="n">
        <v>46248</v>
      </c>
      <c r="F836" t="inlineStr">
        <is>
          <t>BLEKINGE LÄN</t>
        </is>
      </c>
      <c r="G836" t="inlineStr">
        <is>
          <t>KARLSKRONA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3001-2023</t>
        </is>
      </c>
      <c r="B837" t="inlineStr">
        <is>
          <t>avverkningsanmälan</t>
        </is>
      </c>
      <c r="C837" t="inlineStr">
        <is>
          <t>Föryngringsavverkning</t>
        </is>
      </c>
      <c r="D837" s="1" t="n">
        <v>44945</v>
      </c>
      <c r="E837" s="1" t="n">
        <v>46248</v>
      </c>
      <c r="F837" t="inlineStr">
        <is>
          <t>BLEKINGE LÄN</t>
        </is>
      </c>
      <c r="G837" t="inlineStr">
        <is>
          <t>RONNEBY</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14694-2023</t>
        </is>
      </c>
      <c r="B838" t="inlineStr">
        <is>
          <t>avverkningsanmälan</t>
        </is>
      </c>
      <c r="C838" t="inlineStr">
        <is>
          <t>Föryngringsavverkning</t>
        </is>
      </c>
      <c r="D838" s="1" t="n">
        <v>45012</v>
      </c>
      <c r="E838" s="1" t="n">
        <v>46248</v>
      </c>
      <c r="F838" t="inlineStr">
        <is>
          <t>BLEKINGE LÄN</t>
        </is>
      </c>
      <c r="G838" t="inlineStr">
        <is>
          <t>RONNEBY</t>
        </is>
      </c>
      <c r="H838" t="inlineStr">
        <is>
          <t>Övriga statliga verk och myndigheter</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10735-2023</t>
        </is>
      </c>
      <c r="B839" t="inlineStr">
        <is>
          <t>avverkningsanmälan</t>
        </is>
      </c>
      <c r="C839" t="inlineStr">
        <is>
          <t>Föryngringsavverkning</t>
        </is>
      </c>
      <c r="D839" s="1" t="n">
        <v>44988</v>
      </c>
      <c r="E839" s="1" t="n">
        <v>46248</v>
      </c>
      <c r="F839" t="inlineStr">
        <is>
          <t>BLEKINGE LÄN</t>
        </is>
      </c>
      <c r="G839" t="inlineStr">
        <is>
          <t>KARLSKRONA</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17627-2023</t>
        </is>
      </c>
      <c r="B840" t="inlineStr">
        <is>
          <t>avverkningsanmälan</t>
        </is>
      </c>
      <c r="C840" t="inlineStr">
        <is>
          <t>Föryngringsavverkning</t>
        </is>
      </c>
      <c r="D840" s="1" t="n">
        <v>45035</v>
      </c>
      <c r="E840" s="1" t="n">
        <v>46248</v>
      </c>
      <c r="F840" t="inlineStr">
        <is>
          <t>BLEKINGE LÄN</t>
        </is>
      </c>
      <c r="G840" t="inlineStr">
        <is>
          <t>KARLSKRONA</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72478-2021</t>
        </is>
      </c>
      <c r="B841" t="inlineStr">
        <is>
          <t>avverkningsanmälan</t>
        </is>
      </c>
      <c r="C841" t="inlineStr">
        <is>
          <t>Föryngringsavverkning</t>
        </is>
      </c>
      <c r="D841" s="1" t="n">
        <v>44545</v>
      </c>
      <c r="E841" s="1" t="n">
        <v>46248</v>
      </c>
      <c r="F841" t="inlineStr">
        <is>
          <t>BLEKINGE LÄN</t>
        </is>
      </c>
      <c r="G841" t="inlineStr">
        <is>
          <t>KARLSKRONA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3295-2022</t>
        </is>
      </c>
      <c r="B842" t="inlineStr">
        <is>
          <t>avverkningsanmälan</t>
        </is>
      </c>
      <c r="C842" t="inlineStr">
        <is>
          <t>Föryngringsavverkning</t>
        </is>
      </c>
      <c r="D842" s="1" t="n">
        <v>44584</v>
      </c>
      <c r="E842" s="1" t="n">
        <v>46248</v>
      </c>
      <c r="F842" t="inlineStr">
        <is>
          <t>BLEKINGE LÄN</t>
        </is>
      </c>
      <c r="G842" t="inlineStr">
        <is>
          <t>KARLSKRONA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9493-2024</t>
        </is>
      </c>
      <c r="B843" t="inlineStr">
        <is>
          <t>avverkningsanmälan</t>
        </is>
      </c>
      <c r="C843" t="inlineStr">
        <is>
          <t>Föryngringsavverkning</t>
        </is>
      </c>
      <c r="D843" s="1" t="n">
        <v>45359</v>
      </c>
      <c r="E843" s="1" t="n">
        <v>46248</v>
      </c>
      <c r="F843" t="inlineStr">
        <is>
          <t>BLEKINGE LÄN</t>
        </is>
      </c>
      <c r="G843" t="inlineStr">
        <is>
          <t>RONNEBY</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29352-2023</t>
        </is>
      </c>
      <c r="B844" t="inlineStr">
        <is>
          <t>avverkningsanmälan</t>
        </is>
      </c>
      <c r="C844" t="inlineStr">
        <is>
          <t>Föryngringsavverkning</t>
        </is>
      </c>
      <c r="D844" s="1" t="n">
        <v>45106</v>
      </c>
      <c r="E844" s="1" t="n">
        <v>46248</v>
      </c>
      <c r="F844" t="inlineStr">
        <is>
          <t>BLEKINGE LÄN</t>
        </is>
      </c>
      <c r="G844" t="inlineStr">
        <is>
          <t>KARLSKRONA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25973-2023</t>
        </is>
      </c>
      <c r="B845" t="inlineStr">
        <is>
          <t>avverkningsanmälan</t>
        </is>
      </c>
      <c r="C845" t="inlineStr">
        <is>
          <t>Föryngringsavverkning</t>
        </is>
      </c>
      <c r="D845" s="1" t="n">
        <v>45090</v>
      </c>
      <c r="E845" s="1" t="n">
        <v>46248</v>
      </c>
      <c r="F845" t="inlineStr">
        <is>
          <t>BLEKINGE LÄN</t>
        </is>
      </c>
      <c r="G845" t="inlineStr">
        <is>
          <t>RONNEBY</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63571-2023</t>
        </is>
      </c>
      <c r="B846" t="inlineStr">
        <is>
          <t>avverkningsanmälan</t>
        </is>
      </c>
      <c r="C846" t="inlineStr">
        <is>
          <t>Föryngringsavverkning</t>
        </is>
      </c>
      <c r="D846" s="1" t="n">
        <v>45275</v>
      </c>
      <c r="E846" s="1" t="n">
        <v>46248</v>
      </c>
      <c r="F846" t="inlineStr">
        <is>
          <t>BLEKINGE LÄN</t>
        </is>
      </c>
      <c r="G846" t="inlineStr">
        <is>
          <t>SÖLVESBORG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24155-2024</t>
        </is>
      </c>
      <c r="B847" t="inlineStr">
        <is>
          <t>avverkningsanmälan</t>
        </is>
      </c>
      <c r="C847" t="inlineStr">
        <is>
          <t>Föryngringsavverkning</t>
        </is>
      </c>
      <c r="D847" s="1" t="n">
        <v>45456</v>
      </c>
      <c r="E847" s="1" t="n">
        <v>46248</v>
      </c>
      <c r="F847" t="inlineStr">
        <is>
          <t>BLEKINGE LÄN</t>
        </is>
      </c>
      <c r="G847" t="inlineStr">
        <is>
          <t>KARLSKRONA</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8523-2025</t>
        </is>
      </c>
      <c r="B848" t="inlineStr">
        <is>
          <t>avverkningsanmälan</t>
        </is>
      </c>
      <c r="C848" t="inlineStr">
        <is>
          <t>Avverkning för annat ändamål</t>
        </is>
      </c>
      <c r="D848" s="1" t="n">
        <v>45709</v>
      </c>
      <c r="E848" s="1" t="n">
        <v>46248</v>
      </c>
      <c r="F848" t="inlineStr">
        <is>
          <t>BLEKINGE LÄN</t>
        </is>
      </c>
      <c r="G848" t="inlineStr">
        <is>
          <t>SÖLVESBORG</t>
        </is>
      </c>
      <c r="I848" t="n">
        <v>6.7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39404-2023</t>
        </is>
      </c>
      <c r="B849" t="inlineStr">
        <is>
          <t>avverkningsanmälan</t>
        </is>
      </c>
      <c r="C849" t="inlineStr">
        <is>
          <t>Föryngringsavverkning</t>
        </is>
      </c>
      <c r="D849" s="1" t="n">
        <v>45166</v>
      </c>
      <c r="E849" s="1" t="n">
        <v>46248</v>
      </c>
      <c r="F849" t="inlineStr">
        <is>
          <t>BLEKINGE LÄN</t>
        </is>
      </c>
      <c r="G849" t="inlineStr">
        <is>
          <t>KARLSHAMN</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7347-2022</t>
        </is>
      </c>
      <c r="B850" t="inlineStr">
        <is>
          <t>avverkningsanmälan</t>
        </is>
      </c>
      <c r="C850" t="inlineStr">
        <is>
          <t>Föryngringsavverkning</t>
        </is>
      </c>
      <c r="D850" s="1" t="n">
        <v>44606</v>
      </c>
      <c r="E850" s="1" t="n">
        <v>46248</v>
      </c>
      <c r="F850" t="inlineStr">
        <is>
          <t>BLEKINGE LÄN</t>
        </is>
      </c>
      <c r="G850" t="inlineStr">
        <is>
          <t>RONNEBY</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40080-2023</t>
        </is>
      </c>
      <c r="B851" t="inlineStr">
        <is>
          <t>avverkningsanmälan</t>
        </is>
      </c>
      <c r="C851" t="inlineStr">
        <is>
          <t>Föryngringsavverkning</t>
        </is>
      </c>
      <c r="D851" s="1" t="n">
        <v>45168</v>
      </c>
      <c r="E851" s="1" t="n">
        <v>46248</v>
      </c>
      <c r="F851" t="inlineStr">
        <is>
          <t>BLEKINGE LÄN</t>
        </is>
      </c>
      <c r="G851" t="inlineStr">
        <is>
          <t>KARLSKRONA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48183-2024</t>
        </is>
      </c>
      <c r="B852" t="inlineStr">
        <is>
          <t>avverkningsanmälan</t>
        </is>
      </c>
      <c r="C852" t="inlineStr">
        <is>
          <t>Föryngringsavverkning</t>
        </is>
      </c>
      <c r="D852" s="1" t="n">
        <v>45589</v>
      </c>
      <c r="E852" s="1" t="n">
        <v>46248</v>
      </c>
      <c r="F852" t="inlineStr">
        <is>
          <t>BLEKINGE LÄN</t>
        </is>
      </c>
      <c r="G852" t="inlineStr">
        <is>
          <t>RONNEBY</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6430-2024</t>
        </is>
      </c>
      <c r="B853" t="inlineStr">
        <is>
          <t>avverkningsanmälan</t>
        </is>
      </c>
      <c r="C853" t="inlineStr">
        <is>
          <t>Föryngringsavverkning</t>
        </is>
      </c>
      <c r="D853" s="1" t="n">
        <v>45338</v>
      </c>
      <c r="E853" s="1" t="n">
        <v>46248</v>
      </c>
      <c r="F853" t="inlineStr">
        <is>
          <t>BLEKINGE LÄN</t>
        </is>
      </c>
      <c r="G853" t="inlineStr">
        <is>
          <t>OLOFSTRÖM</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45415-2023</t>
        </is>
      </c>
      <c r="B854" t="inlineStr">
        <is>
          <t>avverkningsanmälan</t>
        </is>
      </c>
      <c r="C854" t="inlineStr">
        <is>
          <t>Föryngringsavverkning</t>
        </is>
      </c>
      <c r="D854" s="1" t="n">
        <v>45194</v>
      </c>
      <c r="E854" s="1" t="n">
        <v>46248</v>
      </c>
      <c r="F854" t="inlineStr">
        <is>
          <t>BLEKINGE LÄN</t>
        </is>
      </c>
      <c r="G854" t="inlineStr">
        <is>
          <t>RONNEBY</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6439-2024</t>
        </is>
      </c>
      <c r="B855" t="inlineStr">
        <is>
          <t>avverkningsanmälan</t>
        </is>
      </c>
      <c r="C855" t="inlineStr">
        <is>
          <t>Föryngringsavverkning</t>
        </is>
      </c>
      <c r="D855" s="1" t="n">
        <v>45338</v>
      </c>
      <c r="E855" s="1" t="n">
        <v>46248</v>
      </c>
      <c r="F855" t="inlineStr">
        <is>
          <t>BLEKINGE LÄN</t>
        </is>
      </c>
      <c r="G855" t="inlineStr">
        <is>
          <t>OLOFSTRÖM</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6443-2024</t>
        </is>
      </c>
      <c r="B856" t="inlineStr">
        <is>
          <t>avverkningsanmälan</t>
        </is>
      </c>
      <c r="C856" t="inlineStr">
        <is>
          <t>Föryngringsavverkning</t>
        </is>
      </c>
      <c r="D856" s="1" t="n">
        <v>45338</v>
      </c>
      <c r="E856" s="1" t="n">
        <v>46248</v>
      </c>
      <c r="F856" t="inlineStr">
        <is>
          <t>BLEKINGE LÄN</t>
        </is>
      </c>
      <c r="G856" t="inlineStr">
        <is>
          <t>OLOFSTRÖM</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33664-2024</t>
        </is>
      </c>
      <c r="B857" t="inlineStr">
        <is>
          <t>avverkningsanmälan</t>
        </is>
      </c>
      <c r="C857" t="inlineStr">
        <is>
          <t>Föryngringsavverkning</t>
        </is>
      </c>
      <c r="D857" s="1" t="n">
        <v>45520</v>
      </c>
      <c r="E857" s="1" t="n">
        <v>46248</v>
      </c>
      <c r="F857" t="inlineStr">
        <is>
          <t>BLEKINGE LÄN</t>
        </is>
      </c>
      <c r="G857" t="inlineStr">
        <is>
          <t>OLOFSTRÖM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33673-2024</t>
        </is>
      </c>
      <c r="B858" t="inlineStr">
        <is>
          <t>avverkningsanmälan</t>
        </is>
      </c>
      <c r="C858" t="inlineStr">
        <is>
          <t>Föryngringsavverkning</t>
        </is>
      </c>
      <c r="D858" s="1" t="n">
        <v>45520</v>
      </c>
      <c r="E858" s="1" t="n">
        <v>46248</v>
      </c>
      <c r="F858" t="inlineStr">
        <is>
          <t>BLEKINGE LÄN</t>
        </is>
      </c>
      <c r="G858" t="inlineStr">
        <is>
          <t>OLOFSTRÖM</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34305-2023</t>
        </is>
      </c>
      <c r="B859" t="inlineStr">
        <is>
          <t>avverkningsanmälan</t>
        </is>
      </c>
      <c r="C859" t="inlineStr">
        <is>
          <t>Föryngringsavverkning</t>
        </is>
      </c>
      <c r="D859" s="1" t="n">
        <v>45138</v>
      </c>
      <c r="E859" s="1" t="n">
        <v>46248</v>
      </c>
      <c r="F859" t="inlineStr">
        <is>
          <t>BLEKINGE LÄN</t>
        </is>
      </c>
      <c r="G859" t="inlineStr">
        <is>
          <t>KARLSHAMN</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4687-2022</t>
        </is>
      </c>
      <c r="B860" t="inlineStr">
        <is>
          <t>avverkningsanmälan</t>
        </is>
      </c>
      <c r="C860" t="inlineStr">
        <is>
          <t>Föryngringsavverkning</t>
        </is>
      </c>
      <c r="D860" s="1" t="n">
        <v>44592</v>
      </c>
      <c r="E860" s="1" t="n">
        <v>46248</v>
      </c>
      <c r="F860" t="inlineStr">
        <is>
          <t>BLEKINGE LÄN</t>
        </is>
      </c>
      <c r="G860" t="inlineStr">
        <is>
          <t>KARLSKRONA</t>
        </is>
      </c>
      <c r="I860" t="n">
        <v>11.8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11253-2023</t>
        </is>
      </c>
      <c r="B861" t="inlineStr">
        <is>
          <t>avverkningsanmälan</t>
        </is>
      </c>
      <c r="C861" t="inlineStr">
        <is>
          <t>Föryngringsavverkning</t>
        </is>
      </c>
      <c r="D861" s="1" t="n">
        <v>44988</v>
      </c>
      <c r="E861" s="1" t="n">
        <v>46248</v>
      </c>
      <c r="F861" t="inlineStr">
        <is>
          <t>BLEKINGE LÄN</t>
        </is>
      </c>
      <c r="G861" t="inlineStr">
        <is>
          <t>KARLSKRONA</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49719-2023</t>
        </is>
      </c>
      <c r="B862" t="inlineStr">
        <is>
          <t>avverkningsanmälan</t>
        </is>
      </c>
      <c r="C862" t="inlineStr">
        <is>
          <t>Föryngringsavverkning</t>
        </is>
      </c>
      <c r="D862" s="1" t="n">
        <v>45212</v>
      </c>
      <c r="E862" s="1" t="n">
        <v>46248</v>
      </c>
      <c r="F862" t="inlineStr">
        <is>
          <t>BLEKINGE LÄN</t>
        </is>
      </c>
      <c r="G862" t="inlineStr">
        <is>
          <t>KARLSHAMN</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5458-2023</t>
        </is>
      </c>
      <c r="B863" t="inlineStr">
        <is>
          <t>avverkningsanmälan</t>
        </is>
      </c>
      <c r="C863" t="inlineStr">
        <is>
          <t>Föryngringsavverkning</t>
        </is>
      </c>
      <c r="D863" s="1" t="n">
        <v>44960</v>
      </c>
      <c r="E863" s="1" t="n">
        <v>46248</v>
      </c>
      <c r="F863" t="inlineStr">
        <is>
          <t>BLEKINGE LÄN</t>
        </is>
      </c>
      <c r="G863" t="inlineStr">
        <is>
          <t>KARLSKRONA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61730-2022</t>
        </is>
      </c>
      <c r="B864" t="inlineStr">
        <is>
          <t>avverkningsanmälan</t>
        </is>
      </c>
      <c r="C864" t="inlineStr">
        <is>
          <t>Föryngringsavverkning</t>
        </is>
      </c>
      <c r="D864" s="1" t="n">
        <v>44917</v>
      </c>
      <c r="E864" s="1" t="n">
        <v>46248</v>
      </c>
      <c r="F864" t="inlineStr">
        <is>
          <t>BLEKINGE LÄN</t>
        </is>
      </c>
      <c r="G864" t="inlineStr">
        <is>
          <t>RONNEBY</t>
        </is>
      </c>
      <c r="I864" t="n">
        <v>9.6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61296-2024</t>
        </is>
      </c>
      <c r="B865" t="inlineStr">
        <is>
          <t>avverkningsanmälan</t>
        </is>
      </c>
      <c r="C865" t="inlineStr">
        <is>
          <t>Föryngringsavverkning</t>
        </is>
      </c>
      <c r="D865" s="1" t="n">
        <v>45645</v>
      </c>
      <c r="E865" s="1" t="n">
        <v>46248</v>
      </c>
      <c r="F865" t="inlineStr">
        <is>
          <t>BLEKINGE LÄN</t>
        </is>
      </c>
      <c r="G865" t="inlineStr">
        <is>
          <t>KARLSKRONA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40068-2023</t>
        </is>
      </c>
      <c r="B866" t="inlineStr">
        <is>
          <t>avverkningsanmälan</t>
        </is>
      </c>
      <c r="C866" t="inlineStr">
        <is>
          <t>Föryngringsavverkning</t>
        </is>
      </c>
      <c r="D866" s="1" t="n">
        <v>45168</v>
      </c>
      <c r="E866" s="1" t="n">
        <v>46248</v>
      </c>
      <c r="F866" t="inlineStr">
        <is>
          <t>BLEKINGE LÄN</t>
        </is>
      </c>
      <c r="G866" t="inlineStr">
        <is>
          <t>RONNEBY</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45990-2021</t>
        </is>
      </c>
      <c r="B867" t="inlineStr">
        <is>
          <t>avverkningsanmälan</t>
        </is>
      </c>
      <c r="C867" t="inlineStr">
        <is>
          <t>Föryngringsavverkning</t>
        </is>
      </c>
      <c r="D867" s="1" t="n">
        <v>44441</v>
      </c>
      <c r="E867" s="1" t="n">
        <v>46248</v>
      </c>
      <c r="F867" t="inlineStr">
        <is>
          <t>BLEKINGE LÄN</t>
        </is>
      </c>
      <c r="G867" t="inlineStr">
        <is>
          <t>KARLSKRONA</t>
        </is>
      </c>
      <c r="I867" t="n">
        <v>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49056-2024</t>
        </is>
      </c>
      <c r="B868" t="inlineStr">
        <is>
          <t>avverkningsanmälan</t>
        </is>
      </c>
      <c r="C868" t="inlineStr">
        <is>
          <t>Föryngringsavverkning</t>
        </is>
      </c>
      <c r="D868" s="1" t="n">
        <v>45594</v>
      </c>
      <c r="E868" s="1" t="n">
        <v>46248</v>
      </c>
      <c r="F868" t="inlineStr">
        <is>
          <t>BLEKINGE LÄN</t>
        </is>
      </c>
      <c r="G868" t="inlineStr">
        <is>
          <t>OLOFSTRÖM</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64056-2023</t>
        </is>
      </c>
      <c r="B869" t="inlineStr">
        <is>
          <t>avverkningsanmälan</t>
        </is>
      </c>
      <c r="C869" t="inlineStr">
        <is>
          <t>Föryngringsavverkning</t>
        </is>
      </c>
      <c r="D869" s="1" t="n">
        <v>45279</v>
      </c>
      <c r="E869" s="1" t="n">
        <v>46248</v>
      </c>
      <c r="F869" t="inlineStr">
        <is>
          <t>BLEKINGE LÄN</t>
        </is>
      </c>
      <c r="G869" t="inlineStr">
        <is>
          <t>KARLSKRONA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35589-2023</t>
        </is>
      </c>
      <c r="B870" t="inlineStr">
        <is>
          <t>avverkningsanmälan</t>
        </is>
      </c>
      <c r="C870" t="inlineStr">
        <is>
          <t>Föryngringsavverkning</t>
        </is>
      </c>
      <c r="D870" s="1" t="n">
        <v>45147</v>
      </c>
      <c r="E870" s="1" t="n">
        <v>46248</v>
      </c>
      <c r="F870" t="inlineStr">
        <is>
          <t>BLEKINGE LÄN</t>
        </is>
      </c>
      <c r="G870" t="inlineStr">
        <is>
          <t>RONNEBY</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16897-2023</t>
        </is>
      </c>
      <c r="B871" t="inlineStr">
        <is>
          <t>avverkningsanmälan</t>
        </is>
      </c>
      <c r="C871" t="inlineStr">
        <is>
          <t>Avverkning för annat ändamål</t>
        </is>
      </c>
      <c r="D871" s="1" t="n">
        <v>45028</v>
      </c>
      <c r="E871" s="1" t="n">
        <v>46248</v>
      </c>
      <c r="F871" t="inlineStr">
        <is>
          <t>BLEKINGE LÄN</t>
        </is>
      </c>
      <c r="G871" t="inlineStr">
        <is>
          <t>KARLSHAMN</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22542-2023</t>
        </is>
      </c>
      <c r="B872" t="inlineStr">
        <is>
          <t>avverkningsanmälan</t>
        </is>
      </c>
      <c r="C872" t="inlineStr">
        <is>
          <t>Föryngringsavverkning</t>
        </is>
      </c>
      <c r="D872" s="1" t="n">
        <v>45071</v>
      </c>
      <c r="E872" s="1" t="n">
        <v>46248</v>
      </c>
      <c r="F872" t="inlineStr">
        <is>
          <t>BLEKINGE LÄN</t>
        </is>
      </c>
      <c r="G872" t="inlineStr">
        <is>
          <t>RONNEBY</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13377-2024</t>
        </is>
      </c>
      <c r="B873" t="inlineStr">
        <is>
          <t>avverkningsanmälan</t>
        </is>
      </c>
      <c r="C873" t="inlineStr">
        <is>
          <t>Föryngringsavverkning</t>
        </is>
      </c>
      <c r="D873" s="1" t="n">
        <v>45387</v>
      </c>
      <c r="E873" s="1" t="n">
        <v>46248</v>
      </c>
      <c r="F873" t="inlineStr">
        <is>
          <t>BLEKINGE LÄN</t>
        </is>
      </c>
      <c r="G873" t="inlineStr">
        <is>
          <t>KARLSKRONA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24328-2023</t>
        </is>
      </c>
      <c r="B874" t="inlineStr">
        <is>
          <t>avverkningsanmälan</t>
        </is>
      </c>
      <c r="C874" t="inlineStr">
        <is>
          <t>Föryngringsavverkning</t>
        </is>
      </c>
      <c r="D874" s="1" t="n">
        <v>45080</v>
      </c>
      <c r="E874" s="1" t="n">
        <v>46248</v>
      </c>
      <c r="F874" t="inlineStr">
        <is>
          <t>BLEKINGE LÄN</t>
        </is>
      </c>
      <c r="G874" t="inlineStr">
        <is>
          <t>KARLSKRONA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53817-2022</t>
        </is>
      </c>
      <c r="B875" t="inlineStr">
        <is>
          <t>avverkningsanmälan</t>
        </is>
      </c>
      <c r="C875" t="inlineStr">
        <is>
          <t>Föryngringsavverkning</t>
        </is>
      </c>
      <c r="D875" s="1" t="n">
        <v>44880</v>
      </c>
      <c r="E875" s="1" t="n">
        <v>46248</v>
      </c>
      <c r="F875" t="inlineStr">
        <is>
          <t>BLEKINGE LÄN</t>
        </is>
      </c>
      <c r="G875" t="inlineStr">
        <is>
          <t>RONNEBY</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42169-2023</t>
        </is>
      </c>
      <c r="B876" t="inlineStr">
        <is>
          <t>avverkningsanmälan</t>
        </is>
      </c>
      <c r="C876" t="inlineStr">
        <is>
          <t>Föryngringsavverkning</t>
        </is>
      </c>
      <c r="D876" s="1" t="n">
        <v>45178</v>
      </c>
      <c r="E876" s="1" t="n">
        <v>46248</v>
      </c>
      <c r="F876" t="inlineStr">
        <is>
          <t>BLEKINGE LÄN</t>
        </is>
      </c>
      <c r="G876" t="inlineStr">
        <is>
          <t>RONNEBY</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28538-2022</t>
        </is>
      </c>
      <c r="B877" t="inlineStr">
        <is>
          <t>avverkningsanmälan</t>
        </is>
      </c>
      <c r="C877" t="inlineStr">
        <is>
          <t>Föryngringsavverkning</t>
        </is>
      </c>
      <c r="D877" s="1" t="n">
        <v>44748</v>
      </c>
      <c r="E877" s="1" t="n">
        <v>46248</v>
      </c>
      <c r="F877" t="inlineStr">
        <is>
          <t>BLEKINGE LÄN</t>
        </is>
      </c>
      <c r="G877" t="inlineStr">
        <is>
          <t>OLOFSTRÖM</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21989-2023</t>
        </is>
      </c>
      <c r="B878" t="inlineStr">
        <is>
          <t>avverkningsanmälan</t>
        </is>
      </c>
      <c r="C878" t="inlineStr">
        <is>
          <t>Föryngringsavverkning</t>
        </is>
      </c>
      <c r="D878" s="1" t="n">
        <v>45068</v>
      </c>
      <c r="E878" s="1" t="n">
        <v>46248</v>
      </c>
      <c r="F878" t="inlineStr">
        <is>
          <t>BLEKINGE LÄN</t>
        </is>
      </c>
      <c r="G878" t="inlineStr">
        <is>
          <t>RONNEBY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46035-2024</t>
        </is>
      </c>
      <c r="B879" t="inlineStr">
        <is>
          <t>avverkningsanmälan</t>
        </is>
      </c>
      <c r="C879" t="inlineStr">
        <is>
          <t>Föryngringsavverkning</t>
        </is>
      </c>
      <c r="D879" s="1" t="n">
        <v>45580</v>
      </c>
      <c r="E879" s="1" t="n">
        <v>46248</v>
      </c>
      <c r="F879" t="inlineStr">
        <is>
          <t>BLEKINGE LÄN</t>
        </is>
      </c>
      <c r="G879" t="inlineStr">
        <is>
          <t>KARLSKRONA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49832-2024</t>
        </is>
      </c>
      <c r="B880" t="inlineStr">
        <is>
          <t>avverkningsanmälan</t>
        </is>
      </c>
      <c r="C880" t="inlineStr">
        <is>
          <t>Föryngringsavverkning</t>
        </is>
      </c>
      <c r="D880" s="1" t="n">
        <v>45597</v>
      </c>
      <c r="E880" s="1" t="n">
        <v>46248</v>
      </c>
      <c r="F880" t="inlineStr">
        <is>
          <t>BLEKINGE LÄN</t>
        </is>
      </c>
      <c r="G880" t="inlineStr">
        <is>
          <t>RONNEBY</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36413-2024</t>
        </is>
      </c>
      <c r="B881" t="inlineStr">
        <is>
          <t>avverkningsanmälan</t>
        </is>
      </c>
      <c r="C881" t="inlineStr">
        <is>
          <t>Föryngringsavverkning</t>
        </is>
      </c>
      <c r="D881" s="1" t="n">
        <v>45536</v>
      </c>
      <c r="E881" s="1" t="n">
        <v>46248</v>
      </c>
      <c r="F881" t="inlineStr">
        <is>
          <t>BLEKINGE LÄN</t>
        </is>
      </c>
      <c r="G881" t="inlineStr">
        <is>
          <t>RONNEBY</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50546-2023</t>
        </is>
      </c>
      <c r="B882" t="inlineStr">
        <is>
          <t>avverkningsanmälan</t>
        </is>
      </c>
      <c r="C882" t="inlineStr">
        <is>
          <t>Föryngringsavverkning</t>
        </is>
      </c>
      <c r="D882" s="1" t="n">
        <v>45217</v>
      </c>
      <c r="E882" s="1" t="n">
        <v>46248</v>
      </c>
      <c r="F882" t="inlineStr">
        <is>
          <t>BLEKINGE LÄN</t>
        </is>
      </c>
      <c r="G882" t="inlineStr">
        <is>
          <t>KARLSKRONA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8837-2025</t>
        </is>
      </c>
      <c r="B883" t="inlineStr">
        <is>
          <t>avverkningsanmälan</t>
        </is>
      </c>
      <c r="C883" t="inlineStr">
        <is>
          <t>Föryngringsavverkning</t>
        </is>
      </c>
      <c r="D883" s="1" t="n">
        <v>45713</v>
      </c>
      <c r="E883" s="1" t="n">
        <v>46248</v>
      </c>
      <c r="F883" t="inlineStr">
        <is>
          <t>BLEKINGE LÄN</t>
        </is>
      </c>
      <c r="G883" t="inlineStr">
        <is>
          <t>KARLSKRONA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55374-2023</t>
        </is>
      </c>
      <c r="B884" t="inlineStr">
        <is>
          <t>avverkningsanmälan</t>
        </is>
      </c>
      <c r="C884" t="inlineStr">
        <is>
          <t>Föryngringsavverkning</t>
        </is>
      </c>
      <c r="D884" s="1" t="n">
        <v>45238</v>
      </c>
      <c r="E884" s="1" t="n">
        <v>46248</v>
      </c>
      <c r="F884" t="inlineStr">
        <is>
          <t>BLEKINGE LÄN</t>
        </is>
      </c>
      <c r="G884" t="inlineStr">
        <is>
          <t>KARLSKRONA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45772-2023</t>
        </is>
      </c>
      <c r="B885" t="inlineStr">
        <is>
          <t>avverkningsanmälan</t>
        </is>
      </c>
      <c r="C885" t="inlineStr">
        <is>
          <t>Föryngringsavverkning</t>
        </is>
      </c>
      <c r="D885" s="1" t="n">
        <v>45195</v>
      </c>
      <c r="E885" s="1" t="n">
        <v>46248</v>
      </c>
      <c r="F885" t="inlineStr">
        <is>
          <t>BLEKINGE LÄN</t>
        </is>
      </c>
      <c r="G885" t="inlineStr">
        <is>
          <t>OLOFSTRÖM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46434-2023</t>
        </is>
      </c>
      <c r="B886" t="inlineStr">
        <is>
          <t>avverkningsanmälan</t>
        </is>
      </c>
      <c r="C886" t="inlineStr">
        <is>
          <t>Föryngringsavverkning</t>
        </is>
      </c>
      <c r="D886" s="1" t="n">
        <v>45197</v>
      </c>
      <c r="E886" s="1" t="n">
        <v>46248</v>
      </c>
      <c r="F886" t="inlineStr">
        <is>
          <t>BLEKINGE LÄN</t>
        </is>
      </c>
      <c r="G886" t="inlineStr">
        <is>
          <t>RONNEBY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49736-2023</t>
        </is>
      </c>
      <c r="B887" t="inlineStr">
        <is>
          <t>avverkningsanmälan</t>
        </is>
      </c>
      <c r="C887" t="inlineStr">
        <is>
          <t>Föryngringsavverkning</t>
        </is>
      </c>
      <c r="D887" s="1" t="n">
        <v>45212</v>
      </c>
      <c r="E887" s="1" t="n">
        <v>46248</v>
      </c>
      <c r="F887" t="inlineStr">
        <is>
          <t>BLEKINGE LÄN</t>
        </is>
      </c>
      <c r="G887" t="inlineStr">
        <is>
          <t>KARLSKRONA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24279-2023</t>
        </is>
      </c>
      <c r="B888" t="inlineStr">
        <is>
          <t>avverkningsanmälan</t>
        </is>
      </c>
      <c r="C888" t="inlineStr">
        <is>
          <t>Föryngringsavverkning</t>
        </is>
      </c>
      <c r="D888" s="1" t="n">
        <v>45079</v>
      </c>
      <c r="E888" s="1" t="n">
        <v>46248</v>
      </c>
      <c r="F888" t="inlineStr">
        <is>
          <t>BLEKINGE LÄN</t>
        </is>
      </c>
      <c r="G888" t="inlineStr">
        <is>
          <t>KARLSHAMN</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57841-2023</t>
        </is>
      </c>
      <c r="B889" t="inlineStr">
        <is>
          <t>avverkningsanmälan</t>
        </is>
      </c>
      <c r="C889" t="inlineStr">
        <is>
          <t>Föryngringsavverkning</t>
        </is>
      </c>
      <c r="D889" s="1" t="n">
        <v>45247</v>
      </c>
      <c r="E889" s="1" t="n">
        <v>46248</v>
      </c>
      <c r="F889" t="inlineStr">
        <is>
          <t>BLEKINGE LÄN</t>
        </is>
      </c>
      <c r="G889" t="inlineStr">
        <is>
          <t>KARLSKRONA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57982-2024</t>
        </is>
      </c>
      <c r="B890" t="inlineStr">
        <is>
          <t>avverkningsanmälan</t>
        </is>
      </c>
      <c r="C890" t="inlineStr">
        <is>
          <t>Avverkning för annat ändamål</t>
        </is>
      </c>
      <c r="D890" s="1" t="n">
        <v>45631</v>
      </c>
      <c r="E890" s="1" t="n">
        <v>46248</v>
      </c>
      <c r="F890" t="inlineStr">
        <is>
          <t>BLEKINGE LÄN</t>
        </is>
      </c>
      <c r="G890" t="inlineStr">
        <is>
          <t>KARLSKRONA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10226-2024</t>
        </is>
      </c>
      <c r="B891" t="inlineStr">
        <is>
          <t>avverkningsanmälan</t>
        </is>
      </c>
      <c r="C891" t="inlineStr">
        <is>
          <t>Föryngringsavverkning</t>
        </is>
      </c>
      <c r="D891" s="1" t="n">
        <v>45365</v>
      </c>
      <c r="E891" s="1" t="n">
        <v>46248</v>
      </c>
      <c r="F891" t="inlineStr">
        <is>
          <t>BLEKINGE LÄN</t>
        </is>
      </c>
      <c r="G891" t="inlineStr">
        <is>
          <t>KARLSKRONA</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68958-2021</t>
        </is>
      </c>
      <c r="B892" t="inlineStr">
        <is>
          <t>avverkningsanmälan</t>
        </is>
      </c>
      <c r="C892" t="inlineStr">
        <is>
          <t>Föryngringsavverkning</t>
        </is>
      </c>
      <c r="D892" s="1" t="n">
        <v>44530</v>
      </c>
      <c r="E892" s="1" t="n">
        <v>46248</v>
      </c>
      <c r="F892" t="inlineStr">
        <is>
          <t>BLEKINGE LÄN</t>
        </is>
      </c>
      <c r="G892" t="inlineStr">
        <is>
          <t>KARLSHAMN</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64195-2023</t>
        </is>
      </c>
      <c r="B893" t="inlineStr">
        <is>
          <t>avverkningsanmälan</t>
        </is>
      </c>
      <c r="C893" t="inlineStr">
        <is>
          <t>Föryngringsavverkning</t>
        </is>
      </c>
      <c r="D893" s="1" t="n">
        <v>45279</v>
      </c>
      <c r="E893" s="1" t="n">
        <v>46248</v>
      </c>
      <c r="F893" t="inlineStr">
        <is>
          <t>BLEKINGE LÄN</t>
        </is>
      </c>
      <c r="G893" t="inlineStr">
        <is>
          <t>KARLSHAMN</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47264-2023</t>
        </is>
      </c>
      <c r="B894" t="inlineStr">
        <is>
          <t>avverkningsanmälan</t>
        </is>
      </c>
      <c r="C894" t="inlineStr">
        <is>
          <t>Föryngringsavverkning</t>
        </is>
      </c>
      <c r="D894" s="1" t="n">
        <v>45197</v>
      </c>
      <c r="E894" s="1" t="n">
        <v>46248</v>
      </c>
      <c r="F894" t="inlineStr">
        <is>
          <t>BLEKINGE LÄN</t>
        </is>
      </c>
      <c r="G894" t="inlineStr">
        <is>
          <t>OLOFSTRÖM</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60922-2024</t>
        </is>
      </c>
      <c r="B895" t="inlineStr">
        <is>
          <t>avverkningsanmälan</t>
        </is>
      </c>
      <c r="C895" t="inlineStr">
        <is>
          <t>Föryngringsavverkning</t>
        </is>
      </c>
      <c r="D895" s="1" t="n">
        <v>45645</v>
      </c>
      <c r="E895" s="1" t="n">
        <v>46248</v>
      </c>
      <c r="F895" t="inlineStr">
        <is>
          <t>BLEKINGE LÄN</t>
        </is>
      </c>
      <c r="G895" t="inlineStr">
        <is>
          <t>KARLSKRONA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28122-2023</t>
        </is>
      </c>
      <c r="B896" t="inlineStr">
        <is>
          <t>avverkningsanmälan</t>
        </is>
      </c>
      <c r="C896" t="inlineStr">
        <is>
          <t>Föryngringsavverkning</t>
        </is>
      </c>
      <c r="D896" s="1" t="n">
        <v>45099</v>
      </c>
      <c r="E896" s="1" t="n">
        <v>46248</v>
      </c>
      <c r="F896" t="inlineStr">
        <is>
          <t>BLEKINGE LÄN</t>
        </is>
      </c>
      <c r="G896" t="inlineStr">
        <is>
          <t>RONNEBY</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49052-2024</t>
        </is>
      </c>
      <c r="B897" t="inlineStr">
        <is>
          <t>avverkningsanmälan</t>
        </is>
      </c>
      <c r="C897" t="inlineStr">
        <is>
          <t>Föryngringsavverkning</t>
        </is>
      </c>
      <c r="D897" s="1" t="n">
        <v>45594</v>
      </c>
      <c r="E897" s="1" t="n">
        <v>46248</v>
      </c>
      <c r="F897" t="inlineStr">
        <is>
          <t>BLEKINGE LÄN</t>
        </is>
      </c>
      <c r="G897" t="inlineStr">
        <is>
          <t>OLOFSTRÖM</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7725-2025</t>
        </is>
      </c>
      <c r="B898" t="inlineStr">
        <is>
          <t>avverkningsanmälan</t>
        </is>
      </c>
      <c r="C898" t="inlineStr">
        <is>
          <t>Föryngringsavverkning</t>
        </is>
      </c>
      <c r="D898" s="1" t="n">
        <v>45706</v>
      </c>
      <c r="E898" s="1" t="n">
        <v>46248</v>
      </c>
      <c r="F898" t="inlineStr">
        <is>
          <t>BLEKINGE LÄN</t>
        </is>
      </c>
      <c r="G898" t="inlineStr">
        <is>
          <t>RONNEBY</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7465-2023</t>
        </is>
      </c>
      <c r="B899" t="inlineStr">
        <is>
          <t>avverkningsanmälan</t>
        </is>
      </c>
      <c r="C899" t="inlineStr">
        <is>
          <t>Föryngringsavverkning</t>
        </is>
      </c>
      <c r="D899" s="1" t="n">
        <v>44971</v>
      </c>
      <c r="E899" s="1" t="n">
        <v>46248</v>
      </c>
      <c r="F899" t="inlineStr">
        <is>
          <t>BLEKINGE LÄN</t>
        </is>
      </c>
      <c r="G899" t="inlineStr">
        <is>
          <t>OLOFSTRÖM</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36576-2024</t>
        </is>
      </c>
      <c r="B900" t="inlineStr">
        <is>
          <t>avverkningsanmälan</t>
        </is>
      </c>
      <c r="C900" t="inlineStr">
        <is>
          <t>Föryngringsavverkning</t>
        </is>
      </c>
      <c r="D900" s="1" t="n">
        <v>45537</v>
      </c>
      <c r="E900" s="1" t="n">
        <v>46248</v>
      </c>
      <c r="F900" t="inlineStr">
        <is>
          <t>BLEKINGE LÄN</t>
        </is>
      </c>
      <c r="G900" t="inlineStr">
        <is>
          <t>KARLSKRONA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40936-2023</t>
        </is>
      </c>
      <c r="B901" t="inlineStr">
        <is>
          <t>avverkningsanmälan</t>
        </is>
      </c>
      <c r="C901" t="inlineStr">
        <is>
          <t>Föryngringsavverkning</t>
        </is>
      </c>
      <c r="D901" s="1" t="n">
        <v>45173</v>
      </c>
      <c r="E901" s="1" t="n">
        <v>46248</v>
      </c>
      <c r="F901" t="inlineStr">
        <is>
          <t>BLEKINGE LÄN</t>
        </is>
      </c>
      <c r="G901" t="inlineStr">
        <is>
          <t>KARLSKRONA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7356-2023</t>
        </is>
      </c>
      <c r="B902" t="inlineStr">
        <is>
          <t>avverkningsanmälan</t>
        </is>
      </c>
      <c r="C902" t="inlineStr">
        <is>
          <t>Föryngringsavverkning</t>
        </is>
      </c>
      <c r="D902" s="1" t="n">
        <v>44971</v>
      </c>
      <c r="E902" s="1" t="n">
        <v>46248</v>
      </c>
      <c r="F902" t="inlineStr">
        <is>
          <t>BLEKINGE LÄN</t>
        </is>
      </c>
      <c r="G902" t="inlineStr">
        <is>
          <t>KARLSHAMN</t>
        </is>
      </c>
      <c r="H902" t="inlineStr">
        <is>
          <t>Sveaskog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34163-2022</t>
        </is>
      </c>
      <c r="B903" t="inlineStr">
        <is>
          <t>avverkningsanmälan</t>
        </is>
      </c>
      <c r="C903" t="inlineStr">
        <is>
          <t>Avverkning för annat ändamål</t>
        </is>
      </c>
      <c r="D903" s="1" t="n">
        <v>44791</v>
      </c>
      <c r="E903" s="1" t="n">
        <v>46248</v>
      </c>
      <c r="F903" t="inlineStr">
        <is>
          <t>BLEKINGE LÄN</t>
        </is>
      </c>
      <c r="G903" t="inlineStr">
        <is>
          <t>OLOFSTRÖM</t>
        </is>
      </c>
      <c r="H903" t="inlineStr">
        <is>
          <t>Kommuner</t>
        </is>
      </c>
      <c r="I903" t="n">
        <v>8.300000000000001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9569-2024</t>
        </is>
      </c>
      <c r="B904" t="inlineStr">
        <is>
          <t>avverkningsanmälan</t>
        </is>
      </c>
      <c r="C904" t="inlineStr">
        <is>
          <t>Föryngringsavverkning</t>
        </is>
      </c>
      <c r="D904" s="1" t="n">
        <v>45360</v>
      </c>
      <c r="E904" s="1" t="n">
        <v>46248</v>
      </c>
      <c r="F904" t="inlineStr">
        <is>
          <t>BLEKINGE LÄN</t>
        </is>
      </c>
      <c r="G904" t="inlineStr">
        <is>
          <t>RONNEBY</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45832-2024</t>
        </is>
      </c>
      <c r="B905" t="inlineStr">
        <is>
          <t>avverkningsanmälan</t>
        </is>
      </c>
      <c r="C905" t="inlineStr">
        <is>
          <t>Föryngringsavverkning</t>
        </is>
      </c>
      <c r="D905" s="1" t="n">
        <v>45579</v>
      </c>
      <c r="E905" s="1" t="n">
        <v>46248</v>
      </c>
      <c r="F905" t="inlineStr">
        <is>
          <t>BLEKINGE LÄN</t>
        </is>
      </c>
      <c r="G905" t="inlineStr">
        <is>
          <t>KARLSKRONA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253-2022</t>
        </is>
      </c>
      <c r="B906" t="inlineStr">
        <is>
          <t>avverkningsanmälan</t>
        </is>
      </c>
      <c r="C906" t="inlineStr">
        <is>
          <t>Föryngringsavverkning</t>
        </is>
      </c>
      <c r="D906" s="1" t="n">
        <v>44565</v>
      </c>
      <c r="E906" s="1" t="n">
        <v>46248</v>
      </c>
      <c r="F906" t="inlineStr">
        <is>
          <t>BLEKINGE LÄN</t>
        </is>
      </c>
      <c r="G906" t="inlineStr">
        <is>
          <t>RONNEBY</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22814-2023</t>
        </is>
      </c>
      <c r="B907" t="inlineStr">
        <is>
          <t>avverkningsanmälan</t>
        </is>
      </c>
      <c r="C907" t="inlineStr">
        <is>
          <t>Föryngringsavverkning</t>
        </is>
      </c>
      <c r="D907" s="1" t="n">
        <v>45072</v>
      </c>
      <c r="E907" s="1" t="n">
        <v>46248</v>
      </c>
      <c r="F907" t="inlineStr">
        <is>
          <t>BLEKINGE LÄN</t>
        </is>
      </c>
      <c r="G907" t="inlineStr">
        <is>
          <t>RONNEBY</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6509-2024</t>
        </is>
      </c>
      <c r="B908" t="inlineStr">
        <is>
          <t>avverkningsanmälan</t>
        </is>
      </c>
      <c r="C908" t="inlineStr">
        <is>
          <t>Avverkning för annat ändamål</t>
        </is>
      </c>
      <c r="D908" s="1" t="n">
        <v>45340</v>
      </c>
      <c r="E908" s="1" t="n">
        <v>46248</v>
      </c>
      <c r="F908" t="inlineStr">
        <is>
          <t>BLEKINGE LÄN</t>
        </is>
      </c>
      <c r="G908" t="inlineStr">
        <is>
          <t>KARLSKRONA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56335-2023</t>
        </is>
      </c>
      <c r="B909" t="inlineStr">
        <is>
          <t>avverkningsanmälan</t>
        </is>
      </c>
      <c r="C909" t="inlineStr">
        <is>
          <t>Föryngringsavverkning</t>
        </is>
      </c>
      <c r="D909" s="1" t="n">
        <v>45243</v>
      </c>
      <c r="E909" s="1" t="n">
        <v>46248</v>
      </c>
      <c r="F909" t="inlineStr">
        <is>
          <t>BLEKINGE LÄN</t>
        </is>
      </c>
      <c r="G909" t="inlineStr">
        <is>
          <t>KARLSKRONA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61749-2022</t>
        </is>
      </c>
      <c r="B910" t="inlineStr">
        <is>
          <t>avverkningsanmälan</t>
        </is>
      </c>
      <c r="C910" t="inlineStr">
        <is>
          <t>Föryngringsavverkning</t>
        </is>
      </c>
      <c r="D910" s="1" t="n">
        <v>44911</v>
      </c>
      <c r="E910" s="1" t="n">
        <v>46248</v>
      </c>
      <c r="F910" t="inlineStr">
        <is>
          <t>BLEKINGE LÄN</t>
        </is>
      </c>
      <c r="G910" t="inlineStr">
        <is>
          <t>KARLSKRONA</t>
        </is>
      </c>
      <c r="I910" t="n">
        <v>14.2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61767-2022</t>
        </is>
      </c>
      <c r="B911" t="inlineStr">
        <is>
          <t>avverkningsanmälan</t>
        </is>
      </c>
      <c r="C911" t="inlineStr">
        <is>
          <t>Föryngringsavverkning</t>
        </is>
      </c>
      <c r="D911" s="1" t="n">
        <v>44917</v>
      </c>
      <c r="E911" s="1" t="n">
        <v>46248</v>
      </c>
      <c r="F911" t="inlineStr">
        <is>
          <t>BLEKINGE LÄN</t>
        </is>
      </c>
      <c r="G911" t="inlineStr">
        <is>
          <t>SÖLVESBORG</t>
        </is>
      </c>
      <c r="H911" t="inlineStr">
        <is>
          <t>Kyrkan</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44471-2021</t>
        </is>
      </c>
      <c r="B912" t="inlineStr">
        <is>
          <t>avverkningsanmälan</t>
        </is>
      </c>
      <c r="C912" t="inlineStr">
        <is>
          <t>Föryngringsavverkning</t>
        </is>
      </c>
      <c r="D912" s="1" t="n">
        <v>44435</v>
      </c>
      <c r="E912" s="1" t="n">
        <v>46248</v>
      </c>
      <c r="F912" t="inlineStr">
        <is>
          <t>BLEKINGE LÄN</t>
        </is>
      </c>
      <c r="G912" t="inlineStr">
        <is>
          <t>KARLSKRONA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40300-2022</t>
        </is>
      </c>
      <c r="B913" t="inlineStr">
        <is>
          <t>avverkningsanmälan</t>
        </is>
      </c>
      <c r="C913" t="inlineStr">
        <is>
          <t>Föryngringsavverkning</t>
        </is>
      </c>
      <c r="D913" s="1" t="n">
        <v>44822</v>
      </c>
      <c r="E913" s="1" t="n">
        <v>46248</v>
      </c>
      <c r="F913" t="inlineStr">
        <is>
          <t>BLEKINGE LÄN</t>
        </is>
      </c>
      <c r="G913" t="inlineStr">
        <is>
          <t>RONNEBY</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16318-2024</t>
        </is>
      </c>
      <c r="B914" t="inlineStr">
        <is>
          <t>avverkningsanmälan</t>
        </is>
      </c>
      <c r="C914" t="inlineStr">
        <is>
          <t>Föryngringsavverkning</t>
        </is>
      </c>
      <c r="D914" s="1" t="n">
        <v>45407</v>
      </c>
      <c r="E914" s="1" t="n">
        <v>46248</v>
      </c>
      <c r="F914" t="inlineStr">
        <is>
          <t>BLEKINGE LÄN</t>
        </is>
      </c>
      <c r="G914" t="inlineStr">
        <is>
          <t>OLOFSTRÖM</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14559-2023</t>
        </is>
      </c>
      <c r="B915" t="inlineStr">
        <is>
          <t>avverkningsanmälan</t>
        </is>
      </c>
      <c r="C915" t="inlineStr">
        <is>
          <t>Föryngringsavverkning</t>
        </is>
      </c>
      <c r="D915" s="1" t="n">
        <v>45013</v>
      </c>
      <c r="E915" s="1" t="n">
        <v>46248</v>
      </c>
      <c r="F915" t="inlineStr">
        <is>
          <t>BLEKINGE LÄN</t>
        </is>
      </c>
      <c r="G915" t="inlineStr">
        <is>
          <t>KARLSKRONA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11721-2024</t>
        </is>
      </c>
      <c r="B916" t="inlineStr">
        <is>
          <t>avverkningsanmälan</t>
        </is>
      </c>
      <c r="C916" t="inlineStr">
        <is>
          <t>Föryngringsavverkning</t>
        </is>
      </c>
      <c r="D916" s="1" t="n">
        <v>45373</v>
      </c>
      <c r="E916" s="1" t="n">
        <v>46248</v>
      </c>
      <c r="F916" t="inlineStr">
        <is>
          <t>BLEKINGE LÄN</t>
        </is>
      </c>
      <c r="G916" t="inlineStr">
        <is>
          <t>KARLSHAMN</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9310-2023</t>
        </is>
      </c>
      <c r="B917" t="inlineStr">
        <is>
          <t>avverkningsanmälan</t>
        </is>
      </c>
      <c r="C917" t="inlineStr">
        <is>
          <t>Föryngringsavverkning</t>
        </is>
      </c>
      <c r="D917" s="1" t="n">
        <v>44980</v>
      </c>
      <c r="E917" s="1" t="n">
        <v>46248</v>
      </c>
      <c r="F917" t="inlineStr">
        <is>
          <t>BLEKINGE LÄN</t>
        </is>
      </c>
      <c r="G917" t="inlineStr">
        <is>
          <t>RONNEBY</t>
        </is>
      </c>
      <c r="H917" t="inlineStr">
        <is>
          <t>Övriga Aktiebolag</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9959-2025</t>
        </is>
      </c>
      <c r="B918" t="inlineStr">
        <is>
          <t>avverkningsanmälan</t>
        </is>
      </c>
      <c r="C918" t="inlineStr">
        <is>
          <t>Föryngringsavverkning</t>
        </is>
      </c>
      <c r="D918" s="1" t="n">
        <v>45719</v>
      </c>
      <c r="E918" s="1" t="n">
        <v>46248</v>
      </c>
      <c r="F918" t="inlineStr">
        <is>
          <t>BLEKINGE LÄN</t>
        </is>
      </c>
      <c r="G918" t="inlineStr">
        <is>
          <t>RONNEBY</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56506-2021</t>
        </is>
      </c>
      <c r="B919" t="inlineStr">
        <is>
          <t>avverkningsanmälan</t>
        </is>
      </c>
      <c r="C919" t="inlineStr">
        <is>
          <t>Föryngringsavverkning</t>
        </is>
      </c>
      <c r="D919" s="1" t="n">
        <v>44480</v>
      </c>
      <c r="E919" s="1" t="n">
        <v>46248</v>
      </c>
      <c r="F919" t="inlineStr">
        <is>
          <t>BLEKINGE LÄN</t>
        </is>
      </c>
      <c r="G919" t="inlineStr">
        <is>
          <t>KARLSHAMN</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38973-2024</t>
        </is>
      </c>
      <c r="B920" t="inlineStr">
        <is>
          <t>avverkningsanmälan</t>
        </is>
      </c>
      <c r="C920" t="inlineStr">
        <is>
          <t>Föryngringsavverkning</t>
        </is>
      </c>
      <c r="D920" s="1" t="n">
        <v>45548</v>
      </c>
      <c r="E920" s="1" t="n">
        <v>46248</v>
      </c>
      <c r="F920" t="inlineStr">
        <is>
          <t>BLEKINGE LÄN</t>
        </is>
      </c>
      <c r="G920" t="inlineStr">
        <is>
          <t>OLOFSTRÖM</t>
        </is>
      </c>
      <c r="I920" t="n">
        <v>11.3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64820-2021</t>
        </is>
      </c>
      <c r="B921" t="inlineStr">
        <is>
          <t>avverkningsanmälan</t>
        </is>
      </c>
      <c r="C921" t="inlineStr">
        <is>
          <t>Föryngringsavverkning</t>
        </is>
      </c>
      <c r="D921" s="1" t="n">
        <v>44512</v>
      </c>
      <c r="E921" s="1" t="n">
        <v>46248</v>
      </c>
      <c r="F921" t="inlineStr">
        <is>
          <t>BLEKINGE LÄN</t>
        </is>
      </c>
      <c r="G921" t="inlineStr">
        <is>
          <t>KARLSKRONA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50870-2024</t>
        </is>
      </c>
      <c r="B922" t="inlineStr">
        <is>
          <t>avverkningsanmälan</t>
        </is>
      </c>
      <c r="C922" t="inlineStr">
        <is>
          <t>Föryngringsavverkning</t>
        </is>
      </c>
      <c r="D922" s="1" t="n">
        <v>45602</v>
      </c>
      <c r="E922" s="1" t="n">
        <v>46248</v>
      </c>
      <c r="F922" t="inlineStr">
        <is>
          <t>BLEKINGE LÄN</t>
        </is>
      </c>
      <c r="G922" t="inlineStr">
        <is>
          <t>OLOFSTRÖM</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24951-2023</t>
        </is>
      </c>
      <c r="B923" t="inlineStr">
        <is>
          <t>avverkningsanmälan</t>
        </is>
      </c>
      <c r="C923" t="inlineStr">
        <is>
          <t>Föryngringsavverkning</t>
        </is>
      </c>
      <c r="D923" s="1" t="n">
        <v>45085</v>
      </c>
      <c r="E923" s="1" t="n">
        <v>46248</v>
      </c>
      <c r="F923" t="inlineStr">
        <is>
          <t>BLEKINGE LÄN</t>
        </is>
      </c>
      <c r="G923" t="inlineStr">
        <is>
          <t>KARLSKRONA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19827-2024</t>
        </is>
      </c>
      <c r="B924" t="inlineStr">
        <is>
          <t>avverkningsanmälan</t>
        </is>
      </c>
      <c r="C924" t="inlineStr">
        <is>
          <t>Föryngringsavverkning</t>
        </is>
      </c>
      <c r="D924" s="1" t="n">
        <v>45433</v>
      </c>
      <c r="E924" s="1" t="n">
        <v>46248</v>
      </c>
      <c r="F924" t="inlineStr">
        <is>
          <t>BLEKINGE LÄN</t>
        </is>
      </c>
      <c r="G924" t="inlineStr">
        <is>
          <t>SÖLVESBORG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19606-2024</t>
        </is>
      </c>
      <c r="B925" t="inlineStr">
        <is>
          <t>avverkningsanmälan</t>
        </is>
      </c>
      <c r="C925" t="inlineStr">
        <is>
          <t>Föryngringsavverkning</t>
        </is>
      </c>
      <c r="D925" s="1" t="n">
        <v>45432</v>
      </c>
      <c r="E925" s="1" t="n">
        <v>46248</v>
      </c>
      <c r="F925" t="inlineStr">
        <is>
          <t>BLEKINGE LÄN</t>
        </is>
      </c>
      <c r="G925" t="inlineStr">
        <is>
          <t>RONNEBY</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29121-2023</t>
        </is>
      </c>
      <c r="B926" t="inlineStr">
        <is>
          <t>avverkningsanmälan</t>
        </is>
      </c>
      <c r="C926" t="inlineStr">
        <is>
          <t>Föryngringsavverkning</t>
        </is>
      </c>
      <c r="D926" s="1" t="n">
        <v>45105</v>
      </c>
      <c r="E926" s="1" t="n">
        <v>46248</v>
      </c>
      <c r="F926" t="inlineStr">
        <is>
          <t>BLEKINGE LÄN</t>
        </is>
      </c>
      <c r="G926" t="inlineStr">
        <is>
          <t>KARLSKRONA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36843-2024</t>
        </is>
      </c>
      <c r="B927" t="inlineStr">
        <is>
          <t>avverkningsanmälan</t>
        </is>
      </c>
      <c r="C927" t="inlineStr">
        <is>
          <t>Föryngringsavverkning</t>
        </is>
      </c>
      <c r="D927" s="1" t="n">
        <v>45538</v>
      </c>
      <c r="E927" s="1" t="n">
        <v>46248</v>
      </c>
      <c r="F927" t="inlineStr">
        <is>
          <t>BLEKINGE LÄN</t>
        </is>
      </c>
      <c r="G927" t="inlineStr">
        <is>
          <t>KARLSKRONA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21880-2024</t>
        </is>
      </c>
      <c r="B928" t="inlineStr">
        <is>
          <t>avverkningsanmälan</t>
        </is>
      </c>
      <c r="C928" t="inlineStr">
        <is>
          <t>Avverkning för annat ändamål</t>
        </is>
      </c>
      <c r="D928" s="1" t="n">
        <v>45443</v>
      </c>
      <c r="E928" s="1" t="n">
        <v>46248</v>
      </c>
      <c r="F928" t="inlineStr">
        <is>
          <t>BLEKINGE LÄN</t>
        </is>
      </c>
      <c r="G928" t="inlineStr">
        <is>
          <t>KARLSKRONA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3649-2022</t>
        </is>
      </c>
      <c r="B929" t="inlineStr">
        <is>
          <t>avverkningsanmälan</t>
        </is>
      </c>
      <c r="C929" t="inlineStr">
        <is>
          <t>Föryngringsavverkning</t>
        </is>
      </c>
      <c r="D929" s="1" t="n">
        <v>44586</v>
      </c>
      <c r="E929" s="1" t="n">
        <v>46248</v>
      </c>
      <c r="F929" t="inlineStr">
        <is>
          <t>BLEKINGE LÄN</t>
        </is>
      </c>
      <c r="G929" t="inlineStr">
        <is>
          <t>RONNEBY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42004-2023</t>
        </is>
      </c>
      <c r="B930" t="inlineStr">
        <is>
          <t>avverkningsanmälan</t>
        </is>
      </c>
      <c r="C930" t="inlineStr">
        <is>
          <t>Föryngringsavverkning</t>
        </is>
      </c>
      <c r="D930" s="1" t="n">
        <v>45177</v>
      </c>
      <c r="E930" s="1" t="n">
        <v>46248</v>
      </c>
      <c r="F930" t="inlineStr">
        <is>
          <t>BLEKINGE LÄN</t>
        </is>
      </c>
      <c r="G930" t="inlineStr">
        <is>
          <t>OLOFSTRÖM</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11676-2025</t>
        </is>
      </c>
      <c r="B931" t="inlineStr">
        <is>
          <t>avverkningsanmälan</t>
        </is>
      </c>
      <c r="C931" t="inlineStr">
        <is>
          <t>Föryngringsavverkning</t>
        </is>
      </c>
      <c r="D931" s="1" t="n">
        <v>45727</v>
      </c>
      <c r="E931" s="1" t="n">
        <v>46248</v>
      </c>
      <c r="F931" t="inlineStr">
        <is>
          <t>BLEKINGE LÄN</t>
        </is>
      </c>
      <c r="G931" t="inlineStr">
        <is>
          <t>KARLSKRONA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17612-2024</t>
        </is>
      </c>
      <c r="B932" t="inlineStr">
        <is>
          <t>avverkningsanmälan</t>
        </is>
      </c>
      <c r="C932" t="inlineStr">
        <is>
          <t>Föryngringsavverkning</t>
        </is>
      </c>
      <c r="D932" s="1" t="n">
        <v>45416</v>
      </c>
      <c r="E932" s="1" t="n">
        <v>46248</v>
      </c>
      <c r="F932" t="inlineStr">
        <is>
          <t>BLEKINGE LÄN</t>
        </is>
      </c>
      <c r="G932" t="inlineStr">
        <is>
          <t>SÖLVESBORG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29361-2023</t>
        </is>
      </c>
      <c r="B933" t="inlineStr">
        <is>
          <t>avverkningsanmälan</t>
        </is>
      </c>
      <c r="C933" t="inlineStr">
        <is>
          <t>Föryngringsavverkning</t>
        </is>
      </c>
      <c r="D933" s="1" t="n">
        <v>45106</v>
      </c>
      <c r="E933" s="1" t="n">
        <v>46248</v>
      </c>
      <c r="F933" t="inlineStr">
        <is>
          <t>BLEKINGE LÄN</t>
        </is>
      </c>
      <c r="G933" t="inlineStr">
        <is>
          <t>KARLSKRONA</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13847-2022</t>
        </is>
      </c>
      <c r="B934" t="inlineStr">
        <is>
          <t>avverkningsanmälan</t>
        </is>
      </c>
      <c r="C934" t="inlineStr">
        <is>
          <t>Föryngringsavverkning</t>
        </is>
      </c>
      <c r="D934" s="1" t="n">
        <v>44649</v>
      </c>
      <c r="E934" s="1" t="n">
        <v>46248</v>
      </c>
      <c r="F934" t="inlineStr">
        <is>
          <t>BLEKINGE LÄN</t>
        </is>
      </c>
      <c r="G934" t="inlineStr">
        <is>
          <t>KARLSHAMN</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16380-2024</t>
        </is>
      </c>
      <c r="B935" t="inlineStr">
        <is>
          <t>avverkningsanmälan</t>
        </is>
      </c>
      <c r="C935" t="inlineStr">
        <is>
          <t>Föryngringsavverkning</t>
        </is>
      </c>
      <c r="D935" s="1" t="n">
        <v>45407</v>
      </c>
      <c r="E935" s="1" t="n">
        <v>46248</v>
      </c>
      <c r="F935" t="inlineStr">
        <is>
          <t>BLEKINGE LÄN</t>
        </is>
      </c>
      <c r="G935" t="inlineStr">
        <is>
          <t>KARLSKRONA</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18746-2024</t>
        </is>
      </c>
      <c r="B936" t="inlineStr">
        <is>
          <t>avverkningsanmälan</t>
        </is>
      </c>
      <c r="C936" t="inlineStr">
        <is>
          <t>Föryngringsavverkning</t>
        </is>
      </c>
      <c r="D936" s="1" t="n">
        <v>45426</v>
      </c>
      <c r="E936" s="1" t="n">
        <v>46248</v>
      </c>
      <c r="F936" t="inlineStr">
        <is>
          <t>BLEKINGE LÄN</t>
        </is>
      </c>
      <c r="G936" t="inlineStr">
        <is>
          <t>RONNEBY</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39871-2023</t>
        </is>
      </c>
      <c r="B937" t="inlineStr">
        <is>
          <t>avverkningsanmälan</t>
        </is>
      </c>
      <c r="C937" t="inlineStr">
        <is>
          <t>Föryngringsavverkning</t>
        </is>
      </c>
      <c r="D937" s="1" t="n">
        <v>45166</v>
      </c>
      <c r="E937" s="1" t="n">
        <v>46248</v>
      </c>
      <c r="F937" t="inlineStr">
        <is>
          <t>BLEKINGE LÄN</t>
        </is>
      </c>
      <c r="G937" t="inlineStr">
        <is>
          <t>OLOFSTRÖM</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59007-2022</t>
        </is>
      </c>
      <c r="B938" t="inlineStr">
        <is>
          <t>avverkningsanmälan</t>
        </is>
      </c>
      <c r="C938" t="inlineStr">
        <is>
          <t>Föryngringsavverkning</t>
        </is>
      </c>
      <c r="D938" s="1" t="n">
        <v>44903</v>
      </c>
      <c r="E938" s="1" t="n">
        <v>46248</v>
      </c>
      <c r="F938" t="inlineStr">
        <is>
          <t>BLEKINGE LÄN</t>
        </is>
      </c>
      <c r="G938" t="inlineStr">
        <is>
          <t>RONNEBY</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13395-2025</t>
        </is>
      </c>
      <c r="B939" t="inlineStr">
        <is>
          <t>avverkningsanmälan</t>
        </is>
      </c>
      <c r="C939" t="inlineStr">
        <is>
          <t>Föryngringsavverkning</t>
        </is>
      </c>
      <c r="D939" s="1" t="n">
        <v>45735</v>
      </c>
      <c r="E939" s="1" t="n">
        <v>46248</v>
      </c>
      <c r="F939" t="inlineStr">
        <is>
          <t>BLEKINGE LÄN</t>
        </is>
      </c>
      <c r="G939" t="inlineStr">
        <is>
          <t>KARLSKRONA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7134-2023</t>
        </is>
      </c>
      <c r="B940" t="inlineStr">
        <is>
          <t>avverkningsanmälan</t>
        </is>
      </c>
      <c r="C940" t="inlineStr">
        <is>
          <t>Föryngringsavverkning</t>
        </is>
      </c>
      <c r="D940" s="1" t="n">
        <v>44970</v>
      </c>
      <c r="E940" s="1" t="n">
        <v>46248</v>
      </c>
      <c r="F940" t="inlineStr">
        <is>
          <t>BLEKINGE LÄN</t>
        </is>
      </c>
      <c r="G940" t="inlineStr">
        <is>
          <t>SÖLVESBORG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31009-2024</t>
        </is>
      </c>
      <c r="B941" t="inlineStr">
        <is>
          <t>avverkningsanmälan</t>
        </is>
      </c>
      <c r="C941" t="inlineStr">
        <is>
          <t>Föryngringsavverkning</t>
        </is>
      </c>
      <c r="D941" s="1" t="n">
        <v>45499</v>
      </c>
      <c r="E941" s="1" t="n">
        <v>46248</v>
      </c>
      <c r="F941" t="inlineStr">
        <is>
          <t>BLEKINGE LÄN</t>
        </is>
      </c>
      <c r="G941" t="inlineStr">
        <is>
          <t>KARLSKRONA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39121-2023</t>
        </is>
      </c>
      <c r="B942" t="inlineStr">
        <is>
          <t>avverkningsanmälan</t>
        </is>
      </c>
      <c r="C942" t="inlineStr">
        <is>
          <t>Föryngringsavverkning</t>
        </is>
      </c>
      <c r="D942" s="1" t="n">
        <v>45165</v>
      </c>
      <c r="E942" s="1" t="n">
        <v>46248</v>
      </c>
      <c r="F942" t="inlineStr">
        <is>
          <t>BLEKINGE LÄN</t>
        </is>
      </c>
      <c r="G942" t="inlineStr">
        <is>
          <t>KARLSKRONA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61962-2023</t>
        </is>
      </c>
      <c r="B943" t="inlineStr">
        <is>
          <t>avverkningsanmälan</t>
        </is>
      </c>
      <c r="C943" t="inlineStr">
        <is>
          <t>Föryngringsavverkning</t>
        </is>
      </c>
      <c r="D943" s="1" t="n">
        <v>45266</v>
      </c>
      <c r="E943" s="1" t="n">
        <v>46248</v>
      </c>
      <c r="F943" t="inlineStr">
        <is>
          <t>BLEKINGE LÄN</t>
        </is>
      </c>
      <c r="G943" t="inlineStr">
        <is>
          <t>KARLSHAMN</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27749-2024</t>
        </is>
      </c>
      <c r="B944" t="inlineStr">
        <is>
          <t>avverkningsanmälan</t>
        </is>
      </c>
      <c r="C944" t="inlineStr">
        <is>
          <t>Föryngringsavverkning</t>
        </is>
      </c>
      <c r="D944" s="1" t="n">
        <v>45475</v>
      </c>
      <c r="E944" s="1" t="n">
        <v>46248</v>
      </c>
      <c r="F944" t="inlineStr">
        <is>
          <t>BLEKINGE LÄN</t>
        </is>
      </c>
      <c r="G944" t="inlineStr">
        <is>
          <t>KARLSKRONA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38088-2022</t>
        </is>
      </c>
      <c r="B945" t="inlineStr">
        <is>
          <t>avverkningsanmälan</t>
        </is>
      </c>
      <c r="C945" t="inlineStr">
        <is>
          <t>Föryngringsavverkning</t>
        </is>
      </c>
      <c r="D945" s="1" t="n">
        <v>44811</v>
      </c>
      <c r="E945" s="1" t="n">
        <v>46248</v>
      </c>
      <c r="F945" t="inlineStr">
        <is>
          <t>BLEKINGE LÄN</t>
        </is>
      </c>
      <c r="G945" t="inlineStr">
        <is>
          <t>OLOFSTRÖM</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12944-2023</t>
        </is>
      </c>
      <c r="B946" t="inlineStr">
        <is>
          <t>avverkningsanmälan</t>
        </is>
      </c>
      <c r="C946" t="inlineStr">
        <is>
          <t>Föryngringsavverkning</t>
        </is>
      </c>
      <c r="D946" s="1" t="n">
        <v>45001</v>
      </c>
      <c r="E946" s="1" t="n">
        <v>46248</v>
      </c>
      <c r="F946" t="inlineStr">
        <is>
          <t>BLEKINGE LÄN</t>
        </is>
      </c>
      <c r="G946" t="inlineStr">
        <is>
          <t>KARLSKRONA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52817-2024</t>
        </is>
      </c>
      <c r="B947" t="inlineStr">
        <is>
          <t>avverkningsanmälan</t>
        </is>
      </c>
      <c r="C947" t="inlineStr">
        <is>
          <t>Föryngringsavverkning</t>
        </is>
      </c>
      <c r="D947" s="1" t="n">
        <v>45610</v>
      </c>
      <c r="E947" s="1" t="n">
        <v>46248</v>
      </c>
      <c r="F947" t="inlineStr">
        <is>
          <t>BLEKINGE LÄN</t>
        </is>
      </c>
      <c r="G947" t="inlineStr">
        <is>
          <t>RONNEBY</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46168-2023</t>
        </is>
      </c>
      <c r="B948" t="inlineStr">
        <is>
          <t>avverkningsanmälan</t>
        </is>
      </c>
      <c r="C948" t="inlineStr">
        <is>
          <t>Föryngringsavverkning</t>
        </is>
      </c>
      <c r="D948" s="1" t="n">
        <v>45196</v>
      </c>
      <c r="E948" s="1" t="n">
        <v>46248</v>
      </c>
      <c r="F948" t="inlineStr">
        <is>
          <t>BLEKINGE LÄN</t>
        </is>
      </c>
      <c r="G948" t="inlineStr">
        <is>
          <t>RONNEBY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13660-2023</t>
        </is>
      </c>
      <c r="B949" t="inlineStr">
        <is>
          <t>avverkningsanmälan</t>
        </is>
      </c>
      <c r="C949" t="inlineStr">
        <is>
          <t>Föryngringsavverkning</t>
        </is>
      </c>
      <c r="D949" s="1" t="n">
        <v>45006</v>
      </c>
      <c r="E949" s="1" t="n">
        <v>46248</v>
      </c>
      <c r="F949" t="inlineStr">
        <is>
          <t>BLEKINGE LÄN</t>
        </is>
      </c>
      <c r="G949" t="inlineStr">
        <is>
          <t>OLOFSTRÖM</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63899-2023</t>
        </is>
      </c>
      <c r="B950" t="inlineStr">
        <is>
          <t>avverkningsanmälan</t>
        </is>
      </c>
      <c r="C950" t="inlineStr">
        <is>
          <t>Föryngringsavverkning</t>
        </is>
      </c>
      <c r="D950" s="1" t="n">
        <v>45278</v>
      </c>
      <c r="E950" s="1" t="n">
        <v>46248</v>
      </c>
      <c r="F950" t="inlineStr">
        <is>
          <t>BLEKINGE LÄN</t>
        </is>
      </c>
      <c r="G950" t="inlineStr">
        <is>
          <t>KARLSKRONA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5502-2022</t>
        </is>
      </c>
      <c r="B951" t="inlineStr">
        <is>
          <t>avverkningsanmälan</t>
        </is>
      </c>
      <c r="C951" t="inlineStr">
        <is>
          <t>Föryngringsavverkning</t>
        </is>
      </c>
      <c r="D951" s="1" t="n">
        <v>44595</v>
      </c>
      <c r="E951" s="1" t="n">
        <v>46248</v>
      </c>
      <c r="F951" t="inlineStr">
        <is>
          <t>BLEKINGE LÄN</t>
        </is>
      </c>
      <c r="G951" t="inlineStr">
        <is>
          <t>RONNEBY</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14136-2025</t>
        </is>
      </c>
      <c r="B952" t="inlineStr">
        <is>
          <t>avverkningsanmälan</t>
        </is>
      </c>
      <c r="C952" t="inlineStr">
        <is>
          <t>Avverkning för annat ändamål</t>
        </is>
      </c>
      <c r="D952" s="1" t="n">
        <v>45738</v>
      </c>
      <c r="E952" s="1" t="n">
        <v>46248</v>
      </c>
      <c r="F952" t="inlineStr">
        <is>
          <t>BLEKINGE LÄN</t>
        </is>
      </c>
      <c r="G952" t="inlineStr">
        <is>
          <t>SÖLVESBORG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49894-2024</t>
        </is>
      </c>
      <c r="B953" t="inlineStr">
        <is>
          <t>avverkningsanmälan</t>
        </is>
      </c>
      <c r="C953" t="inlineStr">
        <is>
          <t>Föryngringsavverkning</t>
        </is>
      </c>
      <c r="D953" s="1" t="n">
        <v>45597</v>
      </c>
      <c r="E953" s="1" t="n">
        <v>46248</v>
      </c>
      <c r="F953" t="inlineStr">
        <is>
          <t>BLEKINGE LÄN</t>
        </is>
      </c>
      <c r="G953" t="inlineStr">
        <is>
          <t>OLOFSTRÖM</t>
        </is>
      </c>
      <c r="I953" t="n">
        <v>17.5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30657-2024</t>
        </is>
      </c>
      <c r="B954" t="inlineStr">
        <is>
          <t>avverkningsanmälan</t>
        </is>
      </c>
      <c r="C954" t="inlineStr">
        <is>
          <t>Föryngringsavverkning</t>
        </is>
      </c>
      <c r="D954" s="1" t="n">
        <v>45495</v>
      </c>
      <c r="E954" s="1" t="n">
        <v>46248</v>
      </c>
      <c r="F954" t="inlineStr">
        <is>
          <t>BLEKINGE LÄN</t>
        </is>
      </c>
      <c r="G954" t="inlineStr">
        <is>
          <t>KARLSKRONA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29552-2022</t>
        </is>
      </c>
      <c r="B955" t="inlineStr">
        <is>
          <t>avverkningsanmälan</t>
        </is>
      </c>
      <c r="C955" t="inlineStr">
        <is>
          <t>Föryngringsavverkning</t>
        </is>
      </c>
      <c r="D955" s="1" t="n">
        <v>44754</v>
      </c>
      <c r="E955" s="1" t="n">
        <v>46248</v>
      </c>
      <c r="F955" t="inlineStr">
        <is>
          <t>BLEKINGE LÄN</t>
        </is>
      </c>
      <c r="G955" t="inlineStr">
        <is>
          <t>RONNEBY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44871-2023</t>
        </is>
      </c>
      <c r="B956" t="inlineStr">
        <is>
          <t>avverkningsanmälan</t>
        </is>
      </c>
      <c r="C956" t="inlineStr">
        <is>
          <t>Föryngringsavverkning</t>
        </is>
      </c>
      <c r="D956" s="1" t="n">
        <v>45190</v>
      </c>
      <c r="E956" s="1" t="n">
        <v>46248</v>
      </c>
      <c r="F956" t="inlineStr">
        <is>
          <t>BLEKINGE LÄN</t>
        </is>
      </c>
      <c r="G956" t="inlineStr">
        <is>
          <t>SÖLVESBORG</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34137-2024</t>
        </is>
      </c>
      <c r="B957" t="inlineStr">
        <is>
          <t>avverkningsanmälan</t>
        </is>
      </c>
      <c r="C957" t="inlineStr">
        <is>
          <t>Föryngringsavverkning</t>
        </is>
      </c>
      <c r="D957" s="1" t="n">
        <v>45524</v>
      </c>
      <c r="E957" s="1" t="n">
        <v>46248</v>
      </c>
      <c r="F957" t="inlineStr">
        <is>
          <t>BLEKINGE LÄN</t>
        </is>
      </c>
      <c r="G957" t="inlineStr">
        <is>
          <t>KARLSKRONA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3928-2022</t>
        </is>
      </c>
      <c r="B958" t="inlineStr">
        <is>
          <t>avverkningsanmälan</t>
        </is>
      </c>
      <c r="C958" t="inlineStr">
        <is>
          <t>Föryngringsavverkning</t>
        </is>
      </c>
      <c r="D958" s="1" t="n">
        <v>44587</v>
      </c>
      <c r="E958" s="1" t="n">
        <v>46248</v>
      </c>
      <c r="F958" t="inlineStr">
        <is>
          <t>BLEKINGE LÄN</t>
        </is>
      </c>
      <c r="G958" t="inlineStr">
        <is>
          <t>KARLSKRONA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29434-2022</t>
        </is>
      </c>
      <c r="B959" t="inlineStr">
        <is>
          <t>avverkningsanmälan</t>
        </is>
      </c>
      <c r="C959" t="inlineStr">
        <is>
          <t>Föryngringsavverkning</t>
        </is>
      </c>
      <c r="D959" s="1" t="n">
        <v>44753</v>
      </c>
      <c r="E959" s="1" t="n">
        <v>46248</v>
      </c>
      <c r="F959" t="inlineStr">
        <is>
          <t>BLEKINGE LÄN</t>
        </is>
      </c>
      <c r="G959" t="inlineStr">
        <is>
          <t>RONNEBY</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17649-2022</t>
        </is>
      </c>
      <c r="B960" t="inlineStr">
        <is>
          <t>avverkningsanmälan</t>
        </is>
      </c>
      <c r="C960" t="inlineStr">
        <is>
          <t>Föryngringsavverkning</t>
        </is>
      </c>
      <c r="D960" s="1" t="n">
        <v>44680</v>
      </c>
      <c r="E960" s="1" t="n">
        <v>46248</v>
      </c>
      <c r="F960" t="inlineStr">
        <is>
          <t>BLEKINGE LÄN</t>
        </is>
      </c>
      <c r="G960" t="inlineStr">
        <is>
          <t>KARLSHAMN</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39466-2023</t>
        </is>
      </c>
      <c r="B961" t="inlineStr">
        <is>
          <t>avverkningsanmälan</t>
        </is>
      </c>
      <c r="C961" t="inlineStr">
        <is>
          <t>Föryngringsavverkning</t>
        </is>
      </c>
      <c r="D961" s="1" t="n">
        <v>45166</v>
      </c>
      <c r="E961" s="1" t="n">
        <v>46248</v>
      </c>
      <c r="F961" t="inlineStr">
        <is>
          <t>BLEKINGE LÄN</t>
        </is>
      </c>
      <c r="G961" t="inlineStr">
        <is>
          <t>RONNEBY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12964-2023</t>
        </is>
      </c>
      <c r="B962" t="inlineStr">
        <is>
          <t>avverkningsanmälan</t>
        </is>
      </c>
      <c r="C962" t="inlineStr">
        <is>
          <t>Föryngringsavverkning</t>
        </is>
      </c>
      <c r="D962" s="1" t="n">
        <v>45001</v>
      </c>
      <c r="E962" s="1" t="n">
        <v>46248</v>
      </c>
      <c r="F962" t="inlineStr">
        <is>
          <t>BLEKINGE LÄN</t>
        </is>
      </c>
      <c r="G962" t="inlineStr">
        <is>
          <t>RONNEBY</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55057-2022</t>
        </is>
      </c>
      <c r="B963" t="inlineStr">
        <is>
          <t>avverkningsanmälan</t>
        </is>
      </c>
      <c r="C963" t="inlineStr">
        <is>
          <t>Föryngringsavverkning</t>
        </is>
      </c>
      <c r="D963" s="1" t="n">
        <v>44886</v>
      </c>
      <c r="E963" s="1" t="n">
        <v>46248</v>
      </c>
      <c r="F963" t="inlineStr">
        <is>
          <t>BLEKINGE LÄN</t>
        </is>
      </c>
      <c r="G963" t="inlineStr">
        <is>
          <t>KARLSKRONA</t>
        </is>
      </c>
      <c r="I963" t="n">
        <v>16.8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30657-2023</t>
        </is>
      </c>
      <c r="B964" t="inlineStr">
        <is>
          <t>avverkningsanmälan</t>
        </is>
      </c>
      <c r="C964" t="inlineStr">
        <is>
          <t>Föryngringsavverkning</t>
        </is>
      </c>
      <c r="D964" s="1" t="n">
        <v>45112</v>
      </c>
      <c r="E964" s="1" t="n">
        <v>46248</v>
      </c>
      <c r="F964" t="inlineStr">
        <is>
          <t>BLEKINGE LÄN</t>
        </is>
      </c>
      <c r="G964" t="inlineStr">
        <is>
          <t>OLOFSTRÖM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7461-2023</t>
        </is>
      </c>
      <c r="B965" t="inlineStr">
        <is>
          <t>avverkningsanmälan</t>
        </is>
      </c>
      <c r="C965" t="inlineStr">
        <is>
          <t>Föryngringsavverkning</t>
        </is>
      </c>
      <c r="D965" s="1" t="n">
        <v>44971</v>
      </c>
      <c r="E965" s="1" t="n">
        <v>46248</v>
      </c>
      <c r="F965" t="inlineStr">
        <is>
          <t>BLEKINGE LÄN</t>
        </is>
      </c>
      <c r="G965" t="inlineStr">
        <is>
          <t>OLOFSTRÖM</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33552-2023</t>
        </is>
      </c>
      <c r="B966" t="inlineStr">
        <is>
          <t>avverkningsanmälan</t>
        </is>
      </c>
      <c r="C966" t="inlineStr">
        <is>
          <t>Föryngringsavverkning</t>
        </is>
      </c>
      <c r="D966" s="1" t="n">
        <v>45118</v>
      </c>
      <c r="E966" s="1" t="n">
        <v>46248</v>
      </c>
      <c r="F966" t="inlineStr">
        <is>
          <t>BLEKINGE LÄN</t>
        </is>
      </c>
      <c r="G966" t="inlineStr">
        <is>
          <t>KARLSHAMN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33555-2023</t>
        </is>
      </c>
      <c r="B967" t="inlineStr">
        <is>
          <t>avverkningsanmälan</t>
        </is>
      </c>
      <c r="C967" t="inlineStr">
        <is>
          <t>Föryngringsavverkning</t>
        </is>
      </c>
      <c r="D967" s="1" t="n">
        <v>45118</v>
      </c>
      <c r="E967" s="1" t="n">
        <v>46248</v>
      </c>
      <c r="F967" t="inlineStr">
        <is>
          <t>BLEKINGE LÄN</t>
        </is>
      </c>
      <c r="G967" t="inlineStr">
        <is>
          <t>KARLSKRONA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50902-2023</t>
        </is>
      </c>
      <c r="B968" t="inlineStr">
        <is>
          <t>avverkningsanmälan</t>
        </is>
      </c>
      <c r="C968" t="inlineStr">
        <is>
          <t>Föryngringsavverkning</t>
        </is>
      </c>
      <c r="D968" s="1" t="n">
        <v>45218</v>
      </c>
      <c r="E968" s="1" t="n">
        <v>46248</v>
      </c>
      <c r="F968" t="inlineStr">
        <is>
          <t>BLEKINGE LÄN</t>
        </is>
      </c>
      <c r="G968" t="inlineStr">
        <is>
          <t>KARLSKRONA</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46646-2023</t>
        </is>
      </c>
      <c r="B969" t="inlineStr">
        <is>
          <t>avverkningsanmälan</t>
        </is>
      </c>
      <c r="C969" t="inlineStr">
        <is>
          <t>Föryngringsavverkning</t>
        </is>
      </c>
      <c r="D969" s="1" t="n">
        <v>45195</v>
      </c>
      <c r="E969" s="1" t="n">
        <v>46248</v>
      </c>
      <c r="F969" t="inlineStr">
        <is>
          <t>BLEKINGE LÄN</t>
        </is>
      </c>
      <c r="G969" t="inlineStr">
        <is>
          <t>RONNEBY</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62728-2023</t>
        </is>
      </c>
      <c r="B970" t="inlineStr">
        <is>
          <t>avverkningsanmälan</t>
        </is>
      </c>
      <c r="C970" t="inlineStr">
        <is>
          <t>Föryngringsavverkning</t>
        </is>
      </c>
      <c r="D970" s="1" t="n">
        <v>45268</v>
      </c>
      <c r="E970" s="1" t="n">
        <v>46248</v>
      </c>
      <c r="F970" t="inlineStr">
        <is>
          <t>BLEKINGE LÄN</t>
        </is>
      </c>
      <c r="G970" t="inlineStr">
        <is>
          <t>OLOFSTRÖM</t>
        </is>
      </c>
      <c r="H970" t="inlineStr">
        <is>
          <t>Övriga Aktiebolag</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39992-2024</t>
        </is>
      </c>
      <c r="B971" t="inlineStr">
        <is>
          <t>avverkningsanmälan</t>
        </is>
      </c>
      <c r="C971" t="inlineStr">
        <is>
          <t>Föryngringsavverkning</t>
        </is>
      </c>
      <c r="D971" s="1" t="n">
        <v>45553</v>
      </c>
      <c r="E971" s="1" t="n">
        <v>46248</v>
      </c>
      <c r="F971" t="inlineStr">
        <is>
          <t>BLEKINGE LÄN</t>
        </is>
      </c>
      <c r="G971" t="inlineStr">
        <is>
          <t>KARLSKRONA</t>
        </is>
      </c>
      <c r="I971" t="n">
        <v>5.4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7277-2025</t>
        </is>
      </c>
      <c r="B972" t="inlineStr">
        <is>
          <t>avverkningsanmälan</t>
        </is>
      </c>
      <c r="C972" t="inlineStr">
        <is>
          <t>Föryngringsavverkning</t>
        </is>
      </c>
      <c r="D972" s="1" t="n">
        <v>45701</v>
      </c>
      <c r="E972" s="1" t="n">
        <v>46248</v>
      </c>
      <c r="F972" t="inlineStr">
        <is>
          <t>BLEKINGE LÄN</t>
        </is>
      </c>
      <c r="G972" t="inlineStr">
        <is>
          <t>OLOFSTRÖM</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29365-2023</t>
        </is>
      </c>
      <c r="B973" t="inlineStr">
        <is>
          <t>avverkningsanmälan</t>
        </is>
      </c>
      <c r="C973" t="inlineStr">
        <is>
          <t>Föryngringsavverkning</t>
        </is>
      </c>
      <c r="D973" s="1" t="n">
        <v>45106</v>
      </c>
      <c r="E973" s="1" t="n">
        <v>46248</v>
      </c>
      <c r="F973" t="inlineStr">
        <is>
          <t>BLEKINGE LÄN</t>
        </is>
      </c>
      <c r="G973" t="inlineStr">
        <is>
          <t>KARLSKRONA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50614-2022</t>
        </is>
      </c>
      <c r="B974" t="inlineStr">
        <is>
          <t>avverkningsanmälan</t>
        </is>
      </c>
      <c r="C974" t="inlineStr">
        <is>
          <t>Föryngringsavverkning</t>
        </is>
      </c>
      <c r="D974" s="1" t="n">
        <v>44866</v>
      </c>
      <c r="E974" s="1" t="n">
        <v>46248</v>
      </c>
      <c r="F974" t="inlineStr">
        <is>
          <t>BLEKINGE LÄN</t>
        </is>
      </c>
      <c r="G974" t="inlineStr">
        <is>
          <t>KARLSKRONA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444-2023</t>
        </is>
      </c>
      <c r="B975" t="inlineStr">
        <is>
          <t>avverkningsanmälan</t>
        </is>
      </c>
      <c r="C975" t="inlineStr">
        <is>
          <t>Föryngringsavverkning</t>
        </is>
      </c>
      <c r="D975" s="1" t="n">
        <v>44929</v>
      </c>
      <c r="E975" s="1" t="n">
        <v>46248</v>
      </c>
      <c r="F975" t="inlineStr">
        <is>
          <t>BLEKINGE LÄN</t>
        </is>
      </c>
      <c r="G975" t="inlineStr">
        <is>
          <t>OLOFSTRÖM</t>
        </is>
      </c>
      <c r="I975" t="n">
        <v>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24502-2023</t>
        </is>
      </c>
      <c r="B976" t="inlineStr">
        <is>
          <t>avverkningsanmälan</t>
        </is>
      </c>
      <c r="C976" t="inlineStr">
        <is>
          <t>Föryngringsavverkning</t>
        </is>
      </c>
      <c r="D976" s="1" t="n">
        <v>45082</v>
      </c>
      <c r="E976" s="1" t="n">
        <v>46248</v>
      </c>
      <c r="F976" t="inlineStr">
        <is>
          <t>BLEKINGE LÄN</t>
        </is>
      </c>
      <c r="G976" t="inlineStr">
        <is>
          <t>RONNEBY</t>
        </is>
      </c>
      <c r="H976" t="inlineStr">
        <is>
          <t>Kommuner</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62377-2022</t>
        </is>
      </c>
      <c r="B977" t="inlineStr">
        <is>
          <t>avverkningsanmälan</t>
        </is>
      </c>
      <c r="C977" t="inlineStr">
        <is>
          <t>Föryngringsavverkning</t>
        </is>
      </c>
      <c r="D977" s="1" t="n">
        <v>44923</v>
      </c>
      <c r="E977" s="1" t="n">
        <v>46248</v>
      </c>
      <c r="F977" t="inlineStr">
        <is>
          <t>BLEKINGE LÄN</t>
        </is>
      </c>
      <c r="G977" t="inlineStr">
        <is>
          <t>KARLSHAMN</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45367-2023</t>
        </is>
      </c>
      <c r="B978" t="inlineStr">
        <is>
          <t>avverkningsanmälan</t>
        </is>
      </c>
      <c r="C978" t="inlineStr">
        <is>
          <t>Föryngringsavverkning</t>
        </is>
      </c>
      <c r="D978" s="1" t="n">
        <v>45193</v>
      </c>
      <c r="E978" s="1" t="n">
        <v>46248</v>
      </c>
      <c r="F978" t="inlineStr">
        <is>
          <t>BLEKINGE LÄN</t>
        </is>
      </c>
      <c r="G978" t="inlineStr">
        <is>
          <t>RONNEBY</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61529-2024</t>
        </is>
      </c>
      <c r="B979" t="inlineStr">
        <is>
          <t>avverkningsanmälan</t>
        </is>
      </c>
      <c r="C979" t="inlineStr">
        <is>
          <t>Föryngringsavverkning</t>
        </is>
      </c>
      <c r="D979" s="1" t="n">
        <v>45646</v>
      </c>
      <c r="E979" s="1" t="n">
        <v>46248</v>
      </c>
      <c r="F979" t="inlineStr">
        <is>
          <t>BLEKINGE LÄN</t>
        </is>
      </c>
      <c r="G979" t="inlineStr">
        <is>
          <t>RONNEBY</t>
        </is>
      </c>
      <c r="I979" t="n">
        <v>8.300000000000001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25011-2024</t>
        </is>
      </c>
      <c r="B980" t="inlineStr">
        <is>
          <t>avverkningsanmälan</t>
        </is>
      </c>
      <c r="C980" t="inlineStr">
        <is>
          <t>Föryngringsavverkning</t>
        </is>
      </c>
      <c r="D980" s="1" t="n">
        <v>45461</v>
      </c>
      <c r="E980" s="1" t="n">
        <v>46248</v>
      </c>
      <c r="F980" t="inlineStr">
        <is>
          <t>BLEKINGE LÄN</t>
        </is>
      </c>
      <c r="G980" t="inlineStr">
        <is>
          <t>KARLSHAMN</t>
        </is>
      </c>
      <c r="H980" t="inlineStr">
        <is>
          <t>Övriga Aktiebolag</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2572-2023</t>
        </is>
      </c>
      <c r="B981" t="inlineStr">
        <is>
          <t>avverkningsanmälan</t>
        </is>
      </c>
      <c r="C981" t="inlineStr">
        <is>
          <t>Föryngringsavverkning</t>
        </is>
      </c>
      <c r="D981" s="1" t="n">
        <v>44943</v>
      </c>
      <c r="E981" s="1" t="n">
        <v>46248</v>
      </c>
      <c r="F981" t="inlineStr">
        <is>
          <t>BLEKINGE LÄN</t>
        </is>
      </c>
      <c r="G981" t="inlineStr">
        <is>
          <t>KARLSHAMN</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13160-2023</t>
        </is>
      </c>
      <c r="B982" t="inlineStr">
        <is>
          <t>avverkningsanmälan</t>
        </is>
      </c>
      <c r="C982" t="inlineStr">
        <is>
          <t>Föryngringsavverkning</t>
        </is>
      </c>
      <c r="D982" s="1" t="n">
        <v>45002</v>
      </c>
      <c r="E982" s="1" t="n">
        <v>46248</v>
      </c>
      <c r="F982" t="inlineStr">
        <is>
          <t>BLEKINGE LÄN</t>
        </is>
      </c>
      <c r="G982" t="inlineStr">
        <is>
          <t>KARLSKRONA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13224-2023</t>
        </is>
      </c>
      <c r="B983" t="inlineStr">
        <is>
          <t>avverkningsanmälan</t>
        </is>
      </c>
      <c r="C983" t="inlineStr">
        <is>
          <t>Föryngringsavverkning</t>
        </is>
      </c>
      <c r="D983" s="1" t="n">
        <v>45002</v>
      </c>
      <c r="E983" s="1" t="n">
        <v>46248</v>
      </c>
      <c r="F983" t="inlineStr">
        <is>
          <t>BLEKINGE LÄN</t>
        </is>
      </c>
      <c r="G983" t="inlineStr">
        <is>
          <t>RONNEBY</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36875-2022</t>
        </is>
      </c>
      <c r="B984" t="inlineStr">
        <is>
          <t>avverkningsanmälan</t>
        </is>
      </c>
      <c r="C984" t="inlineStr">
        <is>
          <t>Föryngringsavverkning</t>
        </is>
      </c>
      <c r="D984" s="1" t="n">
        <v>44805</v>
      </c>
      <c r="E984" s="1" t="n">
        <v>46248</v>
      </c>
      <c r="F984" t="inlineStr">
        <is>
          <t>BLEKINGE LÄN</t>
        </is>
      </c>
      <c r="G984" t="inlineStr">
        <is>
          <t>OLOFSTRÖM</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16188-2022</t>
        </is>
      </c>
      <c r="B985" t="inlineStr">
        <is>
          <t>avverkningsanmälan</t>
        </is>
      </c>
      <c r="C985" t="inlineStr">
        <is>
          <t>Föryngringsavverkning</t>
        </is>
      </c>
      <c r="D985" s="1" t="n">
        <v>44669</v>
      </c>
      <c r="E985" s="1" t="n">
        <v>46248</v>
      </c>
      <c r="F985" t="inlineStr">
        <is>
          <t>BLEKINGE LÄN</t>
        </is>
      </c>
      <c r="G985" t="inlineStr">
        <is>
          <t>SÖLVESBORG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6523-2024</t>
        </is>
      </c>
      <c r="B986" t="inlineStr">
        <is>
          <t>avverkningsanmälan</t>
        </is>
      </c>
      <c r="C986" t="inlineStr">
        <is>
          <t>Föryngringsavverkning</t>
        </is>
      </c>
      <c r="D986" s="1" t="n">
        <v>45341</v>
      </c>
      <c r="E986" s="1" t="n">
        <v>46248</v>
      </c>
      <c r="F986" t="inlineStr">
        <is>
          <t>BLEKINGE LÄN</t>
        </is>
      </c>
      <c r="G986" t="inlineStr">
        <is>
          <t>OLOFSTRÖM</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24547-2024</t>
        </is>
      </c>
      <c r="B987" t="inlineStr">
        <is>
          <t>avverkningsanmälan</t>
        </is>
      </c>
      <c r="C987" t="inlineStr">
        <is>
          <t>Föryngringsavverkning</t>
        </is>
      </c>
      <c r="D987" s="1" t="n">
        <v>45460</v>
      </c>
      <c r="E987" s="1" t="n">
        <v>46248</v>
      </c>
      <c r="F987" t="inlineStr">
        <is>
          <t>BLEKINGE LÄN</t>
        </is>
      </c>
      <c r="G987" t="inlineStr">
        <is>
          <t>RONNEBY</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45885-2024</t>
        </is>
      </c>
      <c r="B988" t="inlineStr">
        <is>
          <t>avverkningsanmälan</t>
        </is>
      </c>
      <c r="C988" t="inlineStr">
        <is>
          <t>Föryngringsavverkning</t>
        </is>
      </c>
      <c r="D988" s="1" t="n">
        <v>45580</v>
      </c>
      <c r="E988" s="1" t="n">
        <v>46248</v>
      </c>
      <c r="F988" t="inlineStr">
        <is>
          <t>BLEKINGE LÄN</t>
        </is>
      </c>
      <c r="G988" t="inlineStr">
        <is>
          <t>KARLSHAMN</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1243-2023</t>
        </is>
      </c>
      <c r="B989" t="inlineStr">
        <is>
          <t>avverkningsanmälan</t>
        </is>
      </c>
      <c r="C989" t="inlineStr">
        <is>
          <t>Föryngringsavverkning</t>
        </is>
      </c>
      <c r="D989" s="1" t="n">
        <v>44936</v>
      </c>
      <c r="E989" s="1" t="n">
        <v>46248</v>
      </c>
      <c r="F989" t="inlineStr">
        <is>
          <t>BLEKINGE LÄN</t>
        </is>
      </c>
      <c r="G989" t="inlineStr">
        <is>
          <t>KARLSKRONA</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52951-2024</t>
        </is>
      </c>
      <c r="B990" t="inlineStr">
        <is>
          <t>avverkningsanmälan</t>
        </is>
      </c>
      <c r="C990" t="inlineStr">
        <is>
          <t>Föryngringsavverkning</t>
        </is>
      </c>
      <c r="D990" s="1" t="n">
        <v>45610</v>
      </c>
      <c r="E990" s="1" t="n">
        <v>46248</v>
      </c>
      <c r="F990" t="inlineStr">
        <is>
          <t>BLEKINGE LÄN</t>
        </is>
      </c>
      <c r="G990" t="inlineStr">
        <is>
          <t>KARLSKRONA</t>
        </is>
      </c>
      <c r="I990" t="n">
        <v>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14644-2025</t>
        </is>
      </c>
      <c r="B991" t="inlineStr">
        <is>
          <t>avverkningsanmälan</t>
        </is>
      </c>
      <c r="C991" t="inlineStr">
        <is>
          <t>Föryngringsavverkning</t>
        </is>
      </c>
      <c r="D991" s="1" t="n">
        <v>45742</v>
      </c>
      <c r="E991" s="1" t="n">
        <v>46248</v>
      </c>
      <c r="F991" t="inlineStr">
        <is>
          <t>BLEKINGE LÄN</t>
        </is>
      </c>
      <c r="G991" t="inlineStr">
        <is>
          <t>KARLSKRONA</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29481-2022</t>
        </is>
      </c>
      <c r="B992" t="inlineStr">
        <is>
          <t>avverkningsanmälan</t>
        </is>
      </c>
      <c r="C992" t="inlineStr">
        <is>
          <t>Föryngringsavverkning</t>
        </is>
      </c>
      <c r="D992" s="1" t="n">
        <v>44753</v>
      </c>
      <c r="E992" s="1" t="n">
        <v>46248</v>
      </c>
      <c r="F992" t="inlineStr">
        <is>
          <t>BLEKINGE LÄN</t>
        </is>
      </c>
      <c r="G992" t="inlineStr">
        <is>
          <t>KARLSKRONA</t>
        </is>
      </c>
      <c r="I992" t="n">
        <v>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70538-2021</t>
        </is>
      </c>
      <c r="B993" t="inlineStr">
        <is>
          <t>avverkningsanmälan</t>
        </is>
      </c>
      <c r="C993" t="inlineStr">
        <is>
          <t>Föryngringsavverkning</t>
        </is>
      </c>
      <c r="D993" s="1" t="n">
        <v>44536</v>
      </c>
      <c r="E993" s="1" t="n">
        <v>46248</v>
      </c>
      <c r="F993" t="inlineStr">
        <is>
          <t>BLEKINGE LÄN</t>
        </is>
      </c>
      <c r="G993" t="inlineStr">
        <is>
          <t>OLOFSTRÖM</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61243-2023</t>
        </is>
      </c>
      <c r="B994" t="inlineStr">
        <is>
          <t>avverkningsanmälan</t>
        </is>
      </c>
      <c r="C994" t="inlineStr">
        <is>
          <t>Föryngringsavverkning</t>
        </is>
      </c>
      <c r="D994" s="1" t="n">
        <v>45264</v>
      </c>
      <c r="E994" s="1" t="n">
        <v>46248</v>
      </c>
      <c r="F994" t="inlineStr">
        <is>
          <t>BLEKINGE LÄN</t>
        </is>
      </c>
      <c r="G994" t="inlineStr">
        <is>
          <t>RONNEBY</t>
        </is>
      </c>
      <c r="H994" t="inlineStr">
        <is>
          <t>Övriga Aktiebolag</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61266-2023</t>
        </is>
      </c>
      <c r="B995" t="inlineStr">
        <is>
          <t>avverkningsanmälan</t>
        </is>
      </c>
      <c r="C995" t="inlineStr">
        <is>
          <t>Föryngringsavverkning</t>
        </is>
      </c>
      <c r="D995" s="1" t="n">
        <v>45264</v>
      </c>
      <c r="E995" s="1" t="n">
        <v>46248</v>
      </c>
      <c r="F995" t="inlineStr">
        <is>
          <t>BLEKINGE LÄN</t>
        </is>
      </c>
      <c r="G995" t="inlineStr">
        <is>
          <t>KARLSKRONA</t>
        </is>
      </c>
      <c r="I995" t="n">
        <v>13.2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24840-2023</t>
        </is>
      </c>
      <c r="B996" t="inlineStr">
        <is>
          <t>avverkningsanmälan</t>
        </is>
      </c>
      <c r="C996" t="inlineStr">
        <is>
          <t>Föryngringsavverkning</t>
        </is>
      </c>
      <c r="D996" s="1" t="n">
        <v>45085</v>
      </c>
      <c r="E996" s="1" t="n">
        <v>46248</v>
      </c>
      <c r="F996" t="inlineStr">
        <is>
          <t>BLEKINGE LÄN</t>
        </is>
      </c>
      <c r="G996" t="inlineStr">
        <is>
          <t>RONNEBY</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31263-2023</t>
        </is>
      </c>
      <c r="B997" t="inlineStr">
        <is>
          <t>avverkningsanmälan</t>
        </is>
      </c>
      <c r="C997" t="inlineStr">
        <is>
          <t>Föryngringsavverkning</t>
        </is>
      </c>
      <c r="D997" s="1" t="n">
        <v>45114</v>
      </c>
      <c r="E997" s="1" t="n">
        <v>46248</v>
      </c>
      <c r="F997" t="inlineStr">
        <is>
          <t>BLEKINGE LÄN</t>
        </is>
      </c>
      <c r="G997" t="inlineStr">
        <is>
          <t>KARLSHAMN</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44120-2023</t>
        </is>
      </c>
      <c r="B998" t="inlineStr">
        <is>
          <t>avverkningsanmälan</t>
        </is>
      </c>
      <c r="C998" t="inlineStr">
        <is>
          <t>Föryngringsavverkning</t>
        </is>
      </c>
      <c r="D998" s="1" t="n">
        <v>45188</v>
      </c>
      <c r="E998" s="1" t="n">
        <v>46248</v>
      </c>
      <c r="F998" t="inlineStr">
        <is>
          <t>BLEKINGE LÄN</t>
        </is>
      </c>
      <c r="G998" t="inlineStr">
        <is>
          <t>KARLSKRONA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57427-2023</t>
        </is>
      </c>
      <c r="B999" t="inlineStr">
        <is>
          <t>avverkningsanmälan</t>
        </is>
      </c>
      <c r="C999" t="inlineStr">
        <is>
          <t>Föryngringsavverkning</t>
        </is>
      </c>
      <c r="D999" s="1" t="n">
        <v>45246</v>
      </c>
      <c r="E999" s="1" t="n">
        <v>46248</v>
      </c>
      <c r="F999" t="inlineStr">
        <is>
          <t>BLEKINGE LÄN</t>
        </is>
      </c>
      <c r="G999" t="inlineStr">
        <is>
          <t>RONNEBY</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21111-2024</t>
        </is>
      </c>
      <c r="B1000" t="inlineStr">
        <is>
          <t>avverkningsanmälan</t>
        </is>
      </c>
      <c r="C1000" t="inlineStr">
        <is>
          <t>Föryngringsavverkning</t>
        </is>
      </c>
      <c r="D1000" s="1" t="n">
        <v>45440</v>
      </c>
      <c r="E1000" s="1" t="n">
        <v>46248</v>
      </c>
      <c r="F1000" t="inlineStr">
        <is>
          <t>BLEKINGE LÄN</t>
        </is>
      </c>
      <c r="G1000" t="inlineStr">
        <is>
          <t>RONNEBY</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45440-2023</t>
        </is>
      </c>
      <c r="B1001" t="inlineStr">
        <is>
          <t>avverkningsanmälan</t>
        </is>
      </c>
      <c r="C1001" t="inlineStr">
        <is>
          <t>Föryngringsavverkning</t>
        </is>
      </c>
      <c r="D1001" s="1" t="n">
        <v>45194</v>
      </c>
      <c r="E1001" s="1" t="n">
        <v>46248</v>
      </c>
      <c r="F1001" t="inlineStr">
        <is>
          <t>BLEKINGE LÄN</t>
        </is>
      </c>
      <c r="G1001" t="inlineStr">
        <is>
          <t>KARLSKRONA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49693-2022</t>
        </is>
      </c>
      <c r="B1002" t="inlineStr">
        <is>
          <t>avverkningsanmälan</t>
        </is>
      </c>
      <c r="C1002" t="inlineStr">
        <is>
          <t>Föryngringsavverkning</t>
        </is>
      </c>
      <c r="D1002" s="1" t="n">
        <v>44862</v>
      </c>
      <c r="E1002" s="1" t="n">
        <v>46248</v>
      </c>
      <c r="F1002" t="inlineStr">
        <is>
          <t>BLEKINGE LÄN</t>
        </is>
      </c>
      <c r="G1002" t="inlineStr">
        <is>
          <t>KARLSKRONA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29394-2023</t>
        </is>
      </c>
      <c r="B1003" t="inlineStr">
        <is>
          <t>avverkningsanmälan</t>
        </is>
      </c>
      <c r="C1003" t="inlineStr">
        <is>
          <t>Föryngringsavverkning</t>
        </is>
      </c>
      <c r="D1003" s="1" t="n">
        <v>45106</v>
      </c>
      <c r="E1003" s="1" t="n">
        <v>46248</v>
      </c>
      <c r="F1003" t="inlineStr">
        <is>
          <t>BLEKINGE LÄN</t>
        </is>
      </c>
      <c r="G1003" t="inlineStr">
        <is>
          <t>KARLSKRONA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29443-2023</t>
        </is>
      </c>
      <c r="B1004" t="inlineStr">
        <is>
          <t>avverkningsanmälan</t>
        </is>
      </c>
      <c r="C1004" t="inlineStr">
        <is>
          <t>Föryngringsavverkning</t>
        </is>
      </c>
      <c r="D1004" s="1" t="n">
        <v>45106</v>
      </c>
      <c r="E1004" s="1" t="n">
        <v>46248</v>
      </c>
      <c r="F1004" t="inlineStr">
        <is>
          <t>BLEKINGE LÄN</t>
        </is>
      </c>
      <c r="G1004" t="inlineStr">
        <is>
          <t>KARLSHAMN</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52086-2023</t>
        </is>
      </c>
      <c r="B1005" t="inlineStr">
        <is>
          <t>avverkningsanmälan</t>
        </is>
      </c>
      <c r="C1005" t="inlineStr">
        <is>
          <t>Föryngringsavverkning</t>
        </is>
      </c>
      <c r="D1005" s="1" t="n">
        <v>45216</v>
      </c>
      <c r="E1005" s="1" t="n">
        <v>46248</v>
      </c>
      <c r="F1005" t="inlineStr">
        <is>
          <t>BLEKINGE LÄN</t>
        </is>
      </c>
      <c r="G1005" t="inlineStr">
        <is>
          <t>SÖLVESBORG</t>
        </is>
      </c>
      <c r="I1005" t="n">
        <v>8.1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22906-2024</t>
        </is>
      </c>
      <c r="B1006" t="inlineStr">
        <is>
          <t>avverkningsanmälan</t>
        </is>
      </c>
      <c r="C1006" t="inlineStr">
        <is>
          <t>Föryngringsavverkning</t>
        </is>
      </c>
      <c r="D1006" s="1" t="n">
        <v>45448</v>
      </c>
      <c r="E1006" s="1" t="n">
        <v>46248</v>
      </c>
      <c r="F1006" t="inlineStr">
        <is>
          <t>BLEKINGE LÄN</t>
        </is>
      </c>
      <c r="G1006" t="inlineStr">
        <is>
          <t>SÖLVESBORG</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609-2024</t>
        </is>
      </c>
      <c r="B1007" t="inlineStr">
        <is>
          <t>avverkningsanmälan</t>
        </is>
      </c>
      <c r="C1007" t="inlineStr">
        <is>
          <t>Föryngringsavverkning</t>
        </is>
      </c>
      <c r="D1007" s="1" t="n">
        <v>45299</v>
      </c>
      <c r="E1007" s="1" t="n">
        <v>46248</v>
      </c>
      <c r="F1007" t="inlineStr">
        <is>
          <t>BLEKINGE LÄN</t>
        </is>
      </c>
      <c r="G1007" t="inlineStr">
        <is>
          <t>RONNEBY</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39240-2024</t>
        </is>
      </c>
      <c r="B1008" t="inlineStr">
        <is>
          <t>avverkningsanmälan</t>
        </is>
      </c>
      <c r="C1008" t="inlineStr">
        <is>
          <t>Föryngringsavverkning</t>
        </is>
      </c>
      <c r="D1008" s="1" t="n">
        <v>45550</v>
      </c>
      <c r="E1008" s="1" t="n">
        <v>46248</v>
      </c>
      <c r="F1008" t="inlineStr">
        <is>
          <t>BLEKINGE LÄN</t>
        </is>
      </c>
      <c r="G1008" t="inlineStr">
        <is>
          <t>KARLSHAMN</t>
        </is>
      </c>
      <c r="I1008" t="n">
        <v>7.4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27408-2022</t>
        </is>
      </c>
      <c r="B1009" t="inlineStr">
        <is>
          <t>avverkningsanmälan</t>
        </is>
      </c>
      <c r="C1009" t="inlineStr">
        <is>
          <t>Föryngringsavverkning</t>
        </is>
      </c>
      <c r="D1009" s="1" t="n">
        <v>44742</v>
      </c>
      <c r="E1009" s="1" t="n">
        <v>46248</v>
      </c>
      <c r="F1009" t="inlineStr">
        <is>
          <t>BLEKINGE LÄN</t>
        </is>
      </c>
      <c r="G1009" t="inlineStr">
        <is>
          <t>KARLSHAMN</t>
        </is>
      </c>
      <c r="I1009" t="n">
        <v>5.4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26917-2023</t>
        </is>
      </c>
      <c r="B1010" t="inlineStr">
        <is>
          <t>avverkningsanmälan</t>
        </is>
      </c>
      <c r="C1010" t="inlineStr">
        <is>
          <t>Föryngringsavverkning</t>
        </is>
      </c>
      <c r="D1010" s="1" t="n">
        <v>45093</v>
      </c>
      <c r="E1010" s="1" t="n">
        <v>46248</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41994-2022</t>
        </is>
      </c>
      <c r="B1011" t="inlineStr">
        <is>
          <t>avverkningsanmälan</t>
        </is>
      </c>
      <c r="C1011" t="inlineStr">
        <is>
          <t>Föryngringsavverkning</t>
        </is>
      </c>
      <c r="D1011" s="1" t="n">
        <v>44827</v>
      </c>
      <c r="E1011" s="1" t="n">
        <v>46248</v>
      </c>
      <c r="F1011" t="inlineStr">
        <is>
          <t>BLEKINGE LÄN</t>
        </is>
      </c>
      <c r="G1011" t="inlineStr">
        <is>
          <t>KARLSHAMN</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26231-2023</t>
        </is>
      </c>
      <c r="B1012" t="inlineStr">
        <is>
          <t>avverkningsanmälan</t>
        </is>
      </c>
      <c r="C1012" t="inlineStr">
        <is>
          <t>Föryngringsavverkning</t>
        </is>
      </c>
      <c r="D1012" s="1" t="n">
        <v>45091</v>
      </c>
      <c r="E1012" s="1" t="n">
        <v>46248</v>
      </c>
      <c r="F1012" t="inlineStr">
        <is>
          <t>BLEKINGE LÄN</t>
        </is>
      </c>
      <c r="G1012" t="inlineStr">
        <is>
          <t>RONNEBY</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33563-2024</t>
        </is>
      </c>
      <c r="B1013" t="inlineStr">
        <is>
          <t>avverkningsanmälan</t>
        </is>
      </c>
      <c r="C1013" t="inlineStr">
        <is>
          <t>Föryngringsavverkning</t>
        </is>
      </c>
      <c r="D1013" s="1" t="n">
        <v>45519</v>
      </c>
      <c r="E1013" s="1" t="n">
        <v>46248</v>
      </c>
      <c r="F1013" t="inlineStr">
        <is>
          <t>BLEKINGE LÄN</t>
        </is>
      </c>
      <c r="G1013" t="inlineStr">
        <is>
          <t>KARLSHAMN</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57559-2023</t>
        </is>
      </c>
      <c r="B1014" t="inlineStr">
        <is>
          <t>avverkningsanmälan</t>
        </is>
      </c>
      <c r="C1014" t="inlineStr">
        <is>
          <t>Föryngringsavverkning</t>
        </is>
      </c>
      <c r="D1014" s="1" t="n">
        <v>45243</v>
      </c>
      <c r="E1014" s="1" t="n">
        <v>46248</v>
      </c>
      <c r="F1014" t="inlineStr">
        <is>
          <t>BLEKINGE LÄN</t>
        </is>
      </c>
      <c r="G1014" t="inlineStr">
        <is>
          <t>KARLSHAMN</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2413-2025</t>
        </is>
      </c>
      <c r="B1015" t="inlineStr">
        <is>
          <t>avverkningsanmälan</t>
        </is>
      </c>
      <c r="C1015" t="inlineStr">
        <is>
          <t>Föryngringsavverkning</t>
        </is>
      </c>
      <c r="D1015" s="1" t="n">
        <v>45674</v>
      </c>
      <c r="E1015" s="1" t="n">
        <v>46248</v>
      </c>
      <c r="F1015" t="inlineStr">
        <is>
          <t>BLEKINGE LÄN</t>
        </is>
      </c>
      <c r="G1015" t="inlineStr">
        <is>
          <t>KARLSKRONA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57646-2024</t>
        </is>
      </c>
      <c r="B1016" t="inlineStr">
        <is>
          <t>avverkningsanmälan</t>
        </is>
      </c>
      <c r="C1016" t="inlineStr">
        <is>
          <t>Föryngringsavverkning</t>
        </is>
      </c>
      <c r="D1016" s="1" t="n">
        <v>45630</v>
      </c>
      <c r="E1016" s="1" t="n">
        <v>46248</v>
      </c>
      <c r="F1016" t="inlineStr">
        <is>
          <t>BLEKINGE LÄN</t>
        </is>
      </c>
      <c r="G1016" t="inlineStr">
        <is>
          <t>KARLSKRONA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2089-2024</t>
        </is>
      </c>
      <c r="B1017" t="inlineStr">
        <is>
          <t>avverkningsanmälan</t>
        </is>
      </c>
      <c r="C1017" t="inlineStr">
        <is>
          <t>Föryngringsavverkning</t>
        </is>
      </c>
      <c r="D1017" s="1" t="n">
        <v>45309</v>
      </c>
      <c r="E1017" s="1" t="n">
        <v>46248</v>
      </c>
      <c r="F1017" t="inlineStr">
        <is>
          <t>BLEKINGE LÄN</t>
        </is>
      </c>
      <c r="G1017" t="inlineStr">
        <is>
          <t>SÖLVESBORG</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46584-2024</t>
        </is>
      </c>
      <c r="B1018" t="inlineStr">
        <is>
          <t>avverkningsanmälan</t>
        </is>
      </c>
      <c r="C1018" t="inlineStr">
        <is>
          <t>Föryngringsavverkning</t>
        </is>
      </c>
      <c r="D1018" s="1" t="n">
        <v>45582</v>
      </c>
      <c r="E1018" s="1" t="n">
        <v>46248</v>
      </c>
      <c r="F1018" t="inlineStr">
        <is>
          <t>BLEKINGE LÄN</t>
        </is>
      </c>
      <c r="G1018" t="inlineStr">
        <is>
          <t>OLOFSTRÖM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31394-2023</t>
        </is>
      </c>
      <c r="B1019" t="inlineStr">
        <is>
          <t>avverkningsanmälan</t>
        </is>
      </c>
      <c r="C1019" t="inlineStr">
        <is>
          <t>Föryngringsavverkning</t>
        </is>
      </c>
      <c r="D1019" s="1" t="n">
        <v>45104</v>
      </c>
      <c r="E1019" s="1" t="n">
        <v>46248</v>
      </c>
      <c r="F1019" t="inlineStr">
        <is>
          <t>BLEKINGE LÄN</t>
        </is>
      </c>
      <c r="G1019" t="inlineStr">
        <is>
          <t>KARLSHAMN</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22147-2023</t>
        </is>
      </c>
      <c r="B1020" t="inlineStr">
        <is>
          <t>avverkningsanmälan</t>
        </is>
      </c>
      <c r="C1020" t="inlineStr">
        <is>
          <t>Föryngringsavverkning</t>
        </is>
      </c>
      <c r="D1020" s="1" t="n">
        <v>45069</v>
      </c>
      <c r="E1020" s="1" t="n">
        <v>46248</v>
      </c>
      <c r="F1020" t="inlineStr">
        <is>
          <t>BLEKINGE LÄN</t>
        </is>
      </c>
      <c r="G1020" t="inlineStr">
        <is>
          <t>KARLSKRONA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13034-2023</t>
        </is>
      </c>
      <c r="B1021" t="inlineStr">
        <is>
          <t>avverkningsanmälan</t>
        </is>
      </c>
      <c r="C1021" t="inlineStr">
        <is>
          <t>Föryngringsavverkning</t>
        </is>
      </c>
      <c r="D1021" s="1" t="n">
        <v>45001</v>
      </c>
      <c r="E1021" s="1" t="n">
        <v>46248</v>
      </c>
      <c r="F1021" t="inlineStr">
        <is>
          <t>BLEKINGE LÄN</t>
        </is>
      </c>
      <c r="G1021" t="inlineStr">
        <is>
          <t>RONNEBY</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19544-2024</t>
        </is>
      </c>
      <c r="B1022" t="inlineStr">
        <is>
          <t>avverkningsanmälan</t>
        </is>
      </c>
      <c r="C1022" t="inlineStr">
        <is>
          <t>Föryngringsavverkning</t>
        </is>
      </c>
      <c r="D1022" s="1" t="n">
        <v>45429</v>
      </c>
      <c r="E1022" s="1" t="n">
        <v>46248</v>
      </c>
      <c r="F1022" t="inlineStr">
        <is>
          <t>BLEKINGE LÄN</t>
        </is>
      </c>
      <c r="G1022" t="inlineStr">
        <is>
          <t>KARLSHAMN</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35695-2024</t>
        </is>
      </c>
      <c r="B1023" t="inlineStr">
        <is>
          <t>avverkningsanmälan</t>
        </is>
      </c>
      <c r="C1023" t="inlineStr">
        <is>
          <t>Föryngringsavverkning</t>
        </is>
      </c>
      <c r="D1023" s="1" t="n">
        <v>45532</v>
      </c>
      <c r="E1023" s="1" t="n">
        <v>46248</v>
      </c>
      <c r="F1023" t="inlineStr">
        <is>
          <t>BLEKINGE LÄN</t>
        </is>
      </c>
      <c r="G1023" t="inlineStr">
        <is>
          <t>KARLSKRONA</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35696-2024</t>
        </is>
      </c>
      <c r="B1024" t="inlineStr">
        <is>
          <t>avverkningsanmälan</t>
        </is>
      </c>
      <c r="C1024" t="inlineStr">
        <is>
          <t>Föryngringsavverkning</t>
        </is>
      </c>
      <c r="D1024" s="1" t="n">
        <v>45532</v>
      </c>
      <c r="E1024" s="1" t="n">
        <v>46248</v>
      </c>
      <c r="F1024" t="inlineStr">
        <is>
          <t>BLEKINGE LÄN</t>
        </is>
      </c>
      <c r="G1024" t="inlineStr">
        <is>
          <t>KARLSKRONA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63450-2023</t>
        </is>
      </c>
      <c r="B1025" t="inlineStr">
        <is>
          <t>avverkningsanmälan</t>
        </is>
      </c>
      <c r="C1025" t="inlineStr">
        <is>
          <t>Föryngringsavverkning</t>
        </is>
      </c>
      <c r="D1025" s="1" t="n">
        <v>45274</v>
      </c>
      <c r="E1025" s="1" t="n">
        <v>46248</v>
      </c>
      <c r="F1025" t="inlineStr">
        <is>
          <t>BLEKINGE LÄN</t>
        </is>
      </c>
      <c r="G1025" t="inlineStr">
        <is>
          <t>OLOFSTRÖM</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1070-2022</t>
        </is>
      </c>
      <c r="B1026" t="inlineStr">
        <is>
          <t>avverkningsanmälan</t>
        </is>
      </c>
      <c r="C1026" t="inlineStr">
        <is>
          <t>Föryngringsavverkning</t>
        </is>
      </c>
      <c r="D1026" s="1" t="n">
        <v>44571</v>
      </c>
      <c r="E1026" s="1" t="n">
        <v>46248</v>
      </c>
      <c r="F1026" t="inlineStr">
        <is>
          <t>BLEKINGE LÄN</t>
        </is>
      </c>
      <c r="G1026" t="inlineStr">
        <is>
          <t>SÖLVESBORG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30958-2023</t>
        </is>
      </c>
      <c r="B1027" t="inlineStr">
        <is>
          <t>avverkningsanmälan</t>
        </is>
      </c>
      <c r="C1027" t="inlineStr">
        <is>
          <t>Föryngringsavverkning</t>
        </is>
      </c>
      <c r="D1027" s="1" t="n">
        <v>45113</v>
      </c>
      <c r="E1027" s="1" t="n">
        <v>46248</v>
      </c>
      <c r="F1027" t="inlineStr">
        <is>
          <t>BLEKINGE LÄN</t>
        </is>
      </c>
      <c r="G1027" t="inlineStr">
        <is>
          <t>KARLSKRONA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17563-2023</t>
        </is>
      </c>
      <c r="B1028" t="inlineStr">
        <is>
          <t>avverkningsanmälan</t>
        </is>
      </c>
      <c r="C1028" t="inlineStr">
        <is>
          <t>Föryngringsavverkning</t>
        </is>
      </c>
      <c r="D1028" s="1" t="n">
        <v>45036</v>
      </c>
      <c r="E1028" s="1" t="n">
        <v>46248</v>
      </c>
      <c r="F1028" t="inlineStr">
        <is>
          <t>BLEKINGE LÄN</t>
        </is>
      </c>
      <c r="G1028" t="inlineStr">
        <is>
          <t>RONNEBY</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56078-2023</t>
        </is>
      </c>
      <c r="B1029" t="inlineStr">
        <is>
          <t>avverkningsanmälan</t>
        </is>
      </c>
      <c r="C1029" t="inlineStr">
        <is>
          <t>Föryngringsavverkning</t>
        </is>
      </c>
      <c r="D1029" s="1" t="n">
        <v>45233</v>
      </c>
      <c r="E1029" s="1" t="n">
        <v>46248</v>
      </c>
      <c r="F1029" t="inlineStr">
        <is>
          <t>BLEKINGE LÄN</t>
        </is>
      </c>
      <c r="G1029" t="inlineStr">
        <is>
          <t>OLOFSTRÖM</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539-2024</t>
        </is>
      </c>
      <c r="B1030" t="inlineStr">
        <is>
          <t>avverkningsanmälan</t>
        </is>
      </c>
      <c r="C1030" t="inlineStr">
        <is>
          <t>Föryngringsavverkning</t>
        </is>
      </c>
      <c r="D1030" s="1" t="n">
        <v>45299</v>
      </c>
      <c r="E1030" s="1" t="n">
        <v>46248</v>
      </c>
      <c r="F1030" t="inlineStr">
        <is>
          <t>BLEKINGE LÄN</t>
        </is>
      </c>
      <c r="G1030" t="inlineStr">
        <is>
          <t>RONNEBY</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50897-2023</t>
        </is>
      </c>
      <c r="B1031" t="inlineStr">
        <is>
          <t>avverkningsanmälan</t>
        </is>
      </c>
      <c r="C1031" t="inlineStr">
        <is>
          <t>Föryngringsavverkning</t>
        </is>
      </c>
      <c r="D1031" s="1" t="n">
        <v>45218</v>
      </c>
      <c r="E1031" s="1" t="n">
        <v>46248</v>
      </c>
      <c r="F1031" t="inlineStr">
        <is>
          <t>BLEKINGE LÄN</t>
        </is>
      </c>
      <c r="G1031" t="inlineStr">
        <is>
          <t>KARLSKRONA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38005-2024</t>
        </is>
      </c>
      <c r="B1032" t="inlineStr">
        <is>
          <t>avverkningsanmälan</t>
        </is>
      </c>
      <c r="C1032" t="inlineStr">
        <is>
          <t>Föryngringsavverkning</t>
        </is>
      </c>
      <c r="D1032" s="1" t="n">
        <v>45544</v>
      </c>
      <c r="E1032" s="1" t="n">
        <v>46248</v>
      </c>
      <c r="F1032" t="inlineStr">
        <is>
          <t>BLEKINGE LÄN</t>
        </is>
      </c>
      <c r="G1032" t="inlineStr">
        <is>
          <t>OLOFSTRÖM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10245-2022</t>
        </is>
      </c>
      <c r="B1033" t="inlineStr">
        <is>
          <t>avverkningsanmälan</t>
        </is>
      </c>
      <c r="C1033" t="inlineStr">
        <is>
          <t>Föryngringsavverkning</t>
        </is>
      </c>
      <c r="D1033" s="1" t="n">
        <v>44622</v>
      </c>
      <c r="E1033" s="1" t="n">
        <v>46248</v>
      </c>
      <c r="F1033" t="inlineStr">
        <is>
          <t>BLEKINGE LÄN</t>
        </is>
      </c>
      <c r="G1033" t="inlineStr">
        <is>
          <t>KARLSHAMN</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66267-2021</t>
        </is>
      </c>
      <c r="B1034" t="inlineStr">
        <is>
          <t>avverkningsanmälan</t>
        </is>
      </c>
      <c r="C1034" t="inlineStr">
        <is>
          <t>Föryngringsavverkning</t>
        </is>
      </c>
      <c r="D1034" s="1" t="n">
        <v>44518</v>
      </c>
      <c r="E1034" s="1" t="n">
        <v>46248</v>
      </c>
      <c r="F1034" t="inlineStr">
        <is>
          <t>BLEKINGE LÄN</t>
        </is>
      </c>
      <c r="G1034" t="inlineStr">
        <is>
          <t>KARLSHAMN</t>
        </is>
      </c>
      <c r="H1034" t="inlineStr">
        <is>
          <t>Sveaskog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45011-2024</t>
        </is>
      </c>
      <c r="B1035" t="inlineStr">
        <is>
          <t>avverkningsanmälan</t>
        </is>
      </c>
      <c r="C1035" t="inlineStr">
        <is>
          <t>Föryngringsavverkning</t>
        </is>
      </c>
      <c r="D1035" s="1" t="n">
        <v>45575</v>
      </c>
      <c r="E1035" s="1" t="n">
        <v>46248</v>
      </c>
      <c r="F1035" t="inlineStr">
        <is>
          <t>BLEKINGE LÄN</t>
        </is>
      </c>
      <c r="G1035" t="inlineStr">
        <is>
          <t>OLOFSTRÖM</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40569-2022</t>
        </is>
      </c>
      <c r="B1036" t="inlineStr">
        <is>
          <t>avverkningsanmälan</t>
        </is>
      </c>
      <c r="C1036" t="inlineStr">
        <is>
          <t>Avverkning för annat ändamål</t>
        </is>
      </c>
      <c r="D1036" s="1" t="n">
        <v>44823</v>
      </c>
      <c r="E1036" s="1" t="n">
        <v>46248</v>
      </c>
      <c r="F1036" t="inlineStr">
        <is>
          <t>BLEKINGE LÄN</t>
        </is>
      </c>
      <c r="G1036" t="inlineStr">
        <is>
          <t>KARLSHAMN</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3013-2024</t>
        </is>
      </c>
      <c r="B1037" t="inlineStr">
        <is>
          <t>avverkningsanmälan</t>
        </is>
      </c>
      <c r="C1037" t="inlineStr">
        <is>
          <t>Föryngringsavverkning</t>
        </is>
      </c>
      <c r="D1037" s="1" t="n">
        <v>45315</v>
      </c>
      <c r="E1037" s="1" t="n">
        <v>46248</v>
      </c>
      <c r="F1037" t="inlineStr">
        <is>
          <t>BLEKINGE LÄN</t>
        </is>
      </c>
      <c r="G1037" t="inlineStr">
        <is>
          <t>KARLSKRONA</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39537-2024</t>
        </is>
      </c>
      <c r="B1038" t="inlineStr">
        <is>
          <t>avverkningsanmälan</t>
        </is>
      </c>
      <c r="C1038" t="inlineStr">
        <is>
          <t>Föryngringsavverkning</t>
        </is>
      </c>
      <c r="D1038" s="1" t="n">
        <v>45551</v>
      </c>
      <c r="E1038" s="1" t="n">
        <v>46248</v>
      </c>
      <c r="F1038" t="inlineStr">
        <is>
          <t>BLEKINGE LÄN</t>
        </is>
      </c>
      <c r="G1038" t="inlineStr">
        <is>
          <t>KARLSKRONA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29551-2022</t>
        </is>
      </c>
      <c r="B1039" t="inlineStr">
        <is>
          <t>avverkningsanmälan</t>
        </is>
      </c>
      <c r="C1039" t="inlineStr">
        <is>
          <t>Föryngringsavverkning</t>
        </is>
      </c>
      <c r="D1039" s="1" t="n">
        <v>44754</v>
      </c>
      <c r="E1039" s="1" t="n">
        <v>46248</v>
      </c>
      <c r="F1039" t="inlineStr">
        <is>
          <t>BLEKINGE LÄN</t>
        </is>
      </c>
      <c r="G1039" t="inlineStr">
        <is>
          <t>RONNEBY</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60901-2022</t>
        </is>
      </c>
      <c r="B1040" t="inlineStr">
        <is>
          <t>avverkningsanmälan</t>
        </is>
      </c>
      <c r="C1040" t="inlineStr">
        <is>
          <t>Föryngringsavverkning</t>
        </is>
      </c>
      <c r="D1040" s="1" t="n">
        <v>44914</v>
      </c>
      <c r="E1040" s="1" t="n">
        <v>46248</v>
      </c>
      <c r="F1040" t="inlineStr">
        <is>
          <t>BLEKINGE LÄN</t>
        </is>
      </c>
      <c r="G1040" t="inlineStr">
        <is>
          <t>KARLSKRONA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3807-2024</t>
        </is>
      </c>
      <c r="B1041" t="inlineStr">
        <is>
          <t>avverkningsanmälan</t>
        </is>
      </c>
      <c r="C1041" t="inlineStr">
        <is>
          <t>Föryngringsavverkning</t>
        </is>
      </c>
      <c r="D1041" s="1" t="n">
        <v>45321</v>
      </c>
      <c r="E1041" s="1" t="n">
        <v>46248</v>
      </c>
      <c r="F1041" t="inlineStr">
        <is>
          <t>BLEKINGE LÄN</t>
        </is>
      </c>
      <c r="G1041" t="inlineStr">
        <is>
          <t>KARLSKRONA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41054-2023</t>
        </is>
      </c>
      <c r="B1042" t="inlineStr">
        <is>
          <t>avverkningsanmälan</t>
        </is>
      </c>
      <c r="C1042" t="inlineStr">
        <is>
          <t>Föryngringsavverkning</t>
        </is>
      </c>
      <c r="D1042" s="1" t="n">
        <v>45169</v>
      </c>
      <c r="E1042" s="1" t="n">
        <v>46248</v>
      </c>
      <c r="F1042" t="inlineStr">
        <is>
          <t>BLEKINGE LÄN</t>
        </is>
      </c>
      <c r="G1042" t="inlineStr">
        <is>
          <t>RONNEBY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25860-2023</t>
        </is>
      </c>
      <c r="B1043" t="inlineStr">
        <is>
          <t>avverkningsanmälan</t>
        </is>
      </c>
      <c r="C1043" t="inlineStr">
        <is>
          <t>Föryngringsavverkning</t>
        </is>
      </c>
      <c r="D1043" s="1" t="n">
        <v>45090</v>
      </c>
      <c r="E1043" s="1" t="n">
        <v>46248</v>
      </c>
      <c r="F1043" t="inlineStr">
        <is>
          <t>BLEKINGE LÄN</t>
        </is>
      </c>
      <c r="G1043" t="inlineStr">
        <is>
          <t>KARLSHAMN</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54856-2022</t>
        </is>
      </c>
      <c r="B1044" t="inlineStr">
        <is>
          <t>avverkningsanmälan</t>
        </is>
      </c>
      <c r="C1044" t="inlineStr">
        <is>
          <t>Föryngringsavverkning</t>
        </is>
      </c>
      <c r="D1044" s="1" t="n">
        <v>44884</v>
      </c>
      <c r="E1044" s="1" t="n">
        <v>46248</v>
      </c>
      <c r="F1044" t="inlineStr">
        <is>
          <t>BLEKINGE LÄN</t>
        </is>
      </c>
      <c r="G1044" t="inlineStr">
        <is>
          <t>RONNEBY</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9057-2024</t>
        </is>
      </c>
      <c r="B1045" t="inlineStr">
        <is>
          <t>avverkningsanmälan</t>
        </is>
      </c>
      <c r="C1045" t="inlineStr">
        <is>
          <t>Föryngringsavverkning</t>
        </is>
      </c>
      <c r="D1045" s="1" t="n">
        <v>45357</v>
      </c>
      <c r="E1045" s="1" t="n">
        <v>46248</v>
      </c>
      <c r="F1045" t="inlineStr">
        <is>
          <t>BLEKINGE LÄN</t>
        </is>
      </c>
      <c r="G1045" t="inlineStr">
        <is>
          <t>RONNEBY</t>
        </is>
      </c>
      <c r="H1045" t="inlineStr">
        <is>
          <t>Kommuner</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37558-2022</t>
        </is>
      </c>
      <c r="B1046" t="inlineStr">
        <is>
          <t>avverkningsanmälan</t>
        </is>
      </c>
      <c r="C1046" t="inlineStr">
        <is>
          <t>Föryngringsavverkning</t>
        </is>
      </c>
      <c r="D1046" s="1" t="n">
        <v>44809</v>
      </c>
      <c r="E1046" s="1" t="n">
        <v>46248</v>
      </c>
      <c r="F1046" t="inlineStr">
        <is>
          <t>BLEKINGE LÄN</t>
        </is>
      </c>
      <c r="G1046" t="inlineStr">
        <is>
          <t>OLOFSTRÖM</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19948-2023</t>
        </is>
      </c>
      <c r="B1047" t="inlineStr">
        <is>
          <t>avverkningsanmälan</t>
        </is>
      </c>
      <c r="C1047" t="inlineStr">
        <is>
          <t>Föryngringsavverkning</t>
        </is>
      </c>
      <c r="D1047" s="1" t="n">
        <v>45054</v>
      </c>
      <c r="E1047" s="1" t="n">
        <v>46248</v>
      </c>
      <c r="F1047" t="inlineStr">
        <is>
          <t>BLEKINGE LÄN</t>
        </is>
      </c>
      <c r="G1047" t="inlineStr">
        <is>
          <t>RONNEBY</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33350-2023</t>
        </is>
      </c>
      <c r="B1048" t="inlineStr">
        <is>
          <t>avverkningsanmälan</t>
        </is>
      </c>
      <c r="C1048" t="inlineStr">
        <is>
          <t>Föryngringsavverkning</t>
        </is>
      </c>
      <c r="D1048" s="1" t="n">
        <v>45117</v>
      </c>
      <c r="E1048" s="1" t="n">
        <v>46248</v>
      </c>
      <c r="F1048" t="inlineStr">
        <is>
          <t>BLEKINGE LÄN</t>
        </is>
      </c>
      <c r="G1048" t="inlineStr">
        <is>
          <t>KARLSKRONA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39050-2024</t>
        </is>
      </c>
      <c r="B1049" t="inlineStr">
        <is>
          <t>avverkningsanmälan</t>
        </is>
      </c>
      <c r="C1049" t="inlineStr">
        <is>
          <t>Föryngringsavverkning</t>
        </is>
      </c>
      <c r="D1049" s="1" t="n">
        <v>45548</v>
      </c>
      <c r="E1049" s="1" t="n">
        <v>46248</v>
      </c>
      <c r="F1049" t="inlineStr">
        <is>
          <t>BLEKINGE LÄN</t>
        </is>
      </c>
      <c r="G1049" t="inlineStr">
        <is>
          <t>OLOFSTRÖM</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4654-2025</t>
        </is>
      </c>
      <c r="B1050" t="inlineStr">
        <is>
          <t>avverkningsanmälan</t>
        </is>
      </c>
      <c r="C1050" t="inlineStr">
        <is>
          <t>Föryngringsavverkning</t>
        </is>
      </c>
      <c r="D1050" s="1" t="n">
        <v>45687</v>
      </c>
      <c r="E1050" s="1" t="n">
        <v>46248</v>
      </c>
      <c r="F1050" t="inlineStr">
        <is>
          <t>BLEKINGE LÄN</t>
        </is>
      </c>
      <c r="G1050" t="inlineStr">
        <is>
          <t>KARLSHAMN</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47825-2024</t>
        </is>
      </c>
      <c r="B1051" t="inlineStr">
        <is>
          <t>avverkningsanmälan</t>
        </is>
      </c>
      <c r="C1051" t="inlineStr">
        <is>
          <t>Föryngringsavverkning</t>
        </is>
      </c>
      <c r="D1051" s="1" t="n">
        <v>45588</v>
      </c>
      <c r="E1051" s="1" t="n">
        <v>46248</v>
      </c>
      <c r="F1051" t="inlineStr">
        <is>
          <t>BLEKINGE LÄN</t>
        </is>
      </c>
      <c r="G1051" t="inlineStr">
        <is>
          <t>OLOFSTRÖM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8327-2023</t>
        </is>
      </c>
      <c r="B1052" t="inlineStr">
        <is>
          <t>avverkningsanmälan</t>
        </is>
      </c>
      <c r="C1052" t="inlineStr">
        <is>
          <t>Föryngringsavverkning</t>
        </is>
      </c>
      <c r="D1052" s="1" t="n">
        <v>44974</v>
      </c>
      <c r="E1052" s="1" t="n">
        <v>46248</v>
      </c>
      <c r="F1052" t="inlineStr">
        <is>
          <t>BLEKINGE LÄN</t>
        </is>
      </c>
      <c r="G1052" t="inlineStr">
        <is>
          <t>KARLSKRONA</t>
        </is>
      </c>
      <c r="I1052" t="n">
        <v>4.8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39077-2024</t>
        </is>
      </c>
      <c r="B1053" t="inlineStr">
        <is>
          <t>avverkningsanmälan</t>
        </is>
      </c>
      <c r="C1053" t="inlineStr">
        <is>
          <t>Föryngringsavverkning</t>
        </is>
      </c>
      <c r="D1053" s="1" t="n">
        <v>45548</v>
      </c>
      <c r="E1053" s="1" t="n">
        <v>46248</v>
      </c>
      <c r="F1053" t="inlineStr">
        <is>
          <t>BLEKINGE LÄN</t>
        </is>
      </c>
      <c r="G1053" t="inlineStr">
        <is>
          <t>OLOFSTRÖM</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40082-2023</t>
        </is>
      </c>
      <c r="B1054" t="inlineStr">
        <is>
          <t>avverkningsanmälan</t>
        </is>
      </c>
      <c r="C1054" t="inlineStr">
        <is>
          <t>Föryngringsavverkning</t>
        </is>
      </c>
      <c r="D1054" s="1" t="n">
        <v>45168</v>
      </c>
      <c r="E1054" s="1" t="n">
        <v>46248</v>
      </c>
      <c r="F1054" t="inlineStr">
        <is>
          <t>BLEKINGE LÄN</t>
        </is>
      </c>
      <c r="G1054" t="inlineStr">
        <is>
          <t>KARLSKRONA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50354-2024</t>
        </is>
      </c>
      <c r="B1055" t="inlineStr">
        <is>
          <t>avverkningsanmälan</t>
        </is>
      </c>
      <c r="C1055" t="inlineStr">
        <is>
          <t>Föryngringsavverkning</t>
        </is>
      </c>
      <c r="D1055" s="1" t="n">
        <v>45600</v>
      </c>
      <c r="E1055" s="1" t="n">
        <v>46248</v>
      </c>
      <c r="F1055" t="inlineStr">
        <is>
          <t>BLEKINGE LÄN</t>
        </is>
      </c>
      <c r="G1055" t="inlineStr">
        <is>
          <t>KARLSKRONA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40501-2024</t>
        </is>
      </c>
      <c r="B1056" t="inlineStr">
        <is>
          <t>avverkningsanmälan</t>
        </is>
      </c>
      <c r="C1056" t="inlineStr">
        <is>
          <t>Föryngringsavverkning</t>
        </is>
      </c>
      <c r="D1056" s="1" t="n">
        <v>45555</v>
      </c>
      <c r="E1056" s="1" t="n">
        <v>46248</v>
      </c>
      <c r="F1056" t="inlineStr">
        <is>
          <t>BLEKINGE LÄN</t>
        </is>
      </c>
      <c r="G1056" t="inlineStr">
        <is>
          <t>RONNEBY</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8197-2024</t>
        </is>
      </c>
      <c r="B1057" t="inlineStr">
        <is>
          <t>avverkningsanmälan</t>
        </is>
      </c>
      <c r="C1057" t="inlineStr">
        <is>
          <t>Avverkning för att bevara och utveckla /försöksver</t>
        </is>
      </c>
      <c r="D1057" s="1" t="n">
        <v>45351</v>
      </c>
      <c r="E1057" s="1" t="n">
        <v>46248</v>
      </c>
      <c r="F1057" t="inlineStr">
        <is>
          <t>BLEKINGE LÄN</t>
        </is>
      </c>
      <c r="G1057" t="inlineStr">
        <is>
          <t>KARLSKRONA</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57328-2023</t>
        </is>
      </c>
      <c r="B1058" t="inlineStr">
        <is>
          <t>avverkningsanmälan</t>
        </is>
      </c>
      <c r="C1058" t="inlineStr">
        <is>
          <t>Föryngringsavverkning</t>
        </is>
      </c>
      <c r="D1058" s="1" t="n">
        <v>45245</v>
      </c>
      <c r="E1058" s="1" t="n">
        <v>46248</v>
      </c>
      <c r="F1058" t="inlineStr">
        <is>
          <t>BLEKINGE LÄN</t>
        </is>
      </c>
      <c r="G1058" t="inlineStr">
        <is>
          <t>KARLSKRONA</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33234-2023</t>
        </is>
      </c>
      <c r="B1059" t="inlineStr">
        <is>
          <t>avverkningsanmälan</t>
        </is>
      </c>
      <c r="C1059" t="inlineStr">
        <is>
          <t>Föryngringsavverkning</t>
        </is>
      </c>
      <c r="D1059" s="1" t="n">
        <v>45127</v>
      </c>
      <c r="E1059" s="1" t="n">
        <v>46248</v>
      </c>
      <c r="F1059" t="inlineStr">
        <is>
          <t>BLEKINGE LÄN</t>
        </is>
      </c>
      <c r="G1059" t="inlineStr">
        <is>
          <t>KARLSKRONA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53194-2023</t>
        </is>
      </c>
      <c r="B1060" t="inlineStr">
        <is>
          <t>avverkningsanmälan</t>
        </is>
      </c>
      <c r="C1060" t="inlineStr">
        <is>
          <t>Föryngringsavverkning</t>
        </is>
      </c>
      <c r="D1060" s="1" t="n">
        <v>45229</v>
      </c>
      <c r="E1060" s="1" t="n">
        <v>46248</v>
      </c>
      <c r="F1060" t="inlineStr">
        <is>
          <t>BLEKINGE LÄN</t>
        </is>
      </c>
      <c r="G1060" t="inlineStr">
        <is>
          <t>KARLSHAMN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14428-2024</t>
        </is>
      </c>
      <c r="B1061" t="inlineStr">
        <is>
          <t>avverkningsanmälan</t>
        </is>
      </c>
      <c r="C1061" t="inlineStr">
        <is>
          <t>Föryngringsavverkning</t>
        </is>
      </c>
      <c r="D1061" s="1" t="n">
        <v>45394</v>
      </c>
      <c r="E1061" s="1" t="n">
        <v>46248</v>
      </c>
      <c r="F1061" t="inlineStr">
        <is>
          <t>BLEKINGE LÄN</t>
        </is>
      </c>
      <c r="G1061" t="inlineStr">
        <is>
          <t>RONNEBY</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1870-2024</t>
        </is>
      </c>
      <c r="B1062" t="inlineStr">
        <is>
          <t>avverkningsanmälan</t>
        </is>
      </c>
      <c r="C1062" t="inlineStr">
        <is>
          <t>Föryngringsavverkning</t>
        </is>
      </c>
      <c r="D1062" s="1" t="n">
        <v>45307</v>
      </c>
      <c r="E1062" s="1" t="n">
        <v>46248</v>
      </c>
      <c r="F1062" t="inlineStr">
        <is>
          <t>BLEKINGE LÄN</t>
        </is>
      </c>
      <c r="G1062" t="inlineStr">
        <is>
          <t>KARLSHAMN</t>
        </is>
      </c>
      <c r="I1062" t="n">
        <v>16.6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46079-2024</t>
        </is>
      </c>
      <c r="B1063" t="inlineStr">
        <is>
          <t>avverkningsanmälan</t>
        </is>
      </c>
      <c r="C1063" t="inlineStr">
        <is>
          <t>Föryngringsavverkning</t>
        </is>
      </c>
      <c r="D1063" s="1" t="n">
        <v>45581</v>
      </c>
      <c r="E1063" s="1" t="n">
        <v>46248</v>
      </c>
      <c r="F1063" t="inlineStr">
        <is>
          <t>BLEKINGE LÄN</t>
        </is>
      </c>
      <c r="G1063" t="inlineStr">
        <is>
          <t>RONNEBY</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6439-2025</t>
        </is>
      </c>
      <c r="B1064" t="inlineStr">
        <is>
          <t>avverkningsanmälan</t>
        </is>
      </c>
      <c r="C1064" t="inlineStr">
        <is>
          <t>Föryngringsavverkning</t>
        </is>
      </c>
      <c r="D1064" s="1" t="n">
        <v>45699</v>
      </c>
      <c r="E1064" s="1" t="n">
        <v>46248</v>
      </c>
      <c r="F1064" t="inlineStr">
        <is>
          <t>BLEKINGE LÄN</t>
        </is>
      </c>
      <c r="G1064" t="inlineStr">
        <is>
          <t>OLOFSTRÖM</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48013-2023</t>
        </is>
      </c>
      <c r="B1065" t="inlineStr">
        <is>
          <t>avverkningsanmälan</t>
        </is>
      </c>
      <c r="C1065" t="inlineStr">
        <is>
          <t>Föryngringsavverkning</t>
        </is>
      </c>
      <c r="D1065" s="1" t="n">
        <v>45204</v>
      </c>
      <c r="E1065" s="1" t="n">
        <v>46248</v>
      </c>
      <c r="F1065" t="inlineStr">
        <is>
          <t>BLEKINGE LÄN</t>
        </is>
      </c>
      <c r="G1065" t="inlineStr">
        <is>
          <t>KARLSKRONA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14311-2023</t>
        </is>
      </c>
      <c r="B1066" t="inlineStr">
        <is>
          <t>avverkningsanmälan</t>
        </is>
      </c>
      <c r="C1066" t="inlineStr">
        <is>
          <t>Föryngringsavverkning</t>
        </is>
      </c>
      <c r="D1066" s="1" t="n">
        <v>45011</v>
      </c>
      <c r="E1066" s="1" t="n">
        <v>46248</v>
      </c>
      <c r="F1066" t="inlineStr">
        <is>
          <t>BLEKINGE LÄN</t>
        </is>
      </c>
      <c r="G1066" t="inlineStr">
        <is>
          <t>OLOFSTRÖM</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56600-2023</t>
        </is>
      </c>
      <c r="B1067" t="inlineStr">
        <is>
          <t>avverkningsanmälan</t>
        </is>
      </c>
      <c r="C1067" t="inlineStr">
        <is>
          <t>Avverkning för annat ändamål</t>
        </is>
      </c>
      <c r="D1067" s="1" t="n">
        <v>45238</v>
      </c>
      <c r="E1067" s="1" t="n">
        <v>46248</v>
      </c>
      <c r="F1067" t="inlineStr">
        <is>
          <t>BLEKINGE LÄN</t>
        </is>
      </c>
      <c r="G1067" t="inlineStr">
        <is>
          <t>KARLSKRONA</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5556-2024</t>
        </is>
      </c>
      <c r="B1068" t="inlineStr">
        <is>
          <t>avverkningsanmälan</t>
        </is>
      </c>
      <c r="C1068" t="inlineStr">
        <is>
          <t>Föryngringsavverkning</t>
        </is>
      </c>
      <c r="D1068" s="1" t="n">
        <v>45334</v>
      </c>
      <c r="E1068" s="1" t="n">
        <v>46248</v>
      </c>
      <c r="F1068" t="inlineStr">
        <is>
          <t>BLEKINGE LÄN</t>
        </is>
      </c>
      <c r="G1068" t="inlineStr">
        <is>
          <t>KARLSKRONA</t>
        </is>
      </c>
      <c r="I1068" t="n">
        <v>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32537-2023</t>
        </is>
      </c>
      <c r="B1069" t="inlineStr">
        <is>
          <t>avverkningsanmälan</t>
        </is>
      </c>
      <c r="C1069" t="inlineStr">
        <is>
          <t>Föryngringsavverkning</t>
        </is>
      </c>
      <c r="D1069" s="1" t="n">
        <v>45110</v>
      </c>
      <c r="E1069" s="1" t="n">
        <v>46248</v>
      </c>
      <c r="F1069" t="inlineStr">
        <is>
          <t>BLEKINGE LÄN</t>
        </is>
      </c>
      <c r="G1069" t="inlineStr">
        <is>
          <t>RONNEBY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9605-2023</t>
        </is>
      </c>
      <c r="B1070" t="inlineStr">
        <is>
          <t>avverkningsanmälan</t>
        </is>
      </c>
      <c r="C1070" t="inlineStr">
        <is>
          <t>Föryngringsavverkning</t>
        </is>
      </c>
      <c r="D1070" s="1" t="n">
        <v>44983</v>
      </c>
      <c r="E1070" s="1" t="n">
        <v>46248</v>
      </c>
      <c r="F1070" t="inlineStr">
        <is>
          <t>BLEKINGE LÄN</t>
        </is>
      </c>
      <c r="G1070" t="inlineStr">
        <is>
          <t>KARLSHAMN</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15624-2024</t>
        </is>
      </c>
      <c r="B1071" t="inlineStr">
        <is>
          <t>avverkningsanmälan</t>
        </is>
      </c>
      <c r="C1071" t="inlineStr">
        <is>
          <t>Föryngringsavverkning</t>
        </is>
      </c>
      <c r="D1071" s="1" t="n">
        <v>45402</v>
      </c>
      <c r="E1071" s="1" t="n">
        <v>46248</v>
      </c>
      <c r="F1071" t="inlineStr">
        <is>
          <t>BLEKINGE LÄN</t>
        </is>
      </c>
      <c r="G1071" t="inlineStr">
        <is>
          <t>RONNEBY</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52223-2022</t>
        </is>
      </c>
      <c r="B1072" t="inlineStr">
        <is>
          <t>avverkningsanmälan</t>
        </is>
      </c>
      <c r="C1072" t="inlineStr">
        <is>
          <t>Föryngringsavverkning</t>
        </is>
      </c>
      <c r="D1072" s="1" t="n">
        <v>44873</v>
      </c>
      <c r="E1072" s="1" t="n">
        <v>46248</v>
      </c>
      <c r="F1072" t="inlineStr">
        <is>
          <t>BLEKINGE LÄN</t>
        </is>
      </c>
      <c r="G1072" t="inlineStr">
        <is>
          <t>OLOFSTRÖM</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8098-2023</t>
        </is>
      </c>
      <c r="B1073" t="inlineStr">
        <is>
          <t>avverkningsanmälan</t>
        </is>
      </c>
      <c r="C1073" t="inlineStr">
        <is>
          <t>Föryngringsavverkning</t>
        </is>
      </c>
      <c r="D1073" s="1" t="n">
        <v>44970</v>
      </c>
      <c r="E1073" s="1" t="n">
        <v>46248</v>
      </c>
      <c r="F1073" t="inlineStr">
        <is>
          <t>BLEKINGE LÄN</t>
        </is>
      </c>
      <c r="G1073" t="inlineStr">
        <is>
          <t>KARLSHAMN</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8110-2023</t>
        </is>
      </c>
      <c r="B1074" t="inlineStr">
        <is>
          <t>avverkningsanmälan</t>
        </is>
      </c>
      <c r="C1074" t="inlineStr">
        <is>
          <t>Föryngringsavverkning</t>
        </is>
      </c>
      <c r="D1074" s="1" t="n">
        <v>44970</v>
      </c>
      <c r="E1074" s="1" t="n">
        <v>46248</v>
      </c>
      <c r="F1074" t="inlineStr">
        <is>
          <t>BLEKINGE LÄN</t>
        </is>
      </c>
      <c r="G1074" t="inlineStr">
        <is>
          <t>OLOFSTRÖM</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664-2025</t>
        </is>
      </c>
      <c r="B1075" t="inlineStr">
        <is>
          <t>avverkningsanmälan</t>
        </is>
      </c>
      <c r="C1075" t="inlineStr">
        <is>
          <t>Föryngringsavverkning</t>
        </is>
      </c>
      <c r="D1075" s="1" t="n">
        <v>45662</v>
      </c>
      <c r="E1075" s="1" t="n">
        <v>46248</v>
      </c>
      <c r="F1075" t="inlineStr">
        <is>
          <t>BLEKINGE LÄN</t>
        </is>
      </c>
      <c r="G1075" t="inlineStr">
        <is>
          <t>KARLSKRONA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8837-2024</t>
        </is>
      </c>
      <c r="B1076" t="inlineStr">
        <is>
          <t>avverkningsanmälan</t>
        </is>
      </c>
      <c r="C1076" t="inlineStr">
        <is>
          <t>Föryngringsavverkning</t>
        </is>
      </c>
      <c r="D1076" s="1" t="n">
        <v>45356</v>
      </c>
      <c r="E1076" s="1" t="n">
        <v>46248</v>
      </c>
      <c r="F1076" t="inlineStr">
        <is>
          <t>BLEKINGE LÄN</t>
        </is>
      </c>
      <c r="G1076" t="inlineStr">
        <is>
          <t>SÖLVESBORG</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12601-2024</t>
        </is>
      </c>
      <c r="B1077" t="inlineStr">
        <is>
          <t>avverkningsanmälan</t>
        </is>
      </c>
      <c r="C1077" t="inlineStr">
        <is>
          <t>Föryngringsavverkning</t>
        </is>
      </c>
      <c r="D1077" s="1" t="n">
        <v>45381</v>
      </c>
      <c r="E1077" s="1" t="n">
        <v>46248</v>
      </c>
      <c r="F1077" t="inlineStr">
        <is>
          <t>BLEKINGE LÄN</t>
        </is>
      </c>
      <c r="G1077" t="inlineStr">
        <is>
          <t>RONNEBY</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24380-2024</t>
        </is>
      </c>
      <c r="B1078" t="inlineStr">
        <is>
          <t>avverkningsanmälan</t>
        </is>
      </c>
      <c r="C1078" t="inlineStr">
        <is>
          <t>Föryngringsavverkning</t>
        </is>
      </c>
      <c r="D1078" s="1" t="n">
        <v>45457</v>
      </c>
      <c r="E1078" s="1" t="n">
        <v>46248</v>
      </c>
      <c r="F1078" t="inlineStr">
        <is>
          <t>BLEKINGE LÄN</t>
        </is>
      </c>
      <c r="G1078" t="inlineStr">
        <is>
          <t>KARLSHAMN</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38721-2023</t>
        </is>
      </c>
      <c r="B1079" t="inlineStr">
        <is>
          <t>avverkningsanmälan</t>
        </is>
      </c>
      <c r="C1079" t="inlineStr">
        <is>
          <t>Föryngringsavverkning</t>
        </is>
      </c>
      <c r="D1079" s="1" t="n">
        <v>45163</v>
      </c>
      <c r="E1079" s="1" t="n">
        <v>46248</v>
      </c>
      <c r="F1079" t="inlineStr">
        <is>
          <t>BLEKINGE LÄN</t>
        </is>
      </c>
      <c r="G1079" t="inlineStr">
        <is>
          <t>KARLSHAMN</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42635-2024</t>
        </is>
      </c>
      <c r="B1080" t="inlineStr">
        <is>
          <t>avverkningsanmälan</t>
        </is>
      </c>
      <c r="C1080" t="inlineStr">
        <is>
          <t>Föryngringsavverkning</t>
        </is>
      </c>
      <c r="D1080" s="1" t="n">
        <v>45565</v>
      </c>
      <c r="E1080" s="1" t="n">
        <v>46248</v>
      </c>
      <c r="F1080" t="inlineStr">
        <is>
          <t>BLEKINGE LÄN</t>
        </is>
      </c>
      <c r="G1080" t="inlineStr">
        <is>
          <t>OLOFSTRÖM</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49301-2022</t>
        </is>
      </c>
      <c r="B1081" t="inlineStr">
        <is>
          <t>avverkningsanmälan</t>
        </is>
      </c>
      <c r="C1081" t="inlineStr">
        <is>
          <t>Föryngringsavverkning</t>
        </is>
      </c>
      <c r="D1081" s="1" t="n">
        <v>44858</v>
      </c>
      <c r="E1081" s="1" t="n">
        <v>46248</v>
      </c>
      <c r="F1081" t="inlineStr">
        <is>
          <t>BLEKINGE LÄN</t>
        </is>
      </c>
      <c r="G1081" t="inlineStr">
        <is>
          <t>OLOFSTRÖM</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49308-2022</t>
        </is>
      </c>
      <c r="B1082" t="inlineStr">
        <is>
          <t>avverkningsanmälan</t>
        </is>
      </c>
      <c r="C1082" t="inlineStr">
        <is>
          <t>Föryngringsavverkning</t>
        </is>
      </c>
      <c r="D1082" s="1" t="n">
        <v>44858</v>
      </c>
      <c r="E1082" s="1" t="n">
        <v>46248</v>
      </c>
      <c r="F1082" t="inlineStr">
        <is>
          <t>BLEKINGE LÄN</t>
        </is>
      </c>
      <c r="G1082" t="inlineStr">
        <is>
          <t>OLOFSTRÖM</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36368-2023</t>
        </is>
      </c>
      <c r="B1083" t="inlineStr">
        <is>
          <t>avverkningsanmälan</t>
        </is>
      </c>
      <c r="C1083" t="inlineStr">
        <is>
          <t>Föryngringsavverkning</t>
        </is>
      </c>
      <c r="D1083" s="1" t="n">
        <v>45152</v>
      </c>
      <c r="E1083" s="1" t="n">
        <v>46248</v>
      </c>
      <c r="F1083" t="inlineStr">
        <is>
          <t>BLEKINGE LÄN</t>
        </is>
      </c>
      <c r="G1083" t="inlineStr">
        <is>
          <t>RONNEBY</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54015-2021</t>
        </is>
      </c>
      <c r="B1084" t="inlineStr">
        <is>
          <t>avverkningsanmälan</t>
        </is>
      </c>
      <c r="C1084" t="inlineStr">
        <is>
          <t>Föryngringsavverkning</t>
        </is>
      </c>
      <c r="D1084" s="1" t="n">
        <v>44470</v>
      </c>
      <c r="E1084" s="1" t="n">
        <v>46248</v>
      </c>
      <c r="F1084" t="inlineStr">
        <is>
          <t>BLEKINGE LÄN</t>
        </is>
      </c>
      <c r="G1084" t="inlineStr">
        <is>
          <t>OLOFSTRÖM</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4538-2022</t>
        </is>
      </c>
      <c r="B1085" t="inlineStr">
        <is>
          <t>avverkningsanmälan</t>
        </is>
      </c>
      <c r="C1085" t="inlineStr">
        <is>
          <t>Föryngringsavverkning</t>
        </is>
      </c>
      <c r="D1085" s="1" t="n">
        <v>44590</v>
      </c>
      <c r="E1085" s="1" t="n">
        <v>46248</v>
      </c>
      <c r="F1085" t="inlineStr">
        <is>
          <t>BLEKINGE LÄN</t>
        </is>
      </c>
      <c r="G1085" t="inlineStr">
        <is>
          <t>OLOFSTRÖM</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35464-2024</t>
        </is>
      </c>
      <c r="B1086" t="inlineStr">
        <is>
          <t>avverkningsanmälan</t>
        </is>
      </c>
      <c r="C1086" t="inlineStr">
        <is>
          <t>Föryngringsavverkning</t>
        </is>
      </c>
      <c r="D1086" s="1" t="n">
        <v>45531</v>
      </c>
      <c r="E1086" s="1" t="n">
        <v>46248</v>
      </c>
      <c r="F1086" t="inlineStr">
        <is>
          <t>BLEKINGE LÄN</t>
        </is>
      </c>
      <c r="G1086" t="inlineStr">
        <is>
          <t>KARLSKRONA</t>
        </is>
      </c>
      <c r="I1086" t="n">
        <v>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32351-2023</t>
        </is>
      </c>
      <c r="B1087" t="inlineStr">
        <is>
          <t>avverkningsanmälan</t>
        </is>
      </c>
      <c r="C1087" t="inlineStr">
        <is>
          <t>Föryngringsavverkning</t>
        </is>
      </c>
      <c r="D1087" s="1" t="n">
        <v>45120</v>
      </c>
      <c r="E1087" s="1" t="n">
        <v>46248</v>
      </c>
      <c r="F1087" t="inlineStr">
        <is>
          <t>BLEKINGE LÄN</t>
        </is>
      </c>
      <c r="G1087" t="inlineStr">
        <is>
          <t>OLOFSTRÖM</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54956-2024</t>
        </is>
      </c>
      <c r="B1088" t="inlineStr">
        <is>
          <t>avverkningsanmälan</t>
        </is>
      </c>
      <c r="C1088" t="inlineStr">
        <is>
          <t>Avverkning för annat ändamål</t>
        </is>
      </c>
      <c r="D1088" s="1" t="n">
        <v>45619</v>
      </c>
      <c r="E1088" s="1" t="n">
        <v>46248</v>
      </c>
      <c r="F1088" t="inlineStr">
        <is>
          <t>BLEKINGE LÄN</t>
        </is>
      </c>
      <c r="G1088" t="inlineStr">
        <is>
          <t>KARLSKRONA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36964-2023</t>
        </is>
      </c>
      <c r="B1089" t="inlineStr">
        <is>
          <t>avverkningsanmälan</t>
        </is>
      </c>
      <c r="C1089" t="inlineStr">
        <is>
          <t>Föryngringsavverkning</t>
        </is>
      </c>
      <c r="D1089" s="1" t="n">
        <v>45154</v>
      </c>
      <c r="E1089" s="1" t="n">
        <v>46248</v>
      </c>
      <c r="F1089" t="inlineStr">
        <is>
          <t>BLEKINGE LÄN</t>
        </is>
      </c>
      <c r="G1089" t="inlineStr">
        <is>
          <t>KARLSKRONA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33557-2024</t>
        </is>
      </c>
      <c r="B1090" t="inlineStr">
        <is>
          <t>avverkningsanmälan</t>
        </is>
      </c>
      <c r="C1090" t="inlineStr">
        <is>
          <t>Föryngringsavverkning</t>
        </is>
      </c>
      <c r="D1090" s="1" t="n">
        <v>45519</v>
      </c>
      <c r="E1090" s="1" t="n">
        <v>46248</v>
      </c>
      <c r="F1090" t="inlineStr">
        <is>
          <t>BLEKINGE LÄN</t>
        </is>
      </c>
      <c r="G1090" t="inlineStr">
        <is>
          <t>KARLSHAMN</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40309-2023</t>
        </is>
      </c>
      <c r="B1091" t="inlineStr">
        <is>
          <t>avverkningsanmälan</t>
        </is>
      </c>
      <c r="C1091" t="inlineStr">
        <is>
          <t>Föryngringsavverkning</t>
        </is>
      </c>
      <c r="D1091" s="1" t="n">
        <v>45169</v>
      </c>
      <c r="E1091" s="1" t="n">
        <v>46248</v>
      </c>
      <c r="F1091" t="inlineStr">
        <is>
          <t>BLEKINGE LÄN</t>
        </is>
      </c>
      <c r="G1091" t="inlineStr">
        <is>
          <t>RONNEBY</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10980-2023</t>
        </is>
      </c>
      <c r="B1092" t="inlineStr">
        <is>
          <t>avverkningsanmälan</t>
        </is>
      </c>
      <c r="C1092" t="inlineStr">
        <is>
          <t>Föryngringsavverkning</t>
        </is>
      </c>
      <c r="D1092" s="1" t="n">
        <v>44991</v>
      </c>
      <c r="E1092" s="1" t="n">
        <v>46248</v>
      </c>
      <c r="F1092" t="inlineStr">
        <is>
          <t>BLEKINGE LÄN</t>
        </is>
      </c>
      <c r="G1092" t="inlineStr">
        <is>
          <t>KARLSKRONA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10629-2022</t>
        </is>
      </c>
      <c r="B1093" t="inlineStr">
        <is>
          <t>avverkningsanmälan</t>
        </is>
      </c>
      <c r="C1093" t="inlineStr">
        <is>
          <t>Föryngringsavverkning</t>
        </is>
      </c>
      <c r="D1093" s="1" t="n">
        <v>44624</v>
      </c>
      <c r="E1093" s="1" t="n">
        <v>46248</v>
      </c>
      <c r="F1093" t="inlineStr">
        <is>
          <t>BLEKINGE LÄN</t>
        </is>
      </c>
      <c r="G1093" t="inlineStr">
        <is>
          <t>KARLSKRONA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55995-2024</t>
        </is>
      </c>
      <c r="B1094" t="inlineStr">
        <is>
          <t>avverkningsanmälan</t>
        </is>
      </c>
      <c r="C1094" t="inlineStr">
        <is>
          <t>Föryngringsavverkning</t>
        </is>
      </c>
      <c r="D1094" s="1" t="n">
        <v>45623</v>
      </c>
      <c r="E1094" s="1" t="n">
        <v>46248</v>
      </c>
      <c r="F1094" t="inlineStr">
        <is>
          <t>BLEKINGE LÄN</t>
        </is>
      </c>
      <c r="G1094" t="inlineStr">
        <is>
          <t>OLOFSTRÖM</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2059-2023</t>
        </is>
      </c>
      <c r="B1095" t="inlineStr">
        <is>
          <t>avverkningsanmälan</t>
        </is>
      </c>
      <c r="C1095" t="inlineStr">
        <is>
          <t>Föryngringsavverkning</t>
        </is>
      </c>
      <c r="D1095" s="1" t="n">
        <v>44939</v>
      </c>
      <c r="E1095" s="1" t="n">
        <v>46248</v>
      </c>
      <c r="F1095" t="inlineStr">
        <is>
          <t>BLEKINGE LÄN</t>
        </is>
      </c>
      <c r="G1095" t="inlineStr">
        <is>
          <t>KARLSHAMN</t>
        </is>
      </c>
      <c r="I1095" t="n">
        <v>6.9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2062-2023</t>
        </is>
      </c>
      <c r="B1096" t="inlineStr">
        <is>
          <t>avverkningsanmälan</t>
        </is>
      </c>
      <c r="C1096" t="inlineStr">
        <is>
          <t>Föryngringsavverkning</t>
        </is>
      </c>
      <c r="D1096" s="1" t="n">
        <v>44939</v>
      </c>
      <c r="E1096" s="1" t="n">
        <v>46248</v>
      </c>
      <c r="F1096" t="inlineStr">
        <is>
          <t>BLEKINGE LÄN</t>
        </is>
      </c>
      <c r="G1096" t="inlineStr">
        <is>
          <t>KARLSHAMN</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2065-2023</t>
        </is>
      </c>
      <c r="B1097" t="inlineStr">
        <is>
          <t>avverkningsanmälan</t>
        </is>
      </c>
      <c r="C1097" t="inlineStr">
        <is>
          <t>Föryngringsavverkning</t>
        </is>
      </c>
      <c r="D1097" s="1" t="n">
        <v>44939</v>
      </c>
      <c r="E1097" s="1" t="n">
        <v>46248</v>
      </c>
      <c r="F1097" t="inlineStr">
        <is>
          <t>BLEKINGE LÄN</t>
        </is>
      </c>
      <c r="G1097" t="inlineStr">
        <is>
          <t>KARLSHAMN</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8452-2024</t>
        </is>
      </c>
      <c r="B1098" t="inlineStr">
        <is>
          <t>avverkningsanmälan</t>
        </is>
      </c>
      <c r="C1098" t="inlineStr">
        <is>
          <t>Föryngringsavverkning</t>
        </is>
      </c>
      <c r="D1098" s="1" t="n">
        <v>45354</v>
      </c>
      <c r="E1098" s="1" t="n">
        <v>46248</v>
      </c>
      <c r="F1098" t="inlineStr">
        <is>
          <t>BLEKINGE LÄN</t>
        </is>
      </c>
      <c r="G1098" t="inlineStr">
        <is>
          <t>RONNEBY</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35724-2024</t>
        </is>
      </c>
      <c r="B1099" t="inlineStr">
        <is>
          <t>avverkningsanmälan</t>
        </is>
      </c>
      <c r="C1099" t="inlineStr">
        <is>
          <t>Föryngringsavverkning</t>
        </is>
      </c>
      <c r="D1099" s="1" t="n">
        <v>45532</v>
      </c>
      <c r="E1099" s="1" t="n">
        <v>46248</v>
      </c>
      <c r="F1099" t="inlineStr">
        <is>
          <t>BLEKINGE LÄN</t>
        </is>
      </c>
      <c r="G1099" t="inlineStr">
        <is>
          <t>KARLSKRONA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2093-2023</t>
        </is>
      </c>
      <c r="B1100" t="inlineStr">
        <is>
          <t>avverkningsanmälan</t>
        </is>
      </c>
      <c r="C1100" t="inlineStr">
        <is>
          <t>Föryngringsavverkning</t>
        </is>
      </c>
      <c r="D1100" s="1" t="n">
        <v>44939</v>
      </c>
      <c r="E1100" s="1" t="n">
        <v>46248</v>
      </c>
      <c r="F1100" t="inlineStr">
        <is>
          <t>BLEKINGE LÄN</t>
        </is>
      </c>
      <c r="G1100" t="inlineStr">
        <is>
          <t>KARLSKRONA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2094-2023</t>
        </is>
      </c>
      <c r="B1101" t="inlineStr">
        <is>
          <t>avverkningsanmälan</t>
        </is>
      </c>
      <c r="C1101" t="inlineStr">
        <is>
          <t>Föryngringsavverkning</t>
        </is>
      </c>
      <c r="D1101" s="1" t="n">
        <v>44939</v>
      </c>
      <c r="E1101" s="1" t="n">
        <v>46248</v>
      </c>
      <c r="F1101" t="inlineStr">
        <is>
          <t>BLEKINGE LÄN</t>
        </is>
      </c>
      <c r="G1101" t="inlineStr">
        <is>
          <t>KARLSKRONA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14355-2024</t>
        </is>
      </c>
      <c r="B1102" t="inlineStr">
        <is>
          <t>avverkningsanmälan</t>
        </is>
      </c>
      <c r="C1102" t="inlineStr">
        <is>
          <t>Föryngringsavverkning</t>
        </is>
      </c>
      <c r="D1102" s="1" t="n">
        <v>45393</v>
      </c>
      <c r="E1102" s="1" t="n">
        <v>46248</v>
      </c>
      <c r="F1102" t="inlineStr">
        <is>
          <t>BLEKINGE LÄN</t>
        </is>
      </c>
      <c r="G1102" t="inlineStr">
        <is>
          <t>KARLSKRONA</t>
        </is>
      </c>
      <c r="I1102" t="n">
        <v>12.6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63981-2023</t>
        </is>
      </c>
      <c r="B1103" t="inlineStr">
        <is>
          <t>avverkningsanmälan</t>
        </is>
      </c>
      <c r="C1103" t="inlineStr">
        <is>
          <t>Föryngringsavverkning</t>
        </is>
      </c>
      <c r="D1103" s="1" t="n">
        <v>45278</v>
      </c>
      <c r="E1103" s="1" t="n">
        <v>46248</v>
      </c>
      <c r="F1103" t="inlineStr">
        <is>
          <t>BLEKINGE LÄN</t>
        </is>
      </c>
      <c r="G1103" t="inlineStr">
        <is>
          <t>KARLSKRONA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34457-2023</t>
        </is>
      </c>
      <c r="B1104" t="inlineStr">
        <is>
          <t>avverkningsanmälan</t>
        </is>
      </c>
      <c r="C1104" t="inlineStr">
        <is>
          <t>Föryngringsavverkning</t>
        </is>
      </c>
      <c r="D1104" s="1" t="n">
        <v>45139</v>
      </c>
      <c r="E1104" s="1" t="n">
        <v>46248</v>
      </c>
      <c r="F1104" t="inlineStr">
        <is>
          <t>BLEKINGE LÄN</t>
        </is>
      </c>
      <c r="G1104" t="inlineStr">
        <is>
          <t>RONNEBY</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68972-2021</t>
        </is>
      </c>
      <c r="B1105" t="inlineStr">
        <is>
          <t>avverkningsanmälan</t>
        </is>
      </c>
      <c r="C1105" t="inlineStr">
        <is>
          <t>Föryngringsavverkning</t>
        </is>
      </c>
      <c r="D1105" s="1" t="n">
        <v>44530</v>
      </c>
      <c r="E1105" s="1" t="n">
        <v>46248</v>
      </c>
      <c r="F1105" t="inlineStr">
        <is>
          <t>BLEKINGE LÄN</t>
        </is>
      </c>
      <c r="G1105" t="inlineStr">
        <is>
          <t>KARLSKRONA</t>
        </is>
      </c>
      <c r="I1105" t="n">
        <v>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41217-2023</t>
        </is>
      </c>
      <c r="B1106" t="inlineStr">
        <is>
          <t>avverkningsanmälan</t>
        </is>
      </c>
      <c r="C1106" t="inlineStr">
        <is>
          <t>Föryngringsavverkning</t>
        </is>
      </c>
      <c r="D1106" s="1" t="n">
        <v>45169</v>
      </c>
      <c r="E1106" s="1" t="n">
        <v>46248</v>
      </c>
      <c r="F1106" t="inlineStr">
        <is>
          <t>BLEKINGE LÄN</t>
        </is>
      </c>
      <c r="G1106" t="inlineStr">
        <is>
          <t>RONNEBY</t>
        </is>
      </c>
      <c r="I1106" t="n">
        <v>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55421-2023</t>
        </is>
      </c>
      <c r="B1107" t="inlineStr">
        <is>
          <t>avverkningsanmälan</t>
        </is>
      </c>
      <c r="C1107" t="inlineStr">
        <is>
          <t>Föryngringsavverkning</t>
        </is>
      </c>
      <c r="D1107" s="1" t="n">
        <v>45238</v>
      </c>
      <c r="E1107" s="1" t="n">
        <v>46248</v>
      </c>
      <c r="F1107" t="inlineStr">
        <is>
          <t>BLEKINGE LÄN</t>
        </is>
      </c>
      <c r="G1107" t="inlineStr">
        <is>
          <t>OLOFSTRÖM</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21811-2023</t>
        </is>
      </c>
      <c r="B1108" t="inlineStr">
        <is>
          <t>avverkningsanmälan</t>
        </is>
      </c>
      <c r="C1108" t="inlineStr">
        <is>
          <t>Föryngringsavverkning</t>
        </is>
      </c>
      <c r="D1108" s="1" t="n">
        <v>45068</v>
      </c>
      <c r="E1108" s="1" t="n">
        <v>46248</v>
      </c>
      <c r="F1108" t="inlineStr">
        <is>
          <t>BLEKINGE LÄN</t>
        </is>
      </c>
      <c r="G1108" t="inlineStr">
        <is>
          <t>KARLSHAMN</t>
        </is>
      </c>
      <c r="H1108" t="inlineStr">
        <is>
          <t>Kommuner</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18681-2023</t>
        </is>
      </c>
      <c r="B1109" t="inlineStr">
        <is>
          <t>avverkningsanmälan</t>
        </is>
      </c>
      <c r="C1109" t="inlineStr">
        <is>
          <t>Föryngringsavverkning</t>
        </is>
      </c>
      <c r="D1109" s="1" t="n">
        <v>45043</v>
      </c>
      <c r="E1109" s="1" t="n">
        <v>46248</v>
      </c>
      <c r="F1109" t="inlineStr">
        <is>
          <t>BLEKINGE LÄN</t>
        </is>
      </c>
      <c r="G1109" t="inlineStr">
        <is>
          <t>RONNEBY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50880-2024</t>
        </is>
      </c>
      <c r="B1110" t="inlineStr">
        <is>
          <t>avverkningsanmälan</t>
        </is>
      </c>
      <c r="C1110" t="inlineStr">
        <is>
          <t>Föryngringsavverkning</t>
        </is>
      </c>
      <c r="D1110" s="1" t="n">
        <v>45602</v>
      </c>
      <c r="E1110" s="1" t="n">
        <v>46248</v>
      </c>
      <c r="F1110" t="inlineStr">
        <is>
          <t>BLEKINGE LÄN</t>
        </is>
      </c>
      <c r="G1110" t="inlineStr">
        <is>
          <t>RONNEBY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14101-2023</t>
        </is>
      </c>
      <c r="B1111" t="inlineStr">
        <is>
          <t>avverkningsanmälan</t>
        </is>
      </c>
      <c r="C1111" t="inlineStr">
        <is>
          <t>Föryngringsavverkning</t>
        </is>
      </c>
      <c r="D1111" s="1" t="n">
        <v>45009</v>
      </c>
      <c r="E1111" s="1" t="n">
        <v>46248</v>
      </c>
      <c r="F1111" t="inlineStr">
        <is>
          <t>BLEKINGE LÄN</t>
        </is>
      </c>
      <c r="G1111" t="inlineStr">
        <is>
          <t>RONNEBY</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14102-2023</t>
        </is>
      </c>
      <c r="B1112" t="inlineStr">
        <is>
          <t>avverkningsanmälan</t>
        </is>
      </c>
      <c r="C1112" t="inlineStr">
        <is>
          <t>Föryngringsavverkning</t>
        </is>
      </c>
      <c r="D1112" s="1" t="n">
        <v>45009</v>
      </c>
      <c r="E1112" s="1" t="n">
        <v>46248</v>
      </c>
      <c r="F1112" t="inlineStr">
        <is>
          <t>BLEKINGE LÄN</t>
        </is>
      </c>
      <c r="G1112" t="inlineStr">
        <is>
          <t>RONNEBY</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47992-2023</t>
        </is>
      </c>
      <c r="B1113" t="inlineStr">
        <is>
          <t>avverkningsanmälan</t>
        </is>
      </c>
      <c r="C1113" t="inlineStr">
        <is>
          <t>Föryngringsavverkning</t>
        </is>
      </c>
      <c r="D1113" s="1" t="n">
        <v>45204</v>
      </c>
      <c r="E1113" s="1" t="n">
        <v>46248</v>
      </c>
      <c r="F1113" t="inlineStr">
        <is>
          <t>BLEKINGE LÄN</t>
        </is>
      </c>
      <c r="G1113" t="inlineStr">
        <is>
          <t>KARLSKRONA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50966-2023</t>
        </is>
      </c>
      <c r="B1114" t="inlineStr">
        <is>
          <t>avverkningsanmälan</t>
        </is>
      </c>
      <c r="C1114" t="inlineStr">
        <is>
          <t>Föryngringsavverkning</t>
        </is>
      </c>
      <c r="D1114" s="1" t="n">
        <v>45218</v>
      </c>
      <c r="E1114" s="1" t="n">
        <v>46248</v>
      </c>
      <c r="F1114" t="inlineStr">
        <is>
          <t>BLEKINGE LÄN</t>
        </is>
      </c>
      <c r="G1114" t="inlineStr">
        <is>
          <t>KARLSKRONA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54942-2021</t>
        </is>
      </c>
      <c r="B1115" t="inlineStr">
        <is>
          <t>avverkningsanmälan</t>
        </is>
      </c>
      <c r="C1115" t="inlineStr">
        <is>
          <t>Föryngringsavverkning</t>
        </is>
      </c>
      <c r="D1115" s="1" t="n">
        <v>44473</v>
      </c>
      <c r="E1115" s="1" t="n">
        <v>46248</v>
      </c>
      <c r="F1115" t="inlineStr">
        <is>
          <t>BLEKINGE LÄN</t>
        </is>
      </c>
      <c r="G1115" t="inlineStr">
        <is>
          <t>KARLSKRONA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24286-2023</t>
        </is>
      </c>
      <c r="B1116" t="inlineStr">
        <is>
          <t>avverkningsanmälan</t>
        </is>
      </c>
      <c r="C1116" t="inlineStr">
        <is>
          <t>Föryngringsavverkning</t>
        </is>
      </c>
      <c r="D1116" s="1" t="n">
        <v>45079</v>
      </c>
      <c r="E1116" s="1" t="n">
        <v>46248</v>
      </c>
      <c r="F1116" t="inlineStr">
        <is>
          <t>BLEKINGE LÄN</t>
        </is>
      </c>
      <c r="G1116" t="inlineStr">
        <is>
          <t>KARLSKRONA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26041-2023</t>
        </is>
      </c>
      <c r="B1117" t="inlineStr">
        <is>
          <t>avverkningsanmälan</t>
        </is>
      </c>
      <c r="C1117" t="inlineStr">
        <is>
          <t>Föryngringsavverkning</t>
        </is>
      </c>
      <c r="D1117" s="1" t="n">
        <v>45091</v>
      </c>
      <c r="E1117" s="1" t="n">
        <v>46248</v>
      </c>
      <c r="F1117" t="inlineStr">
        <is>
          <t>BLEKINGE LÄN</t>
        </is>
      </c>
      <c r="G1117" t="inlineStr">
        <is>
          <t>KARLSHAMN</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41640-2024</t>
        </is>
      </c>
      <c r="B1118" t="inlineStr">
        <is>
          <t>avverkningsanmälan</t>
        </is>
      </c>
      <c r="C1118" t="inlineStr">
        <is>
          <t>Föryngringsavverkning</t>
        </is>
      </c>
      <c r="D1118" s="1" t="n">
        <v>45560</v>
      </c>
      <c r="E1118" s="1" t="n">
        <v>46248</v>
      </c>
      <c r="F1118" t="inlineStr">
        <is>
          <t>BLEKINGE LÄN</t>
        </is>
      </c>
      <c r="G1118" t="inlineStr">
        <is>
          <t>OLOFSTRÖM</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59884-2023</t>
        </is>
      </c>
      <c r="B1119" t="inlineStr">
        <is>
          <t>avverkningsanmälan</t>
        </is>
      </c>
      <c r="C1119" t="inlineStr">
        <is>
          <t>Föryngringsavverkning</t>
        </is>
      </c>
      <c r="D1119" s="1" t="n">
        <v>45254</v>
      </c>
      <c r="E1119" s="1" t="n">
        <v>46248</v>
      </c>
      <c r="F1119" t="inlineStr">
        <is>
          <t>BLEKINGE LÄN</t>
        </is>
      </c>
      <c r="G1119" t="inlineStr">
        <is>
          <t>KARLSKRONA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4670-2024</t>
        </is>
      </c>
      <c r="B1120" t="inlineStr">
        <is>
          <t>avverkningsanmälan</t>
        </is>
      </c>
      <c r="C1120" t="inlineStr">
        <is>
          <t>Föryngringsavverkning</t>
        </is>
      </c>
      <c r="D1120" s="1" t="n">
        <v>45328</v>
      </c>
      <c r="E1120" s="1" t="n">
        <v>46248</v>
      </c>
      <c r="F1120" t="inlineStr">
        <is>
          <t>BLEKINGE LÄN</t>
        </is>
      </c>
      <c r="G1120" t="inlineStr">
        <is>
          <t>RONNEBY</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36577-2024</t>
        </is>
      </c>
      <c r="B1121" t="inlineStr">
        <is>
          <t>avverkningsanmälan</t>
        </is>
      </c>
      <c r="C1121" t="inlineStr">
        <is>
          <t>Föryngringsavverkning</t>
        </is>
      </c>
      <c r="D1121" s="1" t="n">
        <v>45537</v>
      </c>
      <c r="E1121" s="1" t="n">
        <v>46248</v>
      </c>
      <c r="F1121" t="inlineStr">
        <is>
          <t>BLEKINGE LÄN</t>
        </is>
      </c>
      <c r="G1121" t="inlineStr">
        <is>
          <t>KARLSKRONA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10902-2025</t>
        </is>
      </c>
      <c r="B1122" t="inlineStr">
        <is>
          <t>avverkningsanmälan</t>
        </is>
      </c>
      <c r="C1122" t="inlineStr">
        <is>
          <t>Föryngringsavverkning</t>
        </is>
      </c>
      <c r="D1122" s="1" t="n">
        <v>45722</v>
      </c>
      <c r="E1122" s="1" t="n">
        <v>46248</v>
      </c>
      <c r="F1122" t="inlineStr">
        <is>
          <t>BLEKINGE LÄN</t>
        </is>
      </c>
      <c r="G1122" t="inlineStr">
        <is>
          <t>KARLSHAMN</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18095-2023</t>
        </is>
      </c>
      <c r="B1123" t="inlineStr">
        <is>
          <t>avverkningsanmälan</t>
        </is>
      </c>
      <c r="C1123" t="inlineStr">
        <is>
          <t>Föryngringsavverkning</t>
        </is>
      </c>
      <c r="D1123" s="1" t="n">
        <v>45037</v>
      </c>
      <c r="E1123" s="1" t="n">
        <v>46248</v>
      </c>
      <c r="F1123" t="inlineStr">
        <is>
          <t>BLEKINGE LÄN</t>
        </is>
      </c>
      <c r="G1123" t="inlineStr">
        <is>
          <t>KARLSHAMN</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15622-2024</t>
        </is>
      </c>
      <c r="B1124" t="inlineStr">
        <is>
          <t>avverkningsanmälan</t>
        </is>
      </c>
      <c r="C1124" t="inlineStr">
        <is>
          <t>Föryngringsavverkning</t>
        </is>
      </c>
      <c r="D1124" s="1" t="n">
        <v>45402</v>
      </c>
      <c r="E1124" s="1" t="n">
        <v>46248</v>
      </c>
      <c r="F1124" t="inlineStr">
        <is>
          <t>BLEKINGE LÄN</t>
        </is>
      </c>
      <c r="G1124" t="inlineStr">
        <is>
          <t>RONNEBY</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56489-2021</t>
        </is>
      </c>
      <c r="B1125" t="inlineStr">
        <is>
          <t>avverkningsanmälan</t>
        </is>
      </c>
      <c r="C1125" t="inlineStr">
        <is>
          <t>Föryngringsavverkning</t>
        </is>
      </c>
      <c r="D1125" s="1" t="n">
        <v>44480</v>
      </c>
      <c r="E1125" s="1" t="n">
        <v>46248</v>
      </c>
      <c r="F1125" t="inlineStr">
        <is>
          <t>BLEKINGE LÄN</t>
        </is>
      </c>
      <c r="G1125" t="inlineStr">
        <is>
          <t>KARLSHAMN</t>
        </is>
      </c>
      <c r="I1125" t="n">
        <v>3.9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7255-2025</t>
        </is>
      </c>
      <c r="B1126" t="inlineStr">
        <is>
          <t>avverkningsanmälan</t>
        </is>
      </c>
      <c r="C1126" t="inlineStr">
        <is>
          <t>Föryngringsavverkning</t>
        </is>
      </c>
      <c r="D1126" s="1" t="n">
        <v>45702</v>
      </c>
      <c r="E1126" s="1" t="n">
        <v>46248</v>
      </c>
      <c r="F1126" t="inlineStr">
        <is>
          <t>BLEKINGE LÄN</t>
        </is>
      </c>
      <c r="G1126" t="inlineStr">
        <is>
          <t>RONNEBY</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30302-2022</t>
        </is>
      </c>
      <c r="B1127" t="inlineStr">
        <is>
          <t>avverkningsanmälan</t>
        </is>
      </c>
      <c r="C1127" t="inlineStr">
        <is>
          <t>Föryngringsavverkning</t>
        </is>
      </c>
      <c r="D1127" s="1" t="n">
        <v>44760</v>
      </c>
      <c r="E1127" s="1" t="n">
        <v>46248</v>
      </c>
      <c r="F1127" t="inlineStr">
        <is>
          <t>BLEKINGE LÄN</t>
        </is>
      </c>
      <c r="G1127" t="inlineStr">
        <is>
          <t>KARLSHAMN</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36730-2024</t>
        </is>
      </c>
      <c r="B1128" t="inlineStr">
        <is>
          <t>avverkningsanmälan</t>
        </is>
      </c>
      <c r="C1128" t="inlineStr">
        <is>
          <t>Föryngringsavverkning</t>
        </is>
      </c>
      <c r="D1128" s="1" t="n">
        <v>45537</v>
      </c>
      <c r="E1128" s="1" t="n">
        <v>46248</v>
      </c>
      <c r="F1128" t="inlineStr">
        <is>
          <t>BLEKINGE LÄN</t>
        </is>
      </c>
      <c r="G1128" t="inlineStr">
        <is>
          <t>KARLSKRONA</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6289-2022</t>
        </is>
      </c>
      <c r="B1129" t="inlineStr">
        <is>
          <t>avverkningsanmälan</t>
        </is>
      </c>
      <c r="C1129" t="inlineStr">
        <is>
          <t>Föryngringsavverkning</t>
        </is>
      </c>
      <c r="D1129" s="1" t="n">
        <v>44600</v>
      </c>
      <c r="E1129" s="1" t="n">
        <v>46248</v>
      </c>
      <c r="F1129" t="inlineStr">
        <is>
          <t>BLEKINGE LÄN</t>
        </is>
      </c>
      <c r="G1129" t="inlineStr">
        <is>
          <t>RONNEBY</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14618-2023</t>
        </is>
      </c>
      <c r="B1130" t="inlineStr">
        <is>
          <t>avverkningsanmälan</t>
        </is>
      </c>
      <c r="C1130" t="inlineStr">
        <is>
          <t>Föryngringsavverkning</t>
        </is>
      </c>
      <c r="D1130" s="1" t="n">
        <v>45013</v>
      </c>
      <c r="E1130" s="1" t="n">
        <v>46248</v>
      </c>
      <c r="F1130" t="inlineStr">
        <is>
          <t>BLEKINGE LÄN</t>
        </is>
      </c>
      <c r="G1130" t="inlineStr">
        <is>
          <t>KARLSKRONA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20164-2023</t>
        </is>
      </c>
      <c r="B1131" t="inlineStr">
        <is>
          <t>avverkningsanmälan</t>
        </is>
      </c>
      <c r="C1131" t="inlineStr">
        <is>
          <t>Föryngringsavverkning</t>
        </is>
      </c>
      <c r="D1131" s="1" t="n">
        <v>45053</v>
      </c>
      <c r="E1131" s="1" t="n">
        <v>46248</v>
      </c>
      <c r="F1131" t="inlineStr">
        <is>
          <t>BLEKINGE LÄN</t>
        </is>
      </c>
      <c r="G1131" t="inlineStr">
        <is>
          <t>SÖLVESBORG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53418-2022</t>
        </is>
      </c>
      <c r="B1132" t="inlineStr">
        <is>
          <t>avverkningsanmälan</t>
        </is>
      </c>
      <c r="C1132" t="inlineStr">
        <is>
          <t>Föryngringsavverkning</t>
        </is>
      </c>
      <c r="D1132" s="1" t="n">
        <v>44879</v>
      </c>
      <c r="E1132" s="1" t="n">
        <v>46248</v>
      </c>
      <c r="F1132" t="inlineStr">
        <is>
          <t>BLEKINGE LÄN</t>
        </is>
      </c>
      <c r="G1132" t="inlineStr">
        <is>
          <t>OLOFSTRÖM</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16783-2024</t>
        </is>
      </c>
      <c r="B1133" t="inlineStr">
        <is>
          <t>avverkningsanmälan</t>
        </is>
      </c>
      <c r="C1133" t="inlineStr">
        <is>
          <t>Föryngringsavverkning</t>
        </is>
      </c>
      <c r="D1133" s="1" t="n">
        <v>45411</v>
      </c>
      <c r="E1133" s="1" t="n">
        <v>46248</v>
      </c>
      <c r="F1133" t="inlineStr">
        <is>
          <t>BLEKINGE LÄN</t>
        </is>
      </c>
      <c r="G1133" t="inlineStr">
        <is>
          <t>KARLSKRONA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58305-2023</t>
        </is>
      </c>
      <c r="B1134" t="inlineStr">
        <is>
          <t>avverkningsanmälan</t>
        </is>
      </c>
      <c r="C1134" t="inlineStr">
        <is>
          <t>Föryngringsavverkning</t>
        </is>
      </c>
      <c r="D1134" s="1" t="n">
        <v>45245</v>
      </c>
      <c r="E1134" s="1" t="n">
        <v>46248</v>
      </c>
      <c r="F1134" t="inlineStr">
        <is>
          <t>BLEKINGE LÄN</t>
        </is>
      </c>
      <c r="G1134" t="inlineStr">
        <is>
          <t>OLOFSTRÖM</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14448-2023</t>
        </is>
      </c>
      <c r="B1135" t="inlineStr">
        <is>
          <t>avverkningsanmälan</t>
        </is>
      </c>
      <c r="C1135" t="inlineStr">
        <is>
          <t>Föryngringsavverkning</t>
        </is>
      </c>
      <c r="D1135" s="1" t="n">
        <v>45012</v>
      </c>
      <c r="E1135" s="1" t="n">
        <v>46248</v>
      </c>
      <c r="F1135" t="inlineStr">
        <is>
          <t>BLEKINGE LÄN</t>
        </is>
      </c>
      <c r="G1135" t="inlineStr">
        <is>
          <t>KARLSKRONA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50659-2024</t>
        </is>
      </c>
      <c r="B1136" t="inlineStr">
        <is>
          <t>avverkningsanmälan</t>
        </is>
      </c>
      <c r="C1136" t="inlineStr">
        <is>
          <t>Föryngringsavverkning</t>
        </is>
      </c>
      <c r="D1136" s="1" t="n">
        <v>45601</v>
      </c>
      <c r="E1136" s="1" t="n">
        <v>46248</v>
      </c>
      <c r="F1136" t="inlineStr">
        <is>
          <t>BLEKINGE LÄN</t>
        </is>
      </c>
      <c r="G1136" t="inlineStr">
        <is>
          <t>KARLSHAMN</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9391-2023</t>
        </is>
      </c>
      <c r="B1137" t="inlineStr">
        <is>
          <t>avverkningsanmälan</t>
        </is>
      </c>
      <c r="C1137" t="inlineStr">
        <is>
          <t>Föryngringsavverkning</t>
        </is>
      </c>
      <c r="D1137" s="1" t="n">
        <v>44981</v>
      </c>
      <c r="E1137" s="1" t="n">
        <v>46248</v>
      </c>
      <c r="F1137" t="inlineStr">
        <is>
          <t>BLEKINGE LÄN</t>
        </is>
      </c>
      <c r="G1137" t="inlineStr">
        <is>
          <t>KARLSHAMN</t>
        </is>
      </c>
      <c r="H1137" t="inlineStr">
        <is>
          <t>Sveaskog</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31758-2023</t>
        </is>
      </c>
      <c r="B1138" t="inlineStr">
        <is>
          <t>avverkningsanmälan</t>
        </is>
      </c>
      <c r="C1138" t="inlineStr">
        <is>
          <t>Föryngringsavverkning</t>
        </is>
      </c>
      <c r="D1138" s="1" t="n">
        <v>45118</v>
      </c>
      <c r="E1138" s="1" t="n">
        <v>46248</v>
      </c>
      <c r="F1138" t="inlineStr">
        <is>
          <t>BLEKINGE LÄN</t>
        </is>
      </c>
      <c r="G1138" t="inlineStr">
        <is>
          <t>RONNEBY</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44752-2023</t>
        </is>
      </c>
      <c r="B1139" t="inlineStr">
        <is>
          <t>avverkningsanmälan</t>
        </is>
      </c>
      <c r="C1139" t="inlineStr">
        <is>
          <t>Föryngringsavverkning</t>
        </is>
      </c>
      <c r="D1139" s="1" t="n">
        <v>45184</v>
      </c>
      <c r="E1139" s="1" t="n">
        <v>46248</v>
      </c>
      <c r="F1139" t="inlineStr">
        <is>
          <t>BLEKINGE LÄN</t>
        </is>
      </c>
      <c r="G1139" t="inlineStr">
        <is>
          <t>SÖLVESBORG</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6238-2025</t>
        </is>
      </c>
      <c r="B1140" t="inlineStr">
        <is>
          <t>avverkningsanmälan</t>
        </is>
      </c>
      <c r="C1140" t="inlineStr">
        <is>
          <t>Föryngringsavverkning</t>
        </is>
      </c>
      <c r="D1140" s="1" t="n">
        <v>45697</v>
      </c>
      <c r="E1140" s="1" t="n">
        <v>46248</v>
      </c>
      <c r="F1140" t="inlineStr">
        <is>
          <t>BLEKINGE LÄN</t>
        </is>
      </c>
      <c r="G1140" t="inlineStr">
        <is>
          <t>KARLSKRONA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37394-2022</t>
        </is>
      </c>
      <c r="B1141" t="inlineStr">
        <is>
          <t>avverkningsanmälan</t>
        </is>
      </c>
      <c r="C1141" t="inlineStr">
        <is>
          <t>Föryngringsavverkning</t>
        </is>
      </c>
      <c r="D1141" s="1" t="n">
        <v>44809</v>
      </c>
      <c r="E1141" s="1" t="n">
        <v>46248</v>
      </c>
      <c r="F1141" t="inlineStr">
        <is>
          <t>BLEKINGE LÄN</t>
        </is>
      </c>
      <c r="G1141" t="inlineStr">
        <is>
          <t>KARLSKRONA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42389-2021</t>
        </is>
      </c>
      <c r="B1142" t="inlineStr">
        <is>
          <t>avverkningsanmälan</t>
        </is>
      </c>
      <c r="C1142" t="inlineStr">
        <is>
          <t>Föryngringsavverkning</t>
        </is>
      </c>
      <c r="D1142" s="1" t="n">
        <v>44427</v>
      </c>
      <c r="E1142" s="1" t="n">
        <v>46248</v>
      </c>
      <c r="F1142" t="inlineStr">
        <is>
          <t>BLEKINGE LÄN</t>
        </is>
      </c>
      <c r="G1142" t="inlineStr">
        <is>
          <t>RONNEBY</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19105-2023</t>
        </is>
      </c>
      <c r="B1143" t="inlineStr">
        <is>
          <t>avverkningsanmälan</t>
        </is>
      </c>
      <c r="C1143" t="inlineStr">
        <is>
          <t>Föryngringsavverkning</t>
        </is>
      </c>
      <c r="D1143" s="1" t="n">
        <v>45048</v>
      </c>
      <c r="E1143" s="1" t="n">
        <v>46248</v>
      </c>
      <c r="F1143" t="inlineStr">
        <is>
          <t>BLEKINGE LÄN</t>
        </is>
      </c>
      <c r="G1143" t="inlineStr">
        <is>
          <t>KARLSKRONA</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6199-2025</t>
        </is>
      </c>
      <c r="B1144" t="inlineStr">
        <is>
          <t>avverkningsanmälan</t>
        </is>
      </c>
      <c r="C1144" t="inlineStr">
        <is>
          <t>Föryngringsavverkning</t>
        </is>
      </c>
      <c r="D1144" s="1" t="n">
        <v>45698</v>
      </c>
      <c r="E1144" s="1" t="n">
        <v>46248</v>
      </c>
      <c r="F1144" t="inlineStr">
        <is>
          <t>BLEKINGE LÄN</t>
        </is>
      </c>
      <c r="G1144" t="inlineStr">
        <is>
          <t>KARLSKRONA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42167-2023</t>
        </is>
      </c>
      <c r="B1145" t="inlineStr">
        <is>
          <t>avverkningsanmälan</t>
        </is>
      </c>
      <c r="C1145" t="inlineStr">
        <is>
          <t>Föryngringsavverkning</t>
        </is>
      </c>
      <c r="D1145" s="1" t="n">
        <v>45178</v>
      </c>
      <c r="E1145" s="1" t="n">
        <v>46248</v>
      </c>
      <c r="F1145" t="inlineStr">
        <is>
          <t>BLEKINGE LÄN</t>
        </is>
      </c>
      <c r="G1145" t="inlineStr">
        <is>
          <t>RONNEBY</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42174-2023</t>
        </is>
      </c>
      <c r="B1146" t="inlineStr">
        <is>
          <t>avverkningsanmälan</t>
        </is>
      </c>
      <c r="C1146" t="inlineStr">
        <is>
          <t>Föryngringsavverkning</t>
        </is>
      </c>
      <c r="D1146" s="1" t="n">
        <v>45178</v>
      </c>
      <c r="E1146" s="1" t="n">
        <v>46248</v>
      </c>
      <c r="F1146" t="inlineStr">
        <is>
          <t>BLEKINGE LÄN</t>
        </is>
      </c>
      <c r="G1146" t="inlineStr">
        <is>
          <t>KARLSKRONA</t>
        </is>
      </c>
      <c r="I1146" t="n">
        <v>4.6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3328-2022</t>
        </is>
      </c>
      <c r="B1147" t="inlineStr">
        <is>
          <t>avverkningsanmälan</t>
        </is>
      </c>
      <c r="C1147" t="inlineStr">
        <is>
          <t>Föryngringsavverkning</t>
        </is>
      </c>
      <c r="D1147" s="1" t="n">
        <v>44585</v>
      </c>
      <c r="E1147" s="1" t="n">
        <v>46248</v>
      </c>
      <c r="F1147" t="inlineStr">
        <is>
          <t>BLEKINGE LÄN</t>
        </is>
      </c>
      <c r="G1147" t="inlineStr">
        <is>
          <t>KARLSKRONA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8094-2022</t>
        </is>
      </c>
      <c r="B1148" t="inlineStr">
        <is>
          <t>avverkningsanmälan</t>
        </is>
      </c>
      <c r="C1148" t="inlineStr">
        <is>
          <t>Föryngringsavverkning</t>
        </is>
      </c>
      <c r="D1148" s="1" t="n">
        <v>44609</v>
      </c>
      <c r="E1148" s="1" t="n">
        <v>46248</v>
      </c>
      <c r="F1148" t="inlineStr">
        <is>
          <t>BLEKINGE LÄN</t>
        </is>
      </c>
      <c r="G1148" t="inlineStr">
        <is>
          <t>KARLSKRONA</t>
        </is>
      </c>
      <c r="H1148" t="inlineStr">
        <is>
          <t>Kommuner</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8104-2022</t>
        </is>
      </c>
      <c r="B1149" t="inlineStr">
        <is>
          <t>avverkningsanmälan</t>
        </is>
      </c>
      <c r="C1149" t="inlineStr">
        <is>
          <t>Föryngringsavverkning</t>
        </is>
      </c>
      <c r="D1149" s="1" t="n">
        <v>44609</v>
      </c>
      <c r="E1149" s="1" t="n">
        <v>46248</v>
      </c>
      <c r="F1149" t="inlineStr">
        <is>
          <t>BLEKINGE LÄN</t>
        </is>
      </c>
      <c r="G1149" t="inlineStr">
        <is>
          <t>KARLSKRONA</t>
        </is>
      </c>
      <c r="H1149" t="inlineStr">
        <is>
          <t>Kommuner</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41204-2022</t>
        </is>
      </c>
      <c r="B1150" t="inlineStr">
        <is>
          <t>avverkningsanmälan</t>
        </is>
      </c>
      <c r="C1150" t="inlineStr">
        <is>
          <t>Föryngringsavverkning</t>
        </is>
      </c>
      <c r="D1150" s="1" t="n">
        <v>44825</v>
      </c>
      <c r="E1150" s="1" t="n">
        <v>46248</v>
      </c>
      <c r="F1150" t="inlineStr">
        <is>
          <t>BLEKINGE LÄN</t>
        </is>
      </c>
      <c r="G1150" t="inlineStr">
        <is>
          <t>KARLSKRONA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61329-2024</t>
        </is>
      </c>
      <c r="B1151" t="inlineStr">
        <is>
          <t>avverkningsanmälan</t>
        </is>
      </c>
      <c r="C1151" t="inlineStr">
        <is>
          <t>Föryngringsavverkning</t>
        </is>
      </c>
      <c r="D1151" s="1" t="n">
        <v>45646</v>
      </c>
      <c r="E1151" s="1" t="n">
        <v>46248</v>
      </c>
      <c r="F1151" t="inlineStr">
        <is>
          <t>BLEKINGE LÄN</t>
        </is>
      </c>
      <c r="G1151" t="inlineStr">
        <is>
          <t>RONNEBY</t>
        </is>
      </c>
      <c r="I1151" t="n">
        <v>8.4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45689-2023</t>
        </is>
      </c>
      <c r="B1152" t="inlineStr">
        <is>
          <t>avverkningsanmälan</t>
        </is>
      </c>
      <c r="C1152" t="inlineStr">
        <is>
          <t>Föryngringsavverkning</t>
        </is>
      </c>
      <c r="D1152" s="1" t="n">
        <v>45195</v>
      </c>
      <c r="E1152" s="1" t="n">
        <v>46248</v>
      </c>
      <c r="F1152" t="inlineStr">
        <is>
          <t>BLEKINGE LÄN</t>
        </is>
      </c>
      <c r="G1152" t="inlineStr">
        <is>
          <t>OLOFSTRÖM</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33633-2023</t>
        </is>
      </c>
      <c r="B1153" t="inlineStr">
        <is>
          <t>avverkningsanmälan</t>
        </is>
      </c>
      <c r="C1153" t="inlineStr">
        <is>
          <t>Föryngringsavverkning</t>
        </is>
      </c>
      <c r="D1153" s="1" t="n">
        <v>45119</v>
      </c>
      <c r="E1153" s="1" t="n">
        <v>46248</v>
      </c>
      <c r="F1153" t="inlineStr">
        <is>
          <t>BLEKINGE LÄN</t>
        </is>
      </c>
      <c r="G1153" t="inlineStr">
        <is>
          <t>KARLSHAMN</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29914-2022</t>
        </is>
      </c>
      <c r="B1154" t="inlineStr">
        <is>
          <t>avverkningsanmälan</t>
        </is>
      </c>
      <c r="C1154" t="inlineStr">
        <is>
          <t>Föryngringsavverkning</t>
        </is>
      </c>
      <c r="D1154" s="1" t="n">
        <v>44756</v>
      </c>
      <c r="E1154" s="1" t="n">
        <v>46248</v>
      </c>
      <c r="F1154" t="inlineStr">
        <is>
          <t>BLEKINGE LÄN</t>
        </is>
      </c>
      <c r="G1154" t="inlineStr">
        <is>
          <t>KARLSKRONA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24946-2023</t>
        </is>
      </c>
      <c r="B1155" t="inlineStr">
        <is>
          <t>avverkningsanmälan</t>
        </is>
      </c>
      <c r="C1155" t="inlineStr">
        <is>
          <t>Föryngringsavverkning</t>
        </is>
      </c>
      <c r="D1155" s="1" t="n">
        <v>45085</v>
      </c>
      <c r="E1155" s="1" t="n">
        <v>46248</v>
      </c>
      <c r="F1155" t="inlineStr">
        <is>
          <t>BLEKINGE LÄN</t>
        </is>
      </c>
      <c r="G1155" t="inlineStr">
        <is>
          <t>KARLSKRONA</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24948-2023</t>
        </is>
      </c>
      <c r="B1156" t="inlineStr">
        <is>
          <t>avverkningsanmälan</t>
        </is>
      </c>
      <c r="C1156" t="inlineStr">
        <is>
          <t>Föryngringsavverkning</t>
        </is>
      </c>
      <c r="D1156" s="1" t="n">
        <v>45085</v>
      </c>
      <c r="E1156" s="1" t="n">
        <v>46248</v>
      </c>
      <c r="F1156" t="inlineStr">
        <is>
          <t>BLEKINGE LÄN</t>
        </is>
      </c>
      <c r="G1156" t="inlineStr">
        <is>
          <t>KARLSKRONA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8148-2024</t>
        </is>
      </c>
      <c r="B1157" t="inlineStr">
        <is>
          <t>avverkningsanmälan</t>
        </is>
      </c>
      <c r="C1157" t="inlineStr">
        <is>
          <t>Föryngringsavverkning</t>
        </is>
      </c>
      <c r="D1157" s="1" t="n">
        <v>45351</v>
      </c>
      <c r="E1157" s="1" t="n">
        <v>46248</v>
      </c>
      <c r="F1157" t="inlineStr">
        <is>
          <t>BLEKINGE LÄN</t>
        </is>
      </c>
      <c r="G1157" t="inlineStr">
        <is>
          <t>KARLSHAMN</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21148-2023</t>
        </is>
      </c>
      <c r="B1158" t="inlineStr">
        <is>
          <t>avverkningsanmälan</t>
        </is>
      </c>
      <c r="C1158" t="inlineStr">
        <is>
          <t>Föryngringsavverkning</t>
        </is>
      </c>
      <c r="D1158" s="1" t="n">
        <v>45062</v>
      </c>
      <c r="E1158" s="1" t="n">
        <v>46248</v>
      </c>
      <c r="F1158" t="inlineStr">
        <is>
          <t>BLEKINGE LÄN</t>
        </is>
      </c>
      <c r="G1158" t="inlineStr">
        <is>
          <t>KARLSKRONA</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21203-2023</t>
        </is>
      </c>
      <c r="B1159" t="inlineStr">
        <is>
          <t>avverkningsanmälan</t>
        </is>
      </c>
      <c r="C1159" t="inlineStr">
        <is>
          <t>Föryngringsavverkning</t>
        </is>
      </c>
      <c r="D1159" s="1" t="n">
        <v>45062</v>
      </c>
      <c r="E1159" s="1" t="n">
        <v>46248</v>
      </c>
      <c r="F1159" t="inlineStr">
        <is>
          <t>BLEKINGE LÄN</t>
        </is>
      </c>
      <c r="G1159" t="inlineStr">
        <is>
          <t>RONNEBY</t>
        </is>
      </c>
      <c r="H1159" t="inlineStr">
        <is>
          <t>Kommuner</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58040-2022</t>
        </is>
      </c>
      <c r="B1160" t="inlineStr">
        <is>
          <t>avverkningsanmälan</t>
        </is>
      </c>
      <c r="C1160" t="inlineStr">
        <is>
          <t>Föryngringsavverkning</t>
        </is>
      </c>
      <c r="D1160" s="1" t="n">
        <v>44893</v>
      </c>
      <c r="E1160" s="1" t="n">
        <v>46248</v>
      </c>
      <c r="F1160" t="inlineStr">
        <is>
          <t>BLEKINGE LÄN</t>
        </is>
      </c>
      <c r="G1160" t="inlineStr">
        <is>
          <t>KARLSKRONA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59981-2023</t>
        </is>
      </c>
      <c r="B1161" t="inlineStr">
        <is>
          <t>avverkningsanmälan</t>
        </is>
      </c>
      <c r="C1161" t="inlineStr">
        <is>
          <t>Föryngringsavverkning</t>
        </is>
      </c>
      <c r="D1161" s="1" t="n">
        <v>45257</v>
      </c>
      <c r="E1161" s="1" t="n">
        <v>46248</v>
      </c>
      <c r="F1161" t="inlineStr">
        <is>
          <t>BLEKINGE LÄN</t>
        </is>
      </c>
      <c r="G1161" t="inlineStr">
        <is>
          <t>KARLSKRONA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46884-2023</t>
        </is>
      </c>
      <c r="B1162" t="inlineStr">
        <is>
          <t>avverkningsanmälan</t>
        </is>
      </c>
      <c r="C1162" t="inlineStr">
        <is>
          <t>Föryngringsavverkning</t>
        </is>
      </c>
      <c r="D1162" s="1" t="n">
        <v>45201</v>
      </c>
      <c r="E1162" s="1" t="n">
        <v>46248</v>
      </c>
      <c r="F1162" t="inlineStr">
        <is>
          <t>BLEKINGE LÄN</t>
        </is>
      </c>
      <c r="G1162" t="inlineStr">
        <is>
          <t>RONNEBY</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10327-2025</t>
        </is>
      </c>
      <c r="B1163" t="inlineStr">
        <is>
          <t>avverkningsanmälan</t>
        </is>
      </c>
      <c r="C1163" t="inlineStr">
        <is>
          <t>Föryngringsavverkning</t>
        </is>
      </c>
      <c r="D1163" s="1" t="n">
        <v>45720</v>
      </c>
      <c r="E1163" s="1" t="n">
        <v>46248</v>
      </c>
      <c r="F1163" t="inlineStr">
        <is>
          <t>BLEKINGE LÄN</t>
        </is>
      </c>
      <c r="G1163" t="inlineStr">
        <is>
          <t>OLOFSTRÖM</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46900-2023</t>
        </is>
      </c>
      <c r="B1164" t="inlineStr">
        <is>
          <t>avverkningsanmälan</t>
        </is>
      </c>
      <c r="C1164" t="inlineStr">
        <is>
          <t>Föryngringsavverkning</t>
        </is>
      </c>
      <c r="D1164" s="1" t="n">
        <v>45195</v>
      </c>
      <c r="E1164" s="1" t="n">
        <v>46248</v>
      </c>
      <c r="F1164" t="inlineStr">
        <is>
          <t>BLEKINGE LÄN</t>
        </is>
      </c>
      <c r="G1164" t="inlineStr">
        <is>
          <t>RONNEBY</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14496-2024</t>
        </is>
      </c>
      <c r="B1165" t="inlineStr">
        <is>
          <t>avverkningsanmälan</t>
        </is>
      </c>
      <c r="C1165" t="inlineStr">
        <is>
          <t>Föryngringsavverkning</t>
        </is>
      </c>
      <c r="D1165" s="1" t="n">
        <v>45394</v>
      </c>
      <c r="E1165" s="1" t="n">
        <v>46248</v>
      </c>
      <c r="F1165" t="inlineStr">
        <is>
          <t>BLEKINGE LÄN</t>
        </is>
      </c>
      <c r="G1165" t="inlineStr">
        <is>
          <t>KARLSKRONA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28048-2023</t>
        </is>
      </c>
      <c r="B1166" t="inlineStr">
        <is>
          <t>avverkningsanmälan</t>
        </is>
      </c>
      <c r="C1166" t="inlineStr">
        <is>
          <t>Föryngringsavverkning</t>
        </is>
      </c>
      <c r="D1166" s="1" t="n">
        <v>45099</v>
      </c>
      <c r="E1166" s="1" t="n">
        <v>46248</v>
      </c>
      <c r="F1166" t="inlineStr">
        <is>
          <t>BLEKINGE LÄN</t>
        </is>
      </c>
      <c r="G1166" t="inlineStr">
        <is>
          <t>RONNEBY</t>
        </is>
      </c>
      <c r="I1166" t="n">
        <v>14.4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23679-2023</t>
        </is>
      </c>
      <c r="B1167" t="inlineStr">
        <is>
          <t>avverkningsanmälan</t>
        </is>
      </c>
      <c r="C1167" t="inlineStr">
        <is>
          <t>Föryngringsavverkning</t>
        </is>
      </c>
      <c r="D1167" s="1" t="n">
        <v>45077</v>
      </c>
      <c r="E1167" s="1" t="n">
        <v>46248</v>
      </c>
      <c r="F1167" t="inlineStr">
        <is>
          <t>BLEKINGE LÄN</t>
        </is>
      </c>
      <c r="G1167" t="inlineStr">
        <is>
          <t>KARLSKRONA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16077-2023</t>
        </is>
      </c>
      <c r="B1168" t="inlineStr">
        <is>
          <t>avverkningsanmälan</t>
        </is>
      </c>
      <c r="C1168" t="inlineStr">
        <is>
          <t>Föryngringsavverkning</t>
        </is>
      </c>
      <c r="D1168" s="1" t="n">
        <v>45027</v>
      </c>
      <c r="E1168" s="1" t="n">
        <v>46248</v>
      </c>
      <c r="F1168" t="inlineStr">
        <is>
          <t>BLEKINGE LÄN</t>
        </is>
      </c>
      <c r="G1168" t="inlineStr">
        <is>
          <t>RONNEBY</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3618-2022</t>
        </is>
      </c>
      <c r="B1169" t="inlineStr">
        <is>
          <t>avverkningsanmälan</t>
        </is>
      </c>
      <c r="C1169" t="inlineStr">
        <is>
          <t>Föryngringsavverkning</t>
        </is>
      </c>
      <c r="D1169" s="1" t="n">
        <v>44586</v>
      </c>
      <c r="E1169" s="1" t="n">
        <v>46248</v>
      </c>
      <c r="F1169" t="inlineStr">
        <is>
          <t>BLEKINGE LÄN</t>
        </is>
      </c>
      <c r="G1169" t="inlineStr">
        <is>
          <t>KARLSKRONA</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7129-2024</t>
        </is>
      </c>
      <c r="B1170" t="inlineStr">
        <is>
          <t>avverkningsanmälan</t>
        </is>
      </c>
      <c r="C1170" t="inlineStr">
        <is>
          <t>Föryngringsavverkning</t>
        </is>
      </c>
      <c r="D1170" s="1" t="n">
        <v>45344</v>
      </c>
      <c r="E1170" s="1" t="n">
        <v>46248</v>
      </c>
      <c r="F1170" t="inlineStr">
        <is>
          <t>BLEKINGE LÄN</t>
        </is>
      </c>
      <c r="G1170" t="inlineStr">
        <is>
          <t>KARLSKRONA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2832-2023</t>
        </is>
      </c>
      <c r="B1171" t="inlineStr">
        <is>
          <t>avverkningsanmälan</t>
        </is>
      </c>
      <c r="C1171" t="inlineStr">
        <is>
          <t>Föryngringsavverkning</t>
        </is>
      </c>
      <c r="D1171" s="1" t="n">
        <v>44945</v>
      </c>
      <c r="E1171" s="1" t="n">
        <v>46248</v>
      </c>
      <c r="F1171" t="inlineStr">
        <is>
          <t>BLEKINGE LÄN</t>
        </is>
      </c>
      <c r="G1171" t="inlineStr">
        <is>
          <t>SÖLVESBORG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2711-2023</t>
        </is>
      </c>
      <c r="B1172" t="inlineStr">
        <is>
          <t>avverkningsanmälan</t>
        </is>
      </c>
      <c r="C1172" t="inlineStr">
        <is>
          <t>Föryngringsavverkning</t>
        </is>
      </c>
      <c r="D1172" s="1" t="n">
        <v>44942</v>
      </c>
      <c r="E1172" s="1" t="n">
        <v>46248</v>
      </c>
      <c r="F1172" t="inlineStr">
        <is>
          <t>BLEKINGE LÄN</t>
        </is>
      </c>
      <c r="G1172" t="inlineStr">
        <is>
          <t>KARLSKRONA</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51455-2024</t>
        </is>
      </c>
      <c r="B1173" t="inlineStr">
        <is>
          <t>avverkningsanmälan</t>
        </is>
      </c>
      <c r="C1173" t="inlineStr">
        <is>
          <t>Föryngringsavverkning</t>
        </is>
      </c>
      <c r="D1173" s="1" t="n">
        <v>45604</v>
      </c>
      <c r="E1173" s="1" t="n">
        <v>46248</v>
      </c>
      <c r="F1173" t="inlineStr">
        <is>
          <t>BLEKINGE LÄN</t>
        </is>
      </c>
      <c r="G1173" t="inlineStr">
        <is>
          <t>KARLSKRONA</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50921-2024</t>
        </is>
      </c>
      <c r="B1174" t="inlineStr">
        <is>
          <t>avverkningsanmälan</t>
        </is>
      </c>
      <c r="C1174" t="inlineStr">
        <is>
          <t>Föryngringsavverkning</t>
        </is>
      </c>
      <c r="D1174" s="1" t="n">
        <v>45602</v>
      </c>
      <c r="E1174" s="1" t="n">
        <v>46248</v>
      </c>
      <c r="F1174" t="inlineStr">
        <is>
          <t>BLEKINGE LÄN</t>
        </is>
      </c>
      <c r="G1174" t="inlineStr">
        <is>
          <t>RONNEBY</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13619-2023</t>
        </is>
      </c>
      <c r="B1175" t="inlineStr">
        <is>
          <t>avverkningsanmälan</t>
        </is>
      </c>
      <c r="C1175" t="inlineStr">
        <is>
          <t>Föryngringsavverkning</t>
        </is>
      </c>
      <c r="D1175" s="1" t="n">
        <v>45006</v>
      </c>
      <c r="E1175" s="1" t="n">
        <v>46248</v>
      </c>
      <c r="F1175" t="inlineStr">
        <is>
          <t>BLEKINGE LÄN</t>
        </is>
      </c>
      <c r="G1175" t="inlineStr">
        <is>
          <t>RONNEBY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29913-2023</t>
        </is>
      </c>
      <c r="B1176" t="inlineStr">
        <is>
          <t>avverkningsanmälan</t>
        </is>
      </c>
      <c r="C1176" t="inlineStr">
        <is>
          <t>Föryngringsavverkning</t>
        </is>
      </c>
      <c r="D1176" s="1" t="n">
        <v>45107</v>
      </c>
      <c r="E1176" s="1" t="n">
        <v>46248</v>
      </c>
      <c r="F1176" t="inlineStr">
        <is>
          <t>BLEKINGE LÄN</t>
        </is>
      </c>
      <c r="G1176" t="inlineStr">
        <is>
          <t>KARLSKRONA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24969-2022</t>
        </is>
      </c>
      <c r="B1177" t="inlineStr">
        <is>
          <t>avverkningsanmälan</t>
        </is>
      </c>
      <c r="C1177" t="inlineStr">
        <is>
          <t>Föryngringsavverkning</t>
        </is>
      </c>
      <c r="D1177" s="1" t="n">
        <v>44728</v>
      </c>
      <c r="E1177" s="1" t="n">
        <v>46248</v>
      </c>
      <c r="F1177" t="inlineStr">
        <is>
          <t>BLEKINGE LÄN</t>
        </is>
      </c>
      <c r="G1177" t="inlineStr">
        <is>
          <t>KARLSKRONA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4012-2023</t>
        </is>
      </c>
      <c r="B1178" t="inlineStr">
        <is>
          <t>avverkningsanmälan</t>
        </is>
      </c>
      <c r="C1178" t="inlineStr">
        <is>
          <t>Föryngringsavverkning</t>
        </is>
      </c>
      <c r="D1178" s="1" t="n">
        <v>44952</v>
      </c>
      <c r="E1178" s="1" t="n">
        <v>46248</v>
      </c>
      <c r="F1178" t="inlineStr">
        <is>
          <t>BLEKINGE LÄN</t>
        </is>
      </c>
      <c r="G1178" t="inlineStr">
        <is>
          <t>KARLSHAMN</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40074-2022</t>
        </is>
      </c>
      <c r="B1179" t="inlineStr">
        <is>
          <t>avverkningsanmälan</t>
        </is>
      </c>
      <c r="C1179" t="inlineStr">
        <is>
          <t>Föryngringsavverkning</t>
        </is>
      </c>
      <c r="D1179" s="1" t="n">
        <v>44820</v>
      </c>
      <c r="E1179" s="1" t="n">
        <v>46248</v>
      </c>
      <c r="F1179" t="inlineStr">
        <is>
          <t>BLEKINGE LÄN</t>
        </is>
      </c>
      <c r="G1179" t="inlineStr">
        <is>
          <t>KARLSKRONA</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47823-2024</t>
        </is>
      </c>
      <c r="B1180" t="inlineStr">
        <is>
          <t>avverkningsanmälan</t>
        </is>
      </c>
      <c r="C1180" t="inlineStr">
        <is>
          <t>Föryngringsavverkning</t>
        </is>
      </c>
      <c r="D1180" s="1" t="n">
        <v>45588</v>
      </c>
      <c r="E1180" s="1" t="n">
        <v>46248</v>
      </c>
      <c r="F1180" t="inlineStr">
        <is>
          <t>BLEKINGE LÄN</t>
        </is>
      </c>
      <c r="G1180" t="inlineStr">
        <is>
          <t>RONNEBY</t>
        </is>
      </c>
      <c r="H1180" t="inlineStr">
        <is>
          <t>Kommuner</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12848-2022</t>
        </is>
      </c>
      <c r="B1181" t="inlineStr">
        <is>
          <t>avverkningsanmälan</t>
        </is>
      </c>
      <c r="C1181" t="inlineStr">
        <is>
          <t>Föryngringsavverkning</t>
        </is>
      </c>
      <c r="D1181" s="1" t="n">
        <v>44642</v>
      </c>
      <c r="E1181" s="1" t="n">
        <v>46248</v>
      </c>
      <c r="F1181" t="inlineStr">
        <is>
          <t>BLEKINGE LÄN</t>
        </is>
      </c>
      <c r="G1181" t="inlineStr">
        <is>
          <t>SÖLVESBORG</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48181-2023</t>
        </is>
      </c>
      <c r="B1182" t="inlineStr">
        <is>
          <t>avverkningsanmälan</t>
        </is>
      </c>
      <c r="C1182" t="inlineStr">
        <is>
          <t>Föryngringsavverkning</t>
        </is>
      </c>
      <c r="D1182" s="1" t="n">
        <v>45205</v>
      </c>
      <c r="E1182" s="1" t="n">
        <v>46248</v>
      </c>
      <c r="F1182" t="inlineStr">
        <is>
          <t>BLEKINGE LÄN</t>
        </is>
      </c>
      <c r="G1182" t="inlineStr">
        <is>
          <t>KARLSHAMN</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48186-2023</t>
        </is>
      </c>
      <c r="B1183" t="inlineStr">
        <is>
          <t>avverkningsanmälan</t>
        </is>
      </c>
      <c r="C1183" t="inlineStr">
        <is>
          <t>Föryngringsavverkning</t>
        </is>
      </c>
      <c r="D1183" s="1" t="n">
        <v>45205</v>
      </c>
      <c r="E1183" s="1" t="n">
        <v>46248</v>
      </c>
      <c r="F1183" t="inlineStr">
        <is>
          <t>BLEKINGE LÄN</t>
        </is>
      </c>
      <c r="G1183" t="inlineStr">
        <is>
          <t>KARLSHAMN</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5885-2025</t>
        </is>
      </c>
      <c r="B1184" t="inlineStr">
        <is>
          <t>avverkningsanmälan</t>
        </is>
      </c>
      <c r="C1184" t="inlineStr">
        <is>
          <t>Föryngringsavverkning</t>
        </is>
      </c>
      <c r="D1184" s="1" t="n">
        <v>45695</v>
      </c>
      <c r="E1184" s="1" t="n">
        <v>46248</v>
      </c>
      <c r="F1184" t="inlineStr">
        <is>
          <t>BLEKINGE LÄN</t>
        </is>
      </c>
      <c r="G1184" t="inlineStr">
        <is>
          <t>KARLSKRONA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12414-2024</t>
        </is>
      </c>
      <c r="B1185" t="inlineStr">
        <is>
          <t>avverkningsanmälan</t>
        </is>
      </c>
      <c r="C1185" t="inlineStr">
        <is>
          <t>Föryngringsavverkning</t>
        </is>
      </c>
      <c r="D1185" s="1" t="n">
        <v>45378</v>
      </c>
      <c r="E1185" s="1" t="n">
        <v>46248</v>
      </c>
      <c r="F1185" t="inlineStr">
        <is>
          <t>BLEKINGE LÄN</t>
        </is>
      </c>
      <c r="G1185" t="inlineStr">
        <is>
          <t>RONNEBY</t>
        </is>
      </c>
      <c r="I1185" t="n">
        <v>5.1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2169-2025</t>
        </is>
      </c>
      <c r="B1186" t="inlineStr">
        <is>
          <t>avverkningsanmälan</t>
        </is>
      </c>
      <c r="C1186" t="inlineStr">
        <is>
          <t>Föryngringsavverkning</t>
        </is>
      </c>
      <c r="D1186" s="1" t="n">
        <v>45673</v>
      </c>
      <c r="E1186" s="1" t="n">
        <v>46248</v>
      </c>
      <c r="F1186" t="inlineStr">
        <is>
          <t>BLEKINGE LÄN</t>
        </is>
      </c>
      <c r="G1186" t="inlineStr">
        <is>
          <t>KARLSKRONA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20594-2024</t>
        </is>
      </c>
      <c r="B1187" t="inlineStr">
        <is>
          <t>avverkningsanmälan</t>
        </is>
      </c>
      <c r="C1187" t="inlineStr">
        <is>
          <t>Föryngringsavverkning</t>
        </is>
      </c>
      <c r="D1187" s="1" t="n">
        <v>45436</v>
      </c>
      <c r="E1187" s="1" t="n">
        <v>46248</v>
      </c>
      <c r="F1187" t="inlineStr">
        <is>
          <t>BLEKINGE LÄN</t>
        </is>
      </c>
      <c r="G1187" t="inlineStr">
        <is>
          <t>RONNEBY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9953-2025</t>
        </is>
      </c>
      <c r="B1188" t="inlineStr">
        <is>
          <t>avverkningsanmälan</t>
        </is>
      </c>
      <c r="C1188" t="inlineStr">
        <is>
          <t>Föryngringsavverkning</t>
        </is>
      </c>
      <c r="D1188" s="1" t="n">
        <v>45719</v>
      </c>
      <c r="E1188" s="1" t="n">
        <v>46248</v>
      </c>
      <c r="F1188" t="inlineStr">
        <is>
          <t>BLEKINGE LÄN</t>
        </is>
      </c>
      <c r="G1188" t="inlineStr">
        <is>
          <t>RONNEBY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2096-2024</t>
        </is>
      </c>
      <c r="B1189" t="inlineStr">
        <is>
          <t>avverkningsanmälan</t>
        </is>
      </c>
      <c r="C1189" t="inlineStr">
        <is>
          <t>Föryngringsavverkning</t>
        </is>
      </c>
      <c r="D1189" s="1" t="n">
        <v>45309</v>
      </c>
      <c r="E1189" s="1" t="n">
        <v>46248</v>
      </c>
      <c r="F1189" t="inlineStr">
        <is>
          <t>BLEKINGE LÄN</t>
        </is>
      </c>
      <c r="G1189" t="inlineStr">
        <is>
          <t>KARLSKRONA</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46027-2023</t>
        </is>
      </c>
      <c r="B1190" t="inlineStr">
        <is>
          <t>avverkningsanmälan</t>
        </is>
      </c>
      <c r="C1190" t="inlineStr">
        <is>
          <t>Föryngringsavverkning</t>
        </is>
      </c>
      <c r="D1190" s="1" t="n">
        <v>45196</v>
      </c>
      <c r="E1190" s="1" t="n">
        <v>46248</v>
      </c>
      <c r="F1190" t="inlineStr">
        <is>
          <t>BLEKINGE LÄN</t>
        </is>
      </c>
      <c r="G1190" t="inlineStr">
        <is>
          <t>KARLSKRONA</t>
        </is>
      </c>
      <c r="I1190" t="n">
        <v>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8003-2024</t>
        </is>
      </c>
      <c r="B1191" t="inlineStr">
        <is>
          <t>avverkningsanmälan</t>
        </is>
      </c>
      <c r="C1191" t="inlineStr">
        <is>
          <t>Föryngringsavverkning</t>
        </is>
      </c>
      <c r="D1191" s="1" t="n">
        <v>45350</v>
      </c>
      <c r="E1191" s="1" t="n">
        <v>46248</v>
      </c>
      <c r="F1191" t="inlineStr">
        <is>
          <t>BLEKINGE LÄN</t>
        </is>
      </c>
      <c r="G1191" t="inlineStr">
        <is>
          <t>RONNEBY</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8004-2024</t>
        </is>
      </c>
      <c r="B1192" t="inlineStr">
        <is>
          <t>avverkningsanmälan</t>
        </is>
      </c>
      <c r="C1192" t="inlineStr">
        <is>
          <t>Föryngringsavverkning</t>
        </is>
      </c>
      <c r="D1192" s="1" t="n">
        <v>45350</v>
      </c>
      <c r="E1192" s="1" t="n">
        <v>46248</v>
      </c>
      <c r="F1192" t="inlineStr">
        <is>
          <t>BLEKINGE LÄN</t>
        </is>
      </c>
      <c r="G1192" t="inlineStr">
        <is>
          <t>RONNEBY</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1430-2024</t>
        </is>
      </c>
      <c r="B1193" t="inlineStr">
        <is>
          <t>avverkningsanmälan</t>
        </is>
      </c>
      <c r="C1193" t="inlineStr">
        <is>
          <t>Föryngringsavverkning</t>
        </is>
      </c>
      <c r="D1193" s="1" t="n">
        <v>45303</v>
      </c>
      <c r="E1193" s="1" t="n">
        <v>46248</v>
      </c>
      <c r="F1193" t="inlineStr">
        <is>
          <t>BLEKINGE LÄN</t>
        </is>
      </c>
      <c r="G1193" t="inlineStr">
        <is>
          <t>RONNEBY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1434-2024</t>
        </is>
      </c>
      <c r="B1194" t="inlineStr">
        <is>
          <t>avverkningsanmälan</t>
        </is>
      </c>
      <c r="C1194" t="inlineStr">
        <is>
          <t>Föryngringsavverkning</t>
        </is>
      </c>
      <c r="D1194" s="1" t="n">
        <v>45303</v>
      </c>
      <c r="E1194" s="1" t="n">
        <v>46248</v>
      </c>
      <c r="F1194" t="inlineStr">
        <is>
          <t>BLEKINGE LÄN</t>
        </is>
      </c>
      <c r="G1194" t="inlineStr">
        <is>
          <t>RONNEBY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34952-2023</t>
        </is>
      </c>
      <c r="B1195" t="inlineStr">
        <is>
          <t>avverkningsanmälan</t>
        </is>
      </c>
      <c r="C1195" t="inlineStr">
        <is>
          <t>Föryngringsavverkning</t>
        </is>
      </c>
      <c r="D1195" s="1" t="n">
        <v>45142</v>
      </c>
      <c r="E1195" s="1" t="n">
        <v>46248</v>
      </c>
      <c r="F1195" t="inlineStr">
        <is>
          <t>BLEKINGE LÄN</t>
        </is>
      </c>
      <c r="G1195" t="inlineStr">
        <is>
          <t>KARLSKRONA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26356-2024</t>
        </is>
      </c>
      <c r="B1196" t="inlineStr">
        <is>
          <t>avverkningsanmälan</t>
        </is>
      </c>
      <c r="C1196" t="inlineStr">
        <is>
          <t>Föryngringsavverkning</t>
        </is>
      </c>
      <c r="D1196" s="1" t="n">
        <v>45469</v>
      </c>
      <c r="E1196" s="1" t="n">
        <v>46248</v>
      </c>
      <c r="F1196" t="inlineStr">
        <is>
          <t>BLEKINGE LÄN</t>
        </is>
      </c>
      <c r="G1196" t="inlineStr">
        <is>
          <t>KARLSKRONA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35625-2023</t>
        </is>
      </c>
      <c r="B1197" t="inlineStr">
        <is>
          <t>avverkningsanmälan</t>
        </is>
      </c>
      <c r="C1197" t="inlineStr">
        <is>
          <t>Föryngringsavverkning</t>
        </is>
      </c>
      <c r="D1197" s="1" t="n">
        <v>45147</v>
      </c>
      <c r="E1197" s="1" t="n">
        <v>46248</v>
      </c>
      <c r="F1197" t="inlineStr">
        <is>
          <t>BLEKINGE LÄN</t>
        </is>
      </c>
      <c r="G1197" t="inlineStr">
        <is>
          <t>KARLSHAMN</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39984-2022</t>
        </is>
      </c>
      <c r="B1198" t="inlineStr">
        <is>
          <t>avverkningsanmälan</t>
        </is>
      </c>
      <c r="C1198" t="inlineStr">
        <is>
          <t>Föryngringsavverkning</t>
        </is>
      </c>
      <c r="D1198" s="1" t="n">
        <v>44820</v>
      </c>
      <c r="E1198" s="1" t="n">
        <v>46248</v>
      </c>
      <c r="F1198" t="inlineStr">
        <is>
          <t>BLEKINGE LÄN</t>
        </is>
      </c>
      <c r="G1198" t="inlineStr">
        <is>
          <t>KARLSKRONA</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62666-2023</t>
        </is>
      </c>
      <c r="B1199" t="inlineStr">
        <is>
          <t>avverkningsanmälan</t>
        </is>
      </c>
      <c r="C1199" t="inlineStr">
        <is>
          <t>Föryngringsavverkning</t>
        </is>
      </c>
      <c r="D1199" s="1" t="n">
        <v>45271</v>
      </c>
      <c r="E1199" s="1" t="n">
        <v>46248</v>
      </c>
      <c r="F1199" t="inlineStr">
        <is>
          <t>BLEKINGE LÄN</t>
        </is>
      </c>
      <c r="G1199" t="inlineStr">
        <is>
          <t>OLOFSTRÖM</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62672-2023</t>
        </is>
      </c>
      <c r="B1200" t="inlineStr">
        <is>
          <t>avverkningsanmälan</t>
        </is>
      </c>
      <c r="C1200" t="inlineStr">
        <is>
          <t>Föryngringsavverkning</t>
        </is>
      </c>
      <c r="D1200" s="1" t="n">
        <v>45271</v>
      </c>
      <c r="E1200" s="1" t="n">
        <v>46248</v>
      </c>
      <c r="F1200" t="inlineStr">
        <is>
          <t>BLEKINGE LÄN</t>
        </is>
      </c>
      <c r="G1200" t="inlineStr">
        <is>
          <t>OLOFSTRÖM</t>
        </is>
      </c>
      <c r="I1200" t="n">
        <v>8.199999999999999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62744-2023</t>
        </is>
      </c>
      <c r="B1201" t="inlineStr">
        <is>
          <t>avverkningsanmälan</t>
        </is>
      </c>
      <c r="C1201" t="inlineStr">
        <is>
          <t>Föryngringsavverkning</t>
        </is>
      </c>
      <c r="D1201" s="1" t="n">
        <v>45268</v>
      </c>
      <c r="E1201" s="1" t="n">
        <v>46248</v>
      </c>
      <c r="F1201" t="inlineStr">
        <is>
          <t>BLEKINGE LÄN</t>
        </is>
      </c>
      <c r="G1201" t="inlineStr">
        <is>
          <t>OLOFSTRÖM</t>
        </is>
      </c>
      <c r="H1201" t="inlineStr">
        <is>
          <t>Övriga Aktiebolag</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62758-2023</t>
        </is>
      </c>
      <c r="B1202" t="inlineStr">
        <is>
          <t>avverkningsanmälan</t>
        </is>
      </c>
      <c r="C1202" t="inlineStr">
        <is>
          <t>Föryngringsavverkning</t>
        </is>
      </c>
      <c r="D1202" s="1" t="n">
        <v>45268</v>
      </c>
      <c r="E1202" s="1" t="n">
        <v>46248</v>
      </c>
      <c r="F1202" t="inlineStr">
        <is>
          <t>BLEKINGE LÄN</t>
        </is>
      </c>
      <c r="G1202" t="inlineStr">
        <is>
          <t>OLOFSTRÖM</t>
        </is>
      </c>
      <c r="H1202" t="inlineStr">
        <is>
          <t>Övriga Aktiebolag</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59349-2021</t>
        </is>
      </c>
      <c r="B1203" t="inlineStr">
        <is>
          <t>avverkningsanmälan</t>
        </is>
      </c>
      <c r="C1203" t="inlineStr">
        <is>
          <t>Föryngringsavverkning</t>
        </is>
      </c>
      <c r="D1203" s="1" t="n">
        <v>44491</v>
      </c>
      <c r="E1203" s="1" t="n">
        <v>46248</v>
      </c>
      <c r="F1203" t="inlineStr">
        <is>
          <t>BLEKINGE LÄN</t>
        </is>
      </c>
      <c r="G1203" t="inlineStr">
        <is>
          <t>KARLSKRONA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6649-2025</t>
        </is>
      </c>
      <c r="B1204" t="inlineStr">
        <is>
          <t>avverkningsanmälan</t>
        </is>
      </c>
      <c r="C1204" t="inlineStr">
        <is>
          <t>Föryngringsavverkning</t>
        </is>
      </c>
      <c r="D1204" s="1" t="n">
        <v>45700</v>
      </c>
      <c r="E1204" s="1" t="n">
        <v>46248</v>
      </c>
      <c r="F1204" t="inlineStr">
        <is>
          <t>BLEKINGE LÄN</t>
        </is>
      </c>
      <c r="G1204" t="inlineStr">
        <is>
          <t>OLOFSTRÖM</t>
        </is>
      </c>
      <c r="H1204" t="inlineStr">
        <is>
          <t>Kommuner</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33558-2023</t>
        </is>
      </c>
      <c r="B1205" t="inlineStr">
        <is>
          <t>avverkningsanmälan</t>
        </is>
      </c>
      <c r="C1205" t="inlineStr">
        <is>
          <t>Föryngringsavverkning</t>
        </is>
      </c>
      <c r="D1205" s="1" t="n">
        <v>45118</v>
      </c>
      <c r="E1205" s="1" t="n">
        <v>46248</v>
      </c>
      <c r="F1205" t="inlineStr">
        <is>
          <t>BLEKINGE LÄN</t>
        </is>
      </c>
      <c r="G1205" t="inlineStr">
        <is>
          <t>RONNEBY</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682-2022</t>
        </is>
      </c>
      <c r="B1206" t="inlineStr">
        <is>
          <t>avverkningsanmälan</t>
        </is>
      </c>
      <c r="C1206" t="inlineStr">
        <is>
          <t>Föryngringsavverkning</t>
        </is>
      </c>
      <c r="D1206" s="1" t="n">
        <v>44568</v>
      </c>
      <c r="E1206" s="1" t="n">
        <v>46248</v>
      </c>
      <c r="F1206" t="inlineStr">
        <is>
          <t>BLEKINGE LÄN</t>
        </is>
      </c>
      <c r="G1206" t="inlineStr">
        <is>
          <t>KARLSHAMN</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63881-2023</t>
        </is>
      </c>
      <c r="B1207" t="inlineStr">
        <is>
          <t>avverkningsanmälan</t>
        </is>
      </c>
      <c r="C1207" t="inlineStr">
        <is>
          <t>Föryngringsavverkning</t>
        </is>
      </c>
      <c r="D1207" s="1" t="n">
        <v>45278</v>
      </c>
      <c r="E1207" s="1" t="n">
        <v>46248</v>
      </c>
      <c r="F1207" t="inlineStr">
        <is>
          <t>BLEKINGE LÄN</t>
        </is>
      </c>
      <c r="G1207" t="inlineStr">
        <is>
          <t>RONNEBY</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55999-2024</t>
        </is>
      </c>
      <c r="B1208" t="inlineStr">
        <is>
          <t>avverkningsanmälan</t>
        </is>
      </c>
      <c r="C1208" t="inlineStr">
        <is>
          <t>Föryngringsavverkning</t>
        </is>
      </c>
      <c r="D1208" s="1" t="n">
        <v>45623</v>
      </c>
      <c r="E1208" s="1" t="n">
        <v>46248</v>
      </c>
      <c r="F1208" t="inlineStr">
        <is>
          <t>BLEKINGE LÄN</t>
        </is>
      </c>
      <c r="G1208" t="inlineStr">
        <is>
          <t>OLOFSTRÖM</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21030-2024</t>
        </is>
      </c>
      <c r="B1209" t="inlineStr">
        <is>
          <t>avverkningsanmälan</t>
        </is>
      </c>
      <c r="C1209" t="inlineStr">
        <is>
          <t>Föryngringsavverkning</t>
        </is>
      </c>
      <c r="D1209" s="1" t="n">
        <v>45439</v>
      </c>
      <c r="E1209" s="1" t="n">
        <v>46248</v>
      </c>
      <c r="F1209" t="inlineStr">
        <is>
          <t>BLEKINGE LÄN</t>
        </is>
      </c>
      <c r="G1209" t="inlineStr">
        <is>
          <t>KARLSHAMN</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46591-2023</t>
        </is>
      </c>
      <c r="B1210" t="inlineStr">
        <is>
          <t>avverkningsanmälan</t>
        </is>
      </c>
      <c r="C1210" t="inlineStr">
        <is>
          <t>Föryngringsavverkning</t>
        </is>
      </c>
      <c r="D1210" s="1" t="n">
        <v>45194</v>
      </c>
      <c r="E1210" s="1" t="n">
        <v>46248</v>
      </c>
      <c r="F1210" t="inlineStr">
        <is>
          <t>BLEKINGE LÄN</t>
        </is>
      </c>
      <c r="G1210" t="inlineStr">
        <is>
          <t>OLOFSTRÖM</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63384-2023</t>
        </is>
      </c>
      <c r="B1211" t="inlineStr">
        <is>
          <t>avverkningsanmälan</t>
        </is>
      </c>
      <c r="C1211" t="inlineStr">
        <is>
          <t>Föryngringsavverkning</t>
        </is>
      </c>
      <c r="D1211" s="1" t="n">
        <v>45274</v>
      </c>
      <c r="E1211" s="1" t="n">
        <v>46248</v>
      </c>
      <c r="F1211" t="inlineStr">
        <is>
          <t>BLEKINGE LÄN</t>
        </is>
      </c>
      <c r="G1211" t="inlineStr">
        <is>
          <t>OLOFSTRÖM</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63410-2023</t>
        </is>
      </c>
      <c r="B1212" t="inlineStr">
        <is>
          <t>avverkningsanmälan</t>
        </is>
      </c>
      <c r="C1212" t="inlineStr">
        <is>
          <t>Föryngringsavverkning</t>
        </is>
      </c>
      <c r="D1212" s="1" t="n">
        <v>45274</v>
      </c>
      <c r="E1212" s="1" t="n">
        <v>46248</v>
      </c>
      <c r="F1212" t="inlineStr">
        <is>
          <t>BLEKINGE LÄN</t>
        </is>
      </c>
      <c r="G1212" t="inlineStr">
        <is>
          <t>OLOFSTRÖM</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7658-2022</t>
        </is>
      </c>
      <c r="B1213" t="inlineStr">
        <is>
          <t>avverkningsanmälan</t>
        </is>
      </c>
      <c r="C1213" t="inlineStr">
        <is>
          <t>Föryngringsavverkning</t>
        </is>
      </c>
      <c r="D1213" s="1" t="n">
        <v>44607</v>
      </c>
      <c r="E1213" s="1" t="n">
        <v>46248</v>
      </c>
      <c r="F1213" t="inlineStr">
        <is>
          <t>BLEKINGE LÄN</t>
        </is>
      </c>
      <c r="G1213" t="inlineStr">
        <is>
          <t>KARLSHAMN</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44628-2022</t>
        </is>
      </c>
      <c r="B1214" t="inlineStr">
        <is>
          <t>avverkningsanmälan</t>
        </is>
      </c>
      <c r="C1214" t="inlineStr">
        <is>
          <t>Föryngringsavverkning</t>
        </is>
      </c>
      <c r="D1214" s="1" t="n">
        <v>44840</v>
      </c>
      <c r="E1214" s="1" t="n">
        <v>46248</v>
      </c>
      <c r="F1214" t="inlineStr">
        <is>
          <t>BLEKINGE LÄN</t>
        </is>
      </c>
      <c r="G1214" t="inlineStr">
        <is>
          <t>KARLSKRONA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24179-2022</t>
        </is>
      </c>
      <c r="B1215" t="inlineStr">
        <is>
          <t>avverkningsanmälan</t>
        </is>
      </c>
      <c r="C1215" t="inlineStr">
        <is>
          <t>Föryngringsavverkning</t>
        </is>
      </c>
      <c r="D1215" s="1" t="n">
        <v>44725</v>
      </c>
      <c r="E1215" s="1" t="n">
        <v>46248</v>
      </c>
      <c r="F1215" t="inlineStr">
        <is>
          <t>BLEKINGE LÄN</t>
        </is>
      </c>
      <c r="G1215" t="inlineStr">
        <is>
          <t>KARLSKRONA</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9384-2023</t>
        </is>
      </c>
      <c r="B1216" t="inlineStr">
        <is>
          <t>avverkningsanmälan</t>
        </is>
      </c>
      <c r="C1216" t="inlineStr">
        <is>
          <t>Föryngringsavverkning</t>
        </is>
      </c>
      <c r="D1216" s="1" t="n">
        <v>44981</v>
      </c>
      <c r="E1216" s="1" t="n">
        <v>46248</v>
      </c>
      <c r="F1216" t="inlineStr">
        <is>
          <t>BLEKINGE LÄN</t>
        </is>
      </c>
      <c r="G1216" t="inlineStr">
        <is>
          <t>KARLSKRONA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62698-2023</t>
        </is>
      </c>
      <c r="B1217" t="inlineStr">
        <is>
          <t>avverkningsanmälan</t>
        </is>
      </c>
      <c r="C1217" t="inlineStr">
        <is>
          <t>Föryngringsavverkning</t>
        </is>
      </c>
      <c r="D1217" s="1" t="n">
        <v>45268</v>
      </c>
      <c r="E1217" s="1" t="n">
        <v>46248</v>
      </c>
      <c r="F1217" t="inlineStr">
        <is>
          <t>BLEKINGE LÄN</t>
        </is>
      </c>
      <c r="G1217" t="inlineStr">
        <is>
          <t>OLOFSTRÖM</t>
        </is>
      </c>
      <c r="H1217" t="inlineStr">
        <is>
          <t>Övriga Aktiebolag</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6953-2023</t>
        </is>
      </c>
      <c r="B1218" t="inlineStr">
        <is>
          <t>avverkningsanmälan</t>
        </is>
      </c>
      <c r="C1218" t="inlineStr">
        <is>
          <t>Föryngringsavverkning</t>
        </is>
      </c>
      <c r="D1218" s="1" t="n">
        <v>44967</v>
      </c>
      <c r="E1218" s="1" t="n">
        <v>46248</v>
      </c>
      <c r="F1218" t="inlineStr">
        <is>
          <t>BLEKINGE LÄN</t>
        </is>
      </c>
      <c r="G1218" t="inlineStr">
        <is>
          <t>KARLSKRONA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52696-2023</t>
        </is>
      </c>
      <c r="B1219" t="inlineStr">
        <is>
          <t>avverkningsanmälan</t>
        </is>
      </c>
      <c r="C1219" t="inlineStr">
        <is>
          <t>Föryngringsavverkning</t>
        </is>
      </c>
      <c r="D1219" s="1" t="n">
        <v>45225</v>
      </c>
      <c r="E1219" s="1" t="n">
        <v>46248</v>
      </c>
      <c r="F1219" t="inlineStr">
        <is>
          <t>BLEKINGE LÄN</t>
        </is>
      </c>
      <c r="G1219" t="inlineStr">
        <is>
          <t>KARLSKRONA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50808-2024</t>
        </is>
      </c>
      <c r="B1220" t="inlineStr">
        <is>
          <t>avverkningsanmälan</t>
        </is>
      </c>
      <c r="C1220" t="inlineStr">
        <is>
          <t>Föryngringsavverkning</t>
        </is>
      </c>
      <c r="D1220" s="1" t="n">
        <v>45602</v>
      </c>
      <c r="E1220" s="1" t="n">
        <v>46248</v>
      </c>
      <c r="F1220" t="inlineStr">
        <is>
          <t>BLEKINGE LÄN</t>
        </is>
      </c>
      <c r="G1220" t="inlineStr">
        <is>
          <t>RONNEBY</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45483-2024</t>
        </is>
      </c>
      <c r="B1221" t="inlineStr">
        <is>
          <t>avverkningsanmälan</t>
        </is>
      </c>
      <c r="C1221" t="inlineStr">
        <is>
          <t>Föryngringsavverkning</t>
        </is>
      </c>
      <c r="D1221" s="1" t="n">
        <v>45577</v>
      </c>
      <c r="E1221" s="1" t="n">
        <v>46248</v>
      </c>
      <c r="F1221" t="inlineStr">
        <is>
          <t>BLEKINGE LÄN</t>
        </is>
      </c>
      <c r="G1221" t="inlineStr">
        <is>
          <t>KARLSKRONA</t>
        </is>
      </c>
      <c r="I1221" t="n">
        <v>8.4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27024-2023</t>
        </is>
      </c>
      <c r="B1222" t="inlineStr">
        <is>
          <t>avverkningsanmälan</t>
        </is>
      </c>
      <c r="C1222" t="inlineStr">
        <is>
          <t>Föryngringsavverkning</t>
        </is>
      </c>
      <c r="D1222" s="1" t="n">
        <v>45094</v>
      </c>
      <c r="E1222" s="1" t="n">
        <v>46248</v>
      </c>
      <c r="F1222" t="inlineStr">
        <is>
          <t>BLEKINGE LÄN</t>
        </is>
      </c>
      <c r="G1222" t="inlineStr">
        <is>
          <t>KARLSKRONA</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48739-2023</t>
        </is>
      </c>
      <c r="B1223" t="inlineStr">
        <is>
          <t>avverkningsanmälan</t>
        </is>
      </c>
      <c r="C1223" t="inlineStr">
        <is>
          <t>Föryngringsavverkning</t>
        </is>
      </c>
      <c r="D1223" s="1" t="n">
        <v>45208</v>
      </c>
      <c r="E1223" s="1" t="n">
        <v>46248</v>
      </c>
      <c r="F1223" t="inlineStr">
        <is>
          <t>BLEKINGE LÄN</t>
        </is>
      </c>
      <c r="G1223" t="inlineStr">
        <is>
          <t>KARLSKRONA</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14177-2024</t>
        </is>
      </c>
      <c r="B1224" t="inlineStr">
        <is>
          <t>avverkningsanmälan</t>
        </is>
      </c>
      <c r="C1224" t="inlineStr">
        <is>
          <t>Föryngringsavverkning</t>
        </is>
      </c>
      <c r="D1224" s="1" t="n">
        <v>45393</v>
      </c>
      <c r="E1224" s="1" t="n">
        <v>46248</v>
      </c>
      <c r="F1224" t="inlineStr">
        <is>
          <t>BLEKINGE LÄN</t>
        </is>
      </c>
      <c r="G1224" t="inlineStr">
        <is>
          <t>KARLSKRONA</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16866-2025</t>
        </is>
      </c>
      <c r="B1225" t="inlineStr">
        <is>
          <t>avverkningsanmälan</t>
        </is>
      </c>
      <c r="C1225" t="inlineStr">
        <is>
          <t>Föryngringsavverkning</t>
        </is>
      </c>
      <c r="D1225" s="1" t="n">
        <v>45754</v>
      </c>
      <c r="E1225" s="1" t="n">
        <v>46248</v>
      </c>
      <c r="F1225" t="inlineStr">
        <is>
          <t>BLEKINGE LÄN</t>
        </is>
      </c>
      <c r="G1225" t="inlineStr">
        <is>
          <t>RONNEBY</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10365-2023</t>
        </is>
      </c>
      <c r="B1226" t="inlineStr">
        <is>
          <t>avverkningsanmälan</t>
        </is>
      </c>
      <c r="C1226" t="inlineStr">
        <is>
          <t>Föryngringsavverkning</t>
        </is>
      </c>
      <c r="D1226" s="1" t="n">
        <v>44987</v>
      </c>
      <c r="E1226" s="1" t="n">
        <v>46248</v>
      </c>
      <c r="F1226" t="inlineStr">
        <is>
          <t>BLEKINGE LÄN</t>
        </is>
      </c>
      <c r="G1226" t="inlineStr">
        <is>
          <t>RONNEBY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16867-2025</t>
        </is>
      </c>
      <c r="B1227" t="inlineStr">
        <is>
          <t>avverkningsanmälan</t>
        </is>
      </c>
      <c r="C1227" t="inlineStr">
        <is>
          <t>Föryngringsavverkning</t>
        </is>
      </c>
      <c r="D1227" s="1" t="n">
        <v>45754</v>
      </c>
      <c r="E1227" s="1" t="n">
        <v>46248</v>
      </c>
      <c r="F1227" t="inlineStr">
        <is>
          <t>BLEKINGE LÄN</t>
        </is>
      </c>
      <c r="G1227" t="inlineStr">
        <is>
          <t>RONNEBY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8330-2023</t>
        </is>
      </c>
      <c r="B1228" t="inlineStr">
        <is>
          <t>avverkningsanmälan</t>
        </is>
      </c>
      <c r="C1228" t="inlineStr">
        <is>
          <t>Föryngringsavverkning</t>
        </is>
      </c>
      <c r="D1228" s="1" t="n">
        <v>44974</v>
      </c>
      <c r="E1228" s="1" t="n">
        <v>46248</v>
      </c>
      <c r="F1228" t="inlineStr">
        <is>
          <t>BLEKINGE LÄN</t>
        </is>
      </c>
      <c r="G1228" t="inlineStr">
        <is>
          <t>RONNEBY</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62560-2022</t>
        </is>
      </c>
      <c r="B1229" t="inlineStr">
        <is>
          <t>avverkningsanmälan</t>
        </is>
      </c>
      <c r="C1229" t="inlineStr">
        <is>
          <t>Föryngringsavverkning</t>
        </is>
      </c>
      <c r="D1229" s="1" t="n">
        <v>44924</v>
      </c>
      <c r="E1229" s="1" t="n">
        <v>46248</v>
      </c>
      <c r="F1229" t="inlineStr">
        <is>
          <t>BLEKINGE LÄN</t>
        </is>
      </c>
      <c r="G1229" t="inlineStr">
        <is>
          <t>KARLSHAMN</t>
        </is>
      </c>
      <c r="I1229" t="n">
        <v>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52682-2024</t>
        </is>
      </c>
      <c r="B1230" t="inlineStr">
        <is>
          <t>avverkningsanmälan</t>
        </is>
      </c>
      <c r="C1230" t="inlineStr">
        <is>
          <t>Föryngringsavverkning</t>
        </is>
      </c>
      <c r="D1230" s="1" t="n">
        <v>45610</v>
      </c>
      <c r="E1230" s="1" t="n">
        <v>46248</v>
      </c>
      <c r="F1230" t="inlineStr">
        <is>
          <t>BLEKINGE LÄN</t>
        </is>
      </c>
      <c r="G1230" t="inlineStr">
        <is>
          <t>KARLSKRONA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2197-2024</t>
        </is>
      </c>
      <c r="B1231" t="inlineStr">
        <is>
          <t>avverkningsanmälan</t>
        </is>
      </c>
      <c r="C1231" t="inlineStr">
        <is>
          <t>Föryngringsavverkning</t>
        </is>
      </c>
      <c r="D1231" s="1" t="n">
        <v>45309</v>
      </c>
      <c r="E1231" s="1" t="n">
        <v>46248</v>
      </c>
      <c r="F1231" t="inlineStr">
        <is>
          <t>BLEKINGE LÄN</t>
        </is>
      </c>
      <c r="G1231" t="inlineStr">
        <is>
          <t>KARLSKRONA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58379-2024</t>
        </is>
      </c>
      <c r="B1232" t="inlineStr">
        <is>
          <t>avverkningsanmälan</t>
        </is>
      </c>
      <c r="C1232" t="inlineStr">
        <is>
          <t>Föryngringsavverkning</t>
        </is>
      </c>
      <c r="D1232" s="1" t="n">
        <v>45632</v>
      </c>
      <c r="E1232" s="1" t="n">
        <v>46248</v>
      </c>
      <c r="F1232" t="inlineStr">
        <is>
          <t>BLEKINGE LÄN</t>
        </is>
      </c>
      <c r="G1232" t="inlineStr">
        <is>
          <t>KARLSHAMN</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65639-2021</t>
        </is>
      </c>
      <c r="B1233" t="inlineStr">
        <is>
          <t>avverkningsanmälan</t>
        </is>
      </c>
      <c r="C1233" t="inlineStr">
        <is>
          <t>Föryngringsavverkning</t>
        </is>
      </c>
      <c r="D1233" s="1" t="n">
        <v>44516</v>
      </c>
      <c r="E1233" s="1" t="n">
        <v>46248</v>
      </c>
      <c r="F1233" t="inlineStr">
        <is>
          <t>BLEKINGE LÄN</t>
        </is>
      </c>
      <c r="G1233" t="inlineStr">
        <is>
          <t>KARLSKRONA</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31687-2023</t>
        </is>
      </c>
      <c r="B1234" t="inlineStr">
        <is>
          <t>avverkningsanmälan</t>
        </is>
      </c>
      <c r="C1234" t="inlineStr">
        <is>
          <t>Föryngringsavverkning</t>
        </is>
      </c>
      <c r="D1234" s="1" t="n">
        <v>45117</v>
      </c>
      <c r="E1234" s="1" t="n">
        <v>46248</v>
      </c>
      <c r="F1234" t="inlineStr">
        <is>
          <t>BLEKINGE LÄN</t>
        </is>
      </c>
      <c r="G1234" t="inlineStr">
        <is>
          <t>RONNEBY</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42431-2023</t>
        </is>
      </c>
      <c r="B1235" t="inlineStr">
        <is>
          <t>avverkningsanmälan</t>
        </is>
      </c>
      <c r="C1235" t="inlineStr">
        <is>
          <t>Föryngringsavverkning</t>
        </is>
      </c>
      <c r="D1235" s="1" t="n">
        <v>45180</v>
      </c>
      <c r="E1235" s="1" t="n">
        <v>46248</v>
      </c>
      <c r="F1235" t="inlineStr">
        <is>
          <t>BLEKINGE LÄN</t>
        </is>
      </c>
      <c r="G1235" t="inlineStr">
        <is>
          <t>OLOFSTRÖM</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47844-2021</t>
        </is>
      </c>
      <c r="B1236" t="inlineStr">
        <is>
          <t>avverkningsanmälan</t>
        </is>
      </c>
      <c r="C1236" t="inlineStr">
        <is>
          <t>Föryngringsavverkning</t>
        </is>
      </c>
      <c r="D1236" s="1" t="n">
        <v>44448</v>
      </c>
      <c r="E1236" s="1" t="n">
        <v>46248</v>
      </c>
      <c r="F1236" t="inlineStr">
        <is>
          <t>BLEKINGE LÄN</t>
        </is>
      </c>
      <c r="G1236" t="inlineStr">
        <is>
          <t>KARLSHAMN</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15358-2024</t>
        </is>
      </c>
      <c r="B1237" t="inlineStr">
        <is>
          <t>avverkningsanmälan</t>
        </is>
      </c>
      <c r="C1237" t="inlineStr">
        <is>
          <t>Föryngringsavverkning</t>
        </is>
      </c>
      <c r="D1237" s="1" t="n">
        <v>45400</v>
      </c>
      <c r="E1237" s="1" t="n">
        <v>46248</v>
      </c>
      <c r="F1237" t="inlineStr">
        <is>
          <t>BLEKINGE LÄN</t>
        </is>
      </c>
      <c r="G1237" t="inlineStr">
        <is>
          <t>KARLSHAMN</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35821-2023</t>
        </is>
      </c>
      <c r="B1238" t="inlineStr">
        <is>
          <t>avverkningsanmälan</t>
        </is>
      </c>
      <c r="C1238" t="inlineStr">
        <is>
          <t>Föryngringsavverkning</t>
        </is>
      </c>
      <c r="D1238" s="1" t="n">
        <v>45148</v>
      </c>
      <c r="E1238" s="1" t="n">
        <v>46248</v>
      </c>
      <c r="F1238" t="inlineStr">
        <is>
          <t>BLEKINGE LÄN</t>
        </is>
      </c>
      <c r="G1238" t="inlineStr">
        <is>
          <t>KARLSHAMN</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38185-2023</t>
        </is>
      </c>
      <c r="B1239" t="inlineStr">
        <is>
          <t>avverkningsanmälan</t>
        </is>
      </c>
      <c r="C1239" t="inlineStr">
        <is>
          <t>Föryngringsavverkning</t>
        </is>
      </c>
      <c r="D1239" s="1" t="n">
        <v>45161</v>
      </c>
      <c r="E1239" s="1" t="n">
        <v>46248</v>
      </c>
      <c r="F1239" t="inlineStr">
        <is>
          <t>BLEKINGE LÄN</t>
        </is>
      </c>
      <c r="G1239" t="inlineStr">
        <is>
          <t>KARLSKRONA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5880-2022</t>
        </is>
      </c>
      <c r="B1240" t="inlineStr">
        <is>
          <t>avverkningsanmälan</t>
        </is>
      </c>
      <c r="C1240" t="inlineStr">
        <is>
          <t>Föryngringsavverkning</t>
        </is>
      </c>
      <c r="D1240" s="1" t="n">
        <v>44596</v>
      </c>
      <c r="E1240" s="1" t="n">
        <v>46248</v>
      </c>
      <c r="F1240" t="inlineStr">
        <is>
          <t>BLEKINGE LÄN</t>
        </is>
      </c>
      <c r="G1240" t="inlineStr">
        <is>
          <t>KARLSKRONA</t>
        </is>
      </c>
      <c r="H1240" t="inlineStr">
        <is>
          <t>Kommuner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35643-2024</t>
        </is>
      </c>
      <c r="B1241" t="inlineStr">
        <is>
          <t>avverkningsanmälan</t>
        </is>
      </c>
      <c r="C1241" t="inlineStr">
        <is>
          <t>Föryngringsavverkning</t>
        </is>
      </c>
      <c r="D1241" s="1" t="n">
        <v>45531</v>
      </c>
      <c r="E1241" s="1" t="n">
        <v>46248</v>
      </c>
      <c r="F1241" t="inlineStr">
        <is>
          <t>BLEKINGE LÄN</t>
        </is>
      </c>
      <c r="G1241" t="inlineStr">
        <is>
          <t>KARLSKRONA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51460-2023</t>
        </is>
      </c>
      <c r="B1242" t="inlineStr">
        <is>
          <t>avverkningsanmälan</t>
        </is>
      </c>
      <c r="C1242" t="inlineStr">
        <is>
          <t>Föryngringsavverkning</t>
        </is>
      </c>
      <c r="D1242" s="1" t="n">
        <v>45221</v>
      </c>
      <c r="E1242" s="1" t="n">
        <v>46248</v>
      </c>
      <c r="F1242" t="inlineStr">
        <is>
          <t>BLEKINGE LÄN</t>
        </is>
      </c>
      <c r="G1242" t="inlineStr">
        <is>
          <t>OLOFSTRÖM</t>
        </is>
      </c>
      <c r="I1242" t="n">
        <v>5.8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67970-2021</t>
        </is>
      </c>
      <c r="B1243" t="inlineStr">
        <is>
          <t>avverkningsanmälan</t>
        </is>
      </c>
      <c r="C1243" t="inlineStr">
        <is>
          <t>Föryngringsavverkning</t>
        </is>
      </c>
      <c r="D1243" s="1" t="n">
        <v>44525</v>
      </c>
      <c r="E1243" s="1" t="n">
        <v>46248</v>
      </c>
      <c r="F1243" t="inlineStr">
        <is>
          <t>BLEKINGE LÄN</t>
        </is>
      </c>
      <c r="G1243" t="inlineStr">
        <is>
          <t>KARLSHAMN</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36946-2022</t>
        </is>
      </c>
      <c r="B1244" t="inlineStr">
        <is>
          <t>avverkningsanmälan</t>
        </is>
      </c>
      <c r="C1244" t="inlineStr">
        <is>
          <t>Föryngringsavverkning</t>
        </is>
      </c>
      <c r="D1244" s="1" t="n">
        <v>44806</v>
      </c>
      <c r="E1244" s="1" t="n">
        <v>46248</v>
      </c>
      <c r="F1244" t="inlineStr">
        <is>
          <t>BLEKINGE LÄN</t>
        </is>
      </c>
      <c r="G1244" t="inlineStr">
        <is>
          <t>RONNEBY</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28896-2024</t>
        </is>
      </c>
      <c r="B1245" t="inlineStr">
        <is>
          <t>avverkningsanmälan</t>
        </is>
      </c>
      <c r="C1245" t="inlineStr">
        <is>
          <t>Föryngringsavverkning</t>
        </is>
      </c>
      <c r="D1245" s="1" t="n">
        <v>45480</v>
      </c>
      <c r="E1245" s="1" t="n">
        <v>46248</v>
      </c>
      <c r="F1245" t="inlineStr">
        <is>
          <t>BLEKINGE LÄN</t>
        </is>
      </c>
      <c r="G1245" t="inlineStr">
        <is>
          <t>RONNEBY</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1067-2024</t>
        </is>
      </c>
      <c r="B1246" t="inlineStr">
        <is>
          <t>avverkningsanmälan</t>
        </is>
      </c>
      <c r="C1246" t="inlineStr">
        <is>
          <t>Föryngringsavverkning</t>
        </is>
      </c>
      <c r="D1246" s="1" t="n">
        <v>45302</v>
      </c>
      <c r="E1246" s="1" t="n">
        <v>46248</v>
      </c>
      <c r="F1246" t="inlineStr">
        <is>
          <t>BLEKINGE LÄN</t>
        </is>
      </c>
      <c r="G1246" t="inlineStr">
        <is>
          <t>RONNEBY</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46531-2023</t>
        </is>
      </c>
      <c r="B1247" t="inlineStr">
        <is>
          <t>avverkningsanmälan</t>
        </is>
      </c>
      <c r="C1247" t="inlineStr">
        <is>
          <t>Föryngringsavverkning</t>
        </is>
      </c>
      <c r="D1247" s="1" t="n">
        <v>45197</v>
      </c>
      <c r="E1247" s="1" t="n">
        <v>46248</v>
      </c>
      <c r="F1247" t="inlineStr">
        <is>
          <t>BLEKINGE LÄN</t>
        </is>
      </c>
      <c r="G1247" t="inlineStr">
        <is>
          <t>OLOFSTRÖM</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13083-2024</t>
        </is>
      </c>
      <c r="B1248" t="inlineStr">
        <is>
          <t>avverkningsanmälan</t>
        </is>
      </c>
      <c r="C1248" t="inlineStr">
        <is>
          <t>Föryngringsavverkning</t>
        </is>
      </c>
      <c r="D1248" s="1" t="n">
        <v>45385</v>
      </c>
      <c r="E1248" s="1" t="n">
        <v>46248</v>
      </c>
      <c r="F1248" t="inlineStr">
        <is>
          <t>BLEKINGE LÄN</t>
        </is>
      </c>
      <c r="G1248" t="inlineStr">
        <is>
          <t>OLOFSTRÖM</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69498-2021</t>
        </is>
      </c>
      <c r="B1249" t="inlineStr">
        <is>
          <t>avverkningsanmälan</t>
        </is>
      </c>
      <c r="C1249" t="inlineStr">
        <is>
          <t>Föryngringsavverkning</t>
        </is>
      </c>
      <c r="D1249" s="1" t="n">
        <v>44531</v>
      </c>
      <c r="E1249" s="1" t="n">
        <v>46248</v>
      </c>
      <c r="F1249" t="inlineStr">
        <is>
          <t>BLEKINGE LÄN</t>
        </is>
      </c>
      <c r="G1249" t="inlineStr">
        <is>
          <t>OLOFSTRÖM</t>
        </is>
      </c>
      <c r="H1249" t="inlineStr">
        <is>
          <t>Kommuner</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69511-2021</t>
        </is>
      </c>
      <c r="B1250" t="inlineStr">
        <is>
          <t>avverkningsanmälan</t>
        </is>
      </c>
      <c r="C1250" t="inlineStr">
        <is>
          <t>Föryngringsavverkning</t>
        </is>
      </c>
      <c r="D1250" s="1" t="n">
        <v>44531</v>
      </c>
      <c r="E1250" s="1" t="n">
        <v>46248</v>
      </c>
      <c r="F1250" t="inlineStr">
        <is>
          <t>BLEKINGE LÄN</t>
        </is>
      </c>
      <c r="G1250" t="inlineStr">
        <is>
          <t>KARLSHAMN</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4411-2024</t>
        </is>
      </c>
      <c r="B1251" t="inlineStr">
        <is>
          <t>avverkningsanmälan</t>
        </is>
      </c>
      <c r="C1251" t="inlineStr">
        <is>
          <t>Föryngringsavverkning</t>
        </is>
      </c>
      <c r="D1251" s="1" t="n">
        <v>45327</v>
      </c>
      <c r="E1251" s="1" t="n">
        <v>46248</v>
      </c>
      <c r="F1251" t="inlineStr">
        <is>
          <t>BLEKINGE LÄN</t>
        </is>
      </c>
      <c r="G1251" t="inlineStr">
        <is>
          <t>RONNEBY</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34936-2024</t>
        </is>
      </c>
      <c r="B1252" t="inlineStr">
        <is>
          <t>avverkningsanmälan</t>
        </is>
      </c>
      <c r="C1252" t="inlineStr">
        <is>
          <t>Föryngringsavverkning</t>
        </is>
      </c>
      <c r="D1252" s="1" t="n">
        <v>45527</v>
      </c>
      <c r="E1252" s="1" t="n">
        <v>46248</v>
      </c>
      <c r="F1252" t="inlineStr">
        <is>
          <t>BLEKINGE LÄN</t>
        </is>
      </c>
      <c r="G1252" t="inlineStr">
        <is>
          <t>OLOFSTRÖM</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11179-2023</t>
        </is>
      </c>
      <c r="B1253" t="inlineStr">
        <is>
          <t>avverkningsanmälan</t>
        </is>
      </c>
      <c r="C1253" t="inlineStr">
        <is>
          <t>Föryngringsavverkning</t>
        </is>
      </c>
      <c r="D1253" s="1" t="n">
        <v>44992</v>
      </c>
      <c r="E1253" s="1" t="n">
        <v>46248</v>
      </c>
      <c r="F1253" t="inlineStr">
        <is>
          <t>BLEKINGE LÄN</t>
        </is>
      </c>
      <c r="G1253" t="inlineStr">
        <is>
          <t>RONNEBY</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45230-2024</t>
        </is>
      </c>
      <c r="B1254" t="inlineStr">
        <is>
          <t>avverkningsanmälan</t>
        </is>
      </c>
      <c r="C1254" t="inlineStr">
        <is>
          <t>Föryngringsavverkning</t>
        </is>
      </c>
      <c r="D1254" s="1" t="n">
        <v>45575</v>
      </c>
      <c r="E1254" s="1" t="n">
        <v>46248</v>
      </c>
      <c r="F1254" t="inlineStr">
        <is>
          <t>BLEKINGE LÄN</t>
        </is>
      </c>
      <c r="G1254" t="inlineStr">
        <is>
          <t>OLOFSTRÖM</t>
        </is>
      </c>
      <c r="H1254" t="inlineStr">
        <is>
          <t>Sveaskog</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52810-2024</t>
        </is>
      </c>
      <c r="B1255" t="inlineStr">
        <is>
          <t>avverkningsanmälan</t>
        </is>
      </c>
      <c r="C1255" t="inlineStr">
        <is>
          <t>Föryngringsavverkning</t>
        </is>
      </c>
      <c r="D1255" s="1" t="n">
        <v>45610</v>
      </c>
      <c r="E1255" s="1" t="n">
        <v>46248</v>
      </c>
      <c r="F1255" t="inlineStr">
        <is>
          <t>BLEKINGE LÄN</t>
        </is>
      </c>
      <c r="G1255" t="inlineStr">
        <is>
          <t>KARLSKRONA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25077-2022</t>
        </is>
      </c>
      <c r="B1256" t="inlineStr">
        <is>
          <t>avverkningsanmälan</t>
        </is>
      </c>
      <c r="C1256" t="inlineStr">
        <is>
          <t>Avverkning för annat ändamål</t>
        </is>
      </c>
      <c r="D1256" s="1" t="n">
        <v>44729</v>
      </c>
      <c r="E1256" s="1" t="n">
        <v>46248</v>
      </c>
      <c r="F1256" t="inlineStr">
        <is>
          <t>BLEKINGE LÄN</t>
        </is>
      </c>
      <c r="G1256" t="inlineStr">
        <is>
          <t>RONNEBY</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1909-2024</t>
        </is>
      </c>
      <c r="B1257" t="inlineStr">
        <is>
          <t>avverkningsanmälan</t>
        </is>
      </c>
      <c r="C1257" t="inlineStr">
        <is>
          <t>Föryngringsavverkning</t>
        </is>
      </c>
      <c r="D1257" s="1" t="n">
        <v>45308</v>
      </c>
      <c r="E1257" s="1" t="n">
        <v>46248</v>
      </c>
      <c r="F1257" t="inlineStr">
        <is>
          <t>BLEKINGE LÄN</t>
        </is>
      </c>
      <c r="G1257" t="inlineStr">
        <is>
          <t>KARLSKRONA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47774-2023</t>
        </is>
      </c>
      <c r="B1258" t="inlineStr">
        <is>
          <t>avverkningsanmälan</t>
        </is>
      </c>
      <c r="C1258" t="inlineStr">
        <is>
          <t>Föryngringsavverkning</t>
        </is>
      </c>
      <c r="D1258" s="1" t="n">
        <v>45203</v>
      </c>
      <c r="E1258" s="1" t="n">
        <v>46248</v>
      </c>
      <c r="F1258" t="inlineStr">
        <is>
          <t>BLEKINGE LÄN</t>
        </is>
      </c>
      <c r="G1258" t="inlineStr">
        <is>
          <t>OLOFSTRÖM</t>
        </is>
      </c>
      <c r="I1258" t="n">
        <v>0.3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52084-2023</t>
        </is>
      </c>
      <c r="B1259" t="inlineStr">
        <is>
          <t>avverkningsanmälan</t>
        </is>
      </c>
      <c r="C1259" t="inlineStr">
        <is>
          <t>Föryngringsavverkning</t>
        </is>
      </c>
      <c r="D1259" s="1" t="n">
        <v>45216</v>
      </c>
      <c r="E1259" s="1" t="n">
        <v>46248</v>
      </c>
      <c r="F1259" t="inlineStr">
        <is>
          <t>BLEKINGE LÄN</t>
        </is>
      </c>
      <c r="G1259" t="inlineStr">
        <is>
          <t>SÖLVESBORG</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53061-2022</t>
        </is>
      </c>
      <c r="B1260" t="inlineStr">
        <is>
          <t>avverkningsanmälan</t>
        </is>
      </c>
      <c r="C1260" t="inlineStr">
        <is>
          <t>Föryngringsavverkning</t>
        </is>
      </c>
      <c r="D1260" s="1" t="n">
        <v>44876</v>
      </c>
      <c r="E1260" s="1" t="n">
        <v>46248</v>
      </c>
      <c r="F1260" t="inlineStr">
        <is>
          <t>BLEKINGE LÄN</t>
        </is>
      </c>
      <c r="G1260" t="inlineStr">
        <is>
          <t>KARLSKRONA</t>
        </is>
      </c>
      <c r="I1260" t="n">
        <v>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64810-2023</t>
        </is>
      </c>
      <c r="B1261" t="inlineStr">
        <is>
          <t>avverkningsanmälan</t>
        </is>
      </c>
      <c r="C1261" t="inlineStr">
        <is>
          <t>Föryngringsavverkning</t>
        </is>
      </c>
      <c r="D1261" s="1" t="n">
        <v>45282</v>
      </c>
      <c r="E1261" s="1" t="n">
        <v>46248</v>
      </c>
      <c r="F1261" t="inlineStr">
        <is>
          <t>BLEKINGE LÄN</t>
        </is>
      </c>
      <c r="G1261" t="inlineStr">
        <is>
          <t>OLOFSTRÖM</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39361-2024</t>
        </is>
      </c>
      <c r="B1262" t="inlineStr">
        <is>
          <t>avverkningsanmälan</t>
        </is>
      </c>
      <c r="C1262" t="inlineStr">
        <is>
          <t>Föryngringsavverkning</t>
        </is>
      </c>
      <c r="D1262" s="1" t="n">
        <v>45551</v>
      </c>
      <c r="E1262" s="1" t="n">
        <v>46248</v>
      </c>
      <c r="F1262" t="inlineStr">
        <is>
          <t>BLEKINGE LÄN</t>
        </is>
      </c>
      <c r="G1262" t="inlineStr">
        <is>
          <t>KARLSKRONA</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42074-2023</t>
        </is>
      </c>
      <c r="B1263" t="inlineStr">
        <is>
          <t>avverkningsanmälan</t>
        </is>
      </c>
      <c r="C1263" t="inlineStr">
        <is>
          <t>Föryngringsavverkning</t>
        </is>
      </c>
      <c r="D1263" s="1" t="n">
        <v>45174</v>
      </c>
      <c r="E1263" s="1" t="n">
        <v>46248</v>
      </c>
      <c r="F1263" t="inlineStr">
        <is>
          <t>BLEKINGE LÄN</t>
        </is>
      </c>
      <c r="G1263" t="inlineStr">
        <is>
          <t>KARLSKRONA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9230-2025</t>
        </is>
      </c>
      <c r="B1264" t="inlineStr">
        <is>
          <t>avverkningsanmälan</t>
        </is>
      </c>
      <c r="C1264" t="inlineStr">
        <is>
          <t>Föryngringsavverkning</t>
        </is>
      </c>
      <c r="D1264" s="1" t="n">
        <v>45714</v>
      </c>
      <c r="E1264" s="1" t="n">
        <v>46248</v>
      </c>
      <c r="F1264" t="inlineStr">
        <is>
          <t>BLEKINGE LÄN</t>
        </is>
      </c>
      <c r="G1264" t="inlineStr">
        <is>
          <t>RONNEBY</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56072-2023</t>
        </is>
      </c>
      <c r="B1265" t="inlineStr">
        <is>
          <t>avverkningsanmälan</t>
        </is>
      </c>
      <c r="C1265" t="inlineStr">
        <is>
          <t>Föryngringsavverkning</t>
        </is>
      </c>
      <c r="D1265" s="1" t="n">
        <v>45233</v>
      </c>
      <c r="E1265" s="1" t="n">
        <v>46248</v>
      </c>
      <c r="F1265" t="inlineStr">
        <is>
          <t>BLEKINGE LÄN</t>
        </is>
      </c>
      <c r="G1265" t="inlineStr">
        <is>
          <t>OLOFSTRÖM</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57426-2023</t>
        </is>
      </c>
      <c r="B1266" t="inlineStr">
        <is>
          <t>avverkningsanmälan</t>
        </is>
      </c>
      <c r="C1266" t="inlineStr">
        <is>
          <t>Föryngringsavverkning</t>
        </is>
      </c>
      <c r="D1266" s="1" t="n">
        <v>45246</v>
      </c>
      <c r="E1266" s="1" t="n">
        <v>46248</v>
      </c>
      <c r="F1266" t="inlineStr">
        <is>
          <t>BLEKINGE LÄN</t>
        </is>
      </c>
      <c r="G1266" t="inlineStr">
        <is>
          <t>RONNEBY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32327-2024</t>
        </is>
      </c>
      <c r="B1267" t="inlineStr">
        <is>
          <t>avverkningsanmälan</t>
        </is>
      </c>
      <c r="C1267" t="inlineStr">
        <is>
          <t>Föryngringsavverkning</t>
        </is>
      </c>
      <c r="D1267" s="1" t="n">
        <v>45512</v>
      </c>
      <c r="E1267" s="1" t="n">
        <v>46248</v>
      </c>
      <c r="F1267" t="inlineStr">
        <is>
          <t>BLEKINGE LÄN</t>
        </is>
      </c>
      <c r="G1267" t="inlineStr">
        <is>
          <t>KARLSKRONA</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34533-2023</t>
        </is>
      </c>
      <c r="B1268" t="inlineStr">
        <is>
          <t>avverkningsanmälan</t>
        </is>
      </c>
      <c r="C1268" t="inlineStr">
        <is>
          <t>Föryngringsavverkning</t>
        </is>
      </c>
      <c r="D1268" s="1" t="n">
        <v>45140</v>
      </c>
      <c r="E1268" s="1" t="n">
        <v>46248</v>
      </c>
      <c r="F1268" t="inlineStr">
        <is>
          <t>BLEKINGE LÄN</t>
        </is>
      </c>
      <c r="G1268" t="inlineStr">
        <is>
          <t>KARLSKRONA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22096-2024</t>
        </is>
      </c>
      <c r="B1269" t="inlineStr">
        <is>
          <t>avverkningsanmälan</t>
        </is>
      </c>
      <c r="C1269" t="inlineStr">
        <is>
          <t>Föryngringsavverkning</t>
        </is>
      </c>
      <c r="D1269" s="1" t="n">
        <v>45443</v>
      </c>
      <c r="E1269" s="1" t="n">
        <v>46248</v>
      </c>
      <c r="F1269" t="inlineStr">
        <is>
          <t>BLEKINGE LÄN</t>
        </is>
      </c>
      <c r="G1269" t="inlineStr">
        <is>
          <t>KARLSKRONA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34747-2023</t>
        </is>
      </c>
      <c r="B1270" t="inlineStr">
        <is>
          <t>avverkningsanmälan</t>
        </is>
      </c>
      <c r="C1270" t="inlineStr">
        <is>
          <t>Föryngringsavverkning</t>
        </is>
      </c>
      <c r="D1270" s="1" t="n">
        <v>45141</v>
      </c>
      <c r="E1270" s="1" t="n">
        <v>46248</v>
      </c>
      <c r="F1270" t="inlineStr">
        <is>
          <t>BLEKINGE LÄN</t>
        </is>
      </c>
      <c r="G1270" t="inlineStr">
        <is>
          <t>OLOFSTRÖM</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45364-2023</t>
        </is>
      </c>
      <c r="B1271" t="inlineStr">
        <is>
          <t>avverkningsanmälan</t>
        </is>
      </c>
      <c r="C1271" t="inlineStr">
        <is>
          <t>Föryngringsavverkning</t>
        </is>
      </c>
      <c r="D1271" s="1" t="n">
        <v>45192</v>
      </c>
      <c r="E1271" s="1" t="n">
        <v>46248</v>
      </c>
      <c r="F1271" t="inlineStr">
        <is>
          <t>BLEKINGE LÄN</t>
        </is>
      </c>
      <c r="G1271" t="inlineStr">
        <is>
          <t>RONNEBY</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7119-2024</t>
        </is>
      </c>
      <c r="B1272" t="inlineStr">
        <is>
          <t>avverkningsanmälan</t>
        </is>
      </c>
      <c r="C1272" t="inlineStr">
        <is>
          <t>Föryngringsavverkning</t>
        </is>
      </c>
      <c r="D1272" s="1" t="n">
        <v>45344</v>
      </c>
      <c r="E1272" s="1" t="n">
        <v>46248</v>
      </c>
      <c r="F1272" t="inlineStr">
        <is>
          <t>BLEKINGE LÄN</t>
        </is>
      </c>
      <c r="G1272" t="inlineStr">
        <is>
          <t>KARLSKRONA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10692-2022</t>
        </is>
      </c>
      <c r="B1273" t="inlineStr">
        <is>
          <t>avverkningsanmälan</t>
        </is>
      </c>
      <c r="C1273" t="inlineStr">
        <is>
          <t>Föryngringsavverkning</t>
        </is>
      </c>
      <c r="D1273" s="1" t="n">
        <v>44624</v>
      </c>
      <c r="E1273" s="1" t="n">
        <v>46248</v>
      </c>
      <c r="F1273" t="inlineStr">
        <is>
          <t>BLEKINGE LÄN</t>
        </is>
      </c>
      <c r="G1273" t="inlineStr">
        <is>
          <t>KARLSHAMN</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26274-2024</t>
        </is>
      </c>
      <c r="B1274" t="inlineStr">
        <is>
          <t>avverkningsanmälan</t>
        </is>
      </c>
      <c r="C1274" t="inlineStr">
        <is>
          <t>Föryngringsavverkning</t>
        </is>
      </c>
      <c r="D1274" s="1" t="n">
        <v>45468</v>
      </c>
      <c r="E1274" s="1" t="n">
        <v>46248</v>
      </c>
      <c r="F1274" t="inlineStr">
        <is>
          <t>BLEKINGE LÄN</t>
        </is>
      </c>
      <c r="G1274" t="inlineStr">
        <is>
          <t>KARLSHAMN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28080-2023</t>
        </is>
      </c>
      <c r="B1275" t="inlineStr">
        <is>
          <t>avverkningsanmälan</t>
        </is>
      </c>
      <c r="C1275" t="inlineStr">
        <is>
          <t>Föryngringsavverkning</t>
        </is>
      </c>
      <c r="D1275" s="1" t="n">
        <v>45099</v>
      </c>
      <c r="E1275" s="1" t="n">
        <v>46248</v>
      </c>
      <c r="F1275" t="inlineStr">
        <is>
          <t>BLEKINGE LÄN</t>
        </is>
      </c>
      <c r="G1275" t="inlineStr">
        <is>
          <t>SÖLVESBORG</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39058-2024</t>
        </is>
      </c>
      <c r="B1276" t="inlineStr">
        <is>
          <t>avverkningsanmälan</t>
        </is>
      </c>
      <c r="C1276" t="inlineStr">
        <is>
          <t>Föryngringsavverkning</t>
        </is>
      </c>
      <c r="D1276" s="1" t="n">
        <v>45548</v>
      </c>
      <c r="E1276" s="1" t="n">
        <v>46248</v>
      </c>
      <c r="F1276" t="inlineStr">
        <is>
          <t>BLEKINGE LÄN</t>
        </is>
      </c>
      <c r="G1276" t="inlineStr">
        <is>
          <t>OLOFSTRÖM</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34133-2024</t>
        </is>
      </c>
      <c r="B1277" t="inlineStr">
        <is>
          <t>avverkningsanmälan</t>
        </is>
      </c>
      <c r="C1277" t="inlineStr">
        <is>
          <t>Föryngringsavverkning</t>
        </is>
      </c>
      <c r="D1277" s="1" t="n">
        <v>45524</v>
      </c>
      <c r="E1277" s="1" t="n">
        <v>46248</v>
      </c>
      <c r="F1277" t="inlineStr">
        <is>
          <t>BLEKINGE LÄN</t>
        </is>
      </c>
      <c r="G1277" t="inlineStr">
        <is>
          <t>KARLSKRONA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52614-2023</t>
        </is>
      </c>
      <c r="B1278" t="inlineStr">
        <is>
          <t>avverkningsanmälan</t>
        </is>
      </c>
      <c r="C1278" t="inlineStr">
        <is>
          <t>Föryngringsavverkning</t>
        </is>
      </c>
      <c r="D1278" s="1" t="n">
        <v>45225</v>
      </c>
      <c r="E1278" s="1" t="n">
        <v>46248</v>
      </c>
      <c r="F1278" t="inlineStr">
        <is>
          <t>BLEKINGE LÄN</t>
        </is>
      </c>
      <c r="G1278" t="inlineStr">
        <is>
          <t>RONNEBY</t>
        </is>
      </c>
      <c r="I1278" t="n">
        <v>10.2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34283-2023</t>
        </is>
      </c>
      <c r="B1279" t="inlineStr">
        <is>
          <t>avverkningsanmälan</t>
        </is>
      </c>
      <c r="C1279" t="inlineStr">
        <is>
          <t>Föryngringsavverkning</t>
        </is>
      </c>
      <c r="D1279" s="1" t="n">
        <v>45127</v>
      </c>
      <c r="E1279" s="1" t="n">
        <v>46248</v>
      </c>
      <c r="F1279" t="inlineStr">
        <is>
          <t>BLEKINGE LÄN</t>
        </is>
      </c>
      <c r="G1279" t="inlineStr">
        <is>
          <t>KARLSKRONA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271-2022</t>
        </is>
      </c>
      <c r="B1280" t="inlineStr">
        <is>
          <t>avverkningsanmälan</t>
        </is>
      </c>
      <c r="C1280" t="inlineStr">
        <is>
          <t>Föryngringsavverkning</t>
        </is>
      </c>
      <c r="D1280" s="1" t="n">
        <v>44565</v>
      </c>
      <c r="E1280" s="1" t="n">
        <v>46248</v>
      </c>
      <c r="F1280" t="inlineStr">
        <is>
          <t>BLEKINGE LÄN</t>
        </is>
      </c>
      <c r="G1280" t="inlineStr">
        <is>
          <t>RONNEBY</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50967-2023</t>
        </is>
      </c>
      <c r="B1281" t="inlineStr">
        <is>
          <t>avverkningsanmälan</t>
        </is>
      </c>
      <c r="C1281" t="inlineStr">
        <is>
          <t>Föryngringsavverkning</t>
        </is>
      </c>
      <c r="D1281" s="1" t="n">
        <v>45218</v>
      </c>
      <c r="E1281" s="1" t="n">
        <v>46248</v>
      </c>
      <c r="F1281" t="inlineStr">
        <is>
          <t>BLEKINGE LÄN</t>
        </is>
      </c>
      <c r="G1281" t="inlineStr">
        <is>
          <t>KARLSKRONA</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67336-2021</t>
        </is>
      </c>
      <c r="B1282" t="inlineStr">
        <is>
          <t>avverkningsanmälan</t>
        </is>
      </c>
      <c r="C1282" t="inlineStr">
        <is>
          <t>Avverkning för annat ändamål</t>
        </is>
      </c>
      <c r="D1282" s="1" t="n">
        <v>44523</v>
      </c>
      <c r="E1282" s="1" t="n">
        <v>46248</v>
      </c>
      <c r="F1282" t="inlineStr">
        <is>
          <t>BLEKINGE LÄN</t>
        </is>
      </c>
      <c r="G1282" t="inlineStr">
        <is>
          <t>KARLSKRONA</t>
        </is>
      </c>
      <c r="I1282" t="n">
        <v>13.4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61564-2024</t>
        </is>
      </c>
      <c r="B1283" t="inlineStr">
        <is>
          <t>avverkningsanmälan</t>
        </is>
      </c>
      <c r="C1283" t="inlineStr">
        <is>
          <t>Föryngringsavverkning</t>
        </is>
      </c>
      <c r="D1283" s="1" t="n">
        <v>45646</v>
      </c>
      <c r="E1283" s="1" t="n">
        <v>46248</v>
      </c>
      <c r="F1283" t="inlineStr">
        <is>
          <t>BLEKINGE LÄN</t>
        </is>
      </c>
      <c r="G1283" t="inlineStr">
        <is>
          <t>RONNEBY</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29971-2023</t>
        </is>
      </c>
      <c r="B1284" t="inlineStr">
        <is>
          <t>avverkningsanmälan</t>
        </is>
      </c>
      <c r="C1284" t="inlineStr">
        <is>
          <t>Föryngringsavverkning</t>
        </is>
      </c>
      <c r="D1284" s="1" t="n">
        <v>45108</v>
      </c>
      <c r="E1284" s="1" t="n">
        <v>46248</v>
      </c>
      <c r="F1284" t="inlineStr">
        <is>
          <t>BLEKINGE LÄN</t>
        </is>
      </c>
      <c r="G1284" t="inlineStr">
        <is>
          <t>KARLSHAMN</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10525-2022</t>
        </is>
      </c>
      <c r="B1285" t="inlineStr">
        <is>
          <t>avverkningsanmälan</t>
        </is>
      </c>
      <c r="C1285" t="inlineStr">
        <is>
          <t>Föryngringsavverkning</t>
        </is>
      </c>
      <c r="D1285" s="1" t="n">
        <v>44623</v>
      </c>
      <c r="E1285" s="1" t="n">
        <v>46248</v>
      </c>
      <c r="F1285" t="inlineStr">
        <is>
          <t>BLEKINGE LÄN</t>
        </is>
      </c>
      <c r="G1285" t="inlineStr">
        <is>
          <t>KARLSHAMN</t>
        </is>
      </c>
      <c r="I1285" t="n">
        <v>5.8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54943-2024</t>
        </is>
      </c>
      <c r="B1286" t="inlineStr">
        <is>
          <t>avverkningsanmälan</t>
        </is>
      </c>
      <c r="C1286" t="inlineStr">
        <is>
          <t>Föryngringsavverkning</t>
        </is>
      </c>
      <c r="D1286" s="1" t="n">
        <v>45619</v>
      </c>
      <c r="E1286" s="1" t="n">
        <v>46248</v>
      </c>
      <c r="F1286" t="inlineStr">
        <is>
          <t>BLEKINGE LÄN</t>
        </is>
      </c>
      <c r="G1286" t="inlineStr">
        <is>
          <t>RONNEBY</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32362-2024</t>
        </is>
      </c>
      <c r="B1287" t="inlineStr">
        <is>
          <t>avverkningsanmälan</t>
        </is>
      </c>
      <c r="C1287" t="inlineStr">
        <is>
          <t>Föryngringsavverkning</t>
        </is>
      </c>
      <c r="D1287" s="1" t="n">
        <v>45512</v>
      </c>
      <c r="E1287" s="1" t="n">
        <v>46248</v>
      </c>
      <c r="F1287" t="inlineStr">
        <is>
          <t>BLEKINGE LÄN</t>
        </is>
      </c>
      <c r="G1287" t="inlineStr">
        <is>
          <t>KARLSKRONA</t>
        </is>
      </c>
      <c r="I1287" t="n">
        <v>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30064-2022</t>
        </is>
      </c>
      <c r="B1288" t="inlineStr">
        <is>
          <t>avverkningsanmälan</t>
        </is>
      </c>
      <c r="C1288" t="inlineStr">
        <is>
          <t>Föryngringsavverkning</t>
        </is>
      </c>
      <c r="D1288" s="1" t="n">
        <v>44757</v>
      </c>
      <c r="E1288" s="1" t="n">
        <v>46248</v>
      </c>
      <c r="F1288" t="inlineStr">
        <is>
          <t>BLEKINGE LÄN</t>
        </is>
      </c>
      <c r="G1288" t="inlineStr">
        <is>
          <t>KARLSKRONA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39381-2023</t>
        </is>
      </c>
      <c r="B1289" t="inlineStr">
        <is>
          <t>avverkningsanmälan</t>
        </is>
      </c>
      <c r="C1289" t="inlineStr">
        <is>
          <t>Föryngringsavverkning</t>
        </is>
      </c>
      <c r="D1289" s="1" t="n">
        <v>45166</v>
      </c>
      <c r="E1289" s="1" t="n">
        <v>46248</v>
      </c>
      <c r="F1289" t="inlineStr">
        <is>
          <t>BLEKINGE LÄN</t>
        </is>
      </c>
      <c r="G1289" t="inlineStr">
        <is>
          <t>KARLSKRONA</t>
        </is>
      </c>
      <c r="I1289" t="n">
        <v>7.1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53733-2024</t>
        </is>
      </c>
      <c r="B1290" t="inlineStr">
        <is>
          <t>avverkningsanmälan</t>
        </is>
      </c>
      <c r="C1290" t="inlineStr">
        <is>
          <t>Föryngringsavverkning</t>
        </is>
      </c>
      <c r="D1290" s="1" t="n">
        <v>45615</v>
      </c>
      <c r="E1290" s="1" t="n">
        <v>46248</v>
      </c>
      <c r="F1290" t="inlineStr">
        <is>
          <t>BLEKINGE LÄN</t>
        </is>
      </c>
      <c r="G1290" t="inlineStr">
        <is>
          <t>KARLSKRONA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12517-2022</t>
        </is>
      </c>
      <c r="B1291" t="inlineStr">
        <is>
          <t>avverkningsanmälan</t>
        </is>
      </c>
      <c r="C1291" t="inlineStr">
        <is>
          <t>Föryngringsavverkning</t>
        </is>
      </c>
      <c r="D1291" s="1" t="n">
        <v>44638</v>
      </c>
      <c r="E1291" s="1" t="n">
        <v>46248</v>
      </c>
      <c r="F1291" t="inlineStr">
        <is>
          <t>BLEKINGE LÄN</t>
        </is>
      </c>
      <c r="G1291" t="inlineStr">
        <is>
          <t>KARLSKRONA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9763-2022</t>
        </is>
      </c>
      <c r="B1292" t="inlineStr">
        <is>
          <t>avverkningsanmälan</t>
        </is>
      </c>
      <c r="C1292" t="inlineStr">
        <is>
          <t>Avverkning för annat ändamål</t>
        </is>
      </c>
      <c r="D1292" s="1" t="n">
        <v>44619</v>
      </c>
      <c r="E1292" s="1" t="n">
        <v>46248</v>
      </c>
      <c r="F1292" t="inlineStr">
        <is>
          <t>BLEKINGE LÄN</t>
        </is>
      </c>
      <c r="G1292" t="inlineStr">
        <is>
          <t>KARLSKRONA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55079-2023</t>
        </is>
      </c>
      <c r="B1293" t="inlineStr">
        <is>
          <t>avverkningsanmälan</t>
        </is>
      </c>
      <c r="C1293" t="inlineStr">
        <is>
          <t>Avverkning för annat ändamål</t>
        </is>
      </c>
      <c r="D1293" s="1" t="n">
        <v>45237</v>
      </c>
      <c r="E1293" s="1" t="n">
        <v>46248</v>
      </c>
      <c r="F1293" t="inlineStr">
        <is>
          <t>BLEKINGE LÄN</t>
        </is>
      </c>
      <c r="G1293" t="inlineStr">
        <is>
          <t>RONNEBY</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53605-2024</t>
        </is>
      </c>
      <c r="B1294" t="inlineStr">
        <is>
          <t>avverkningsanmälan</t>
        </is>
      </c>
      <c r="C1294" t="inlineStr">
        <is>
          <t>Föryngringsavverkning</t>
        </is>
      </c>
      <c r="D1294" s="1" t="n">
        <v>45614</v>
      </c>
      <c r="E1294" s="1" t="n">
        <v>46248</v>
      </c>
      <c r="F1294" t="inlineStr">
        <is>
          <t>BLEKINGE LÄN</t>
        </is>
      </c>
      <c r="G1294" t="inlineStr">
        <is>
          <t>OLOFSTRÖM</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71708-2021</t>
        </is>
      </c>
      <c r="B1295" t="inlineStr">
        <is>
          <t>avverkningsanmälan</t>
        </is>
      </c>
      <c r="C1295" t="inlineStr">
        <is>
          <t>Föryngringsavverkning</t>
        </is>
      </c>
      <c r="D1295" s="1" t="n">
        <v>44543</v>
      </c>
      <c r="E1295" s="1" t="n">
        <v>46248</v>
      </c>
      <c r="F1295" t="inlineStr">
        <is>
          <t>BLEKINGE LÄN</t>
        </is>
      </c>
      <c r="G1295" t="inlineStr">
        <is>
          <t>KARLSKRONA</t>
        </is>
      </c>
      <c r="I1295" t="n">
        <v>9.4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45908-2023</t>
        </is>
      </c>
      <c r="B1296" t="inlineStr">
        <is>
          <t>avverkningsanmälan</t>
        </is>
      </c>
      <c r="C1296" t="inlineStr">
        <is>
          <t>Föryngringsavverkning</t>
        </is>
      </c>
      <c r="D1296" s="1" t="n">
        <v>45195</v>
      </c>
      <c r="E1296" s="1" t="n">
        <v>46248</v>
      </c>
      <c r="F1296" t="inlineStr">
        <is>
          <t>BLEKINGE LÄN</t>
        </is>
      </c>
      <c r="G1296" t="inlineStr">
        <is>
          <t>KARLSKRONA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51284-2023</t>
        </is>
      </c>
      <c r="B1297" t="inlineStr">
        <is>
          <t>avverkningsanmälan</t>
        </is>
      </c>
      <c r="C1297" t="inlineStr">
        <is>
          <t>Föryngringsavverkning</t>
        </is>
      </c>
      <c r="D1297" s="1" t="n">
        <v>45219</v>
      </c>
      <c r="E1297" s="1" t="n">
        <v>46248</v>
      </c>
      <c r="F1297" t="inlineStr">
        <is>
          <t>BLEKINGE LÄN</t>
        </is>
      </c>
      <c r="G1297" t="inlineStr">
        <is>
          <t>SÖLVESBORG</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42323-2023</t>
        </is>
      </c>
      <c r="B1298" t="inlineStr">
        <is>
          <t>avverkningsanmälan</t>
        </is>
      </c>
      <c r="C1298" t="inlineStr">
        <is>
          <t>Föryngringsavverkning</t>
        </is>
      </c>
      <c r="D1298" s="1" t="n">
        <v>45180</v>
      </c>
      <c r="E1298" s="1" t="n">
        <v>46248</v>
      </c>
      <c r="F1298" t="inlineStr">
        <is>
          <t>BLEKINGE LÄN</t>
        </is>
      </c>
      <c r="G1298" t="inlineStr">
        <is>
          <t>KARLSKRONA</t>
        </is>
      </c>
      <c r="I1298" t="n">
        <v>14.7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21090-2022</t>
        </is>
      </c>
      <c r="B1299" t="inlineStr">
        <is>
          <t>avverkningsanmälan</t>
        </is>
      </c>
      <c r="C1299" t="inlineStr">
        <is>
          <t>Föryngringsavverkning</t>
        </is>
      </c>
      <c r="D1299" s="1" t="n">
        <v>44704</v>
      </c>
      <c r="E1299" s="1" t="n">
        <v>46248</v>
      </c>
      <c r="F1299" t="inlineStr">
        <is>
          <t>BLEKINGE LÄN</t>
        </is>
      </c>
      <c r="G1299" t="inlineStr">
        <is>
          <t>OLOFSTRÖM</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63423-2023</t>
        </is>
      </c>
      <c r="B1300" t="inlineStr">
        <is>
          <t>avverkningsanmälan</t>
        </is>
      </c>
      <c r="C1300" t="inlineStr">
        <is>
          <t>Föryngringsavverkning</t>
        </is>
      </c>
      <c r="D1300" s="1" t="n">
        <v>45274</v>
      </c>
      <c r="E1300" s="1" t="n">
        <v>46248</v>
      </c>
      <c r="F1300" t="inlineStr">
        <is>
          <t>BLEKINGE LÄN</t>
        </is>
      </c>
      <c r="G1300" t="inlineStr">
        <is>
          <t>OLOFSTRÖM</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64465-2023</t>
        </is>
      </c>
      <c r="B1301" t="inlineStr">
        <is>
          <t>avverkningsanmälan</t>
        </is>
      </c>
      <c r="C1301" t="inlineStr">
        <is>
          <t>Föryngringsavverkning</t>
        </is>
      </c>
      <c r="D1301" s="1" t="n">
        <v>45280</v>
      </c>
      <c r="E1301" s="1" t="n">
        <v>46248</v>
      </c>
      <c r="F1301" t="inlineStr">
        <is>
          <t>BLEKINGE LÄN</t>
        </is>
      </c>
      <c r="G1301" t="inlineStr">
        <is>
          <t>RONNEBY</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9227-2025</t>
        </is>
      </c>
      <c r="B1302" t="inlineStr">
        <is>
          <t>avverkningsanmälan</t>
        </is>
      </c>
      <c r="C1302" t="inlineStr">
        <is>
          <t>Föryngringsavverkning</t>
        </is>
      </c>
      <c r="D1302" s="1" t="n">
        <v>45714</v>
      </c>
      <c r="E1302" s="1" t="n">
        <v>46248</v>
      </c>
      <c r="F1302" t="inlineStr">
        <is>
          <t>BLEKINGE LÄN</t>
        </is>
      </c>
      <c r="G1302" t="inlineStr">
        <is>
          <t>RONNEBY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56191-2023</t>
        </is>
      </c>
      <c r="B1303" t="inlineStr">
        <is>
          <t>avverkningsanmälan</t>
        </is>
      </c>
      <c r="C1303" t="inlineStr">
        <is>
          <t>Föryngringsavverkning</t>
        </is>
      </c>
      <c r="D1303" s="1" t="n">
        <v>45240</v>
      </c>
      <c r="E1303" s="1" t="n">
        <v>46248</v>
      </c>
      <c r="F1303" t="inlineStr">
        <is>
          <t>BLEKINGE LÄN</t>
        </is>
      </c>
      <c r="G1303" t="inlineStr">
        <is>
          <t>KARLSHAMN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2369-2024</t>
        </is>
      </c>
      <c r="B1304" t="inlineStr">
        <is>
          <t>avverkningsanmälan</t>
        </is>
      </c>
      <c r="C1304" t="inlineStr">
        <is>
          <t>Föryngringsavverkning</t>
        </is>
      </c>
      <c r="D1304" s="1" t="n">
        <v>45310</v>
      </c>
      <c r="E1304" s="1" t="n">
        <v>46248</v>
      </c>
      <c r="F1304" t="inlineStr">
        <is>
          <t>BLEKINGE LÄN</t>
        </is>
      </c>
      <c r="G1304" t="inlineStr">
        <is>
          <t>KARLSHAMN</t>
        </is>
      </c>
      <c r="H1304" t="inlineStr">
        <is>
          <t>Kommuner</t>
        </is>
      </c>
      <c r="I1304" t="n">
        <v>7.3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14554-2023</t>
        </is>
      </c>
      <c r="B1305" t="inlineStr">
        <is>
          <t>avverkningsanmälan</t>
        </is>
      </c>
      <c r="C1305" t="inlineStr">
        <is>
          <t>Föryngringsavverkning</t>
        </is>
      </c>
      <c r="D1305" s="1" t="n">
        <v>45013</v>
      </c>
      <c r="E1305" s="1" t="n">
        <v>46248</v>
      </c>
      <c r="F1305" t="inlineStr">
        <is>
          <t>BLEKINGE LÄN</t>
        </is>
      </c>
      <c r="G1305" t="inlineStr">
        <is>
          <t>KARLSKRONA</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14557-2023</t>
        </is>
      </c>
      <c r="B1306" t="inlineStr">
        <is>
          <t>avverkningsanmälan</t>
        </is>
      </c>
      <c r="C1306" t="inlineStr">
        <is>
          <t>Föryngringsavverkning</t>
        </is>
      </c>
      <c r="D1306" s="1" t="n">
        <v>45013</v>
      </c>
      <c r="E1306" s="1" t="n">
        <v>46248</v>
      </c>
      <c r="F1306" t="inlineStr">
        <is>
          <t>BLEKINGE LÄN</t>
        </is>
      </c>
      <c r="G1306" t="inlineStr">
        <is>
          <t>KARLSKRONA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42335-2023</t>
        </is>
      </c>
      <c r="B1307" t="inlineStr">
        <is>
          <t>avverkningsanmälan</t>
        </is>
      </c>
      <c r="C1307" t="inlineStr">
        <is>
          <t>Föryngringsavverkning</t>
        </is>
      </c>
      <c r="D1307" s="1" t="n">
        <v>45180</v>
      </c>
      <c r="E1307" s="1" t="n">
        <v>46248</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31415-2022</t>
        </is>
      </c>
      <c r="B1308" t="inlineStr">
        <is>
          <t>avverkningsanmälan</t>
        </is>
      </c>
      <c r="C1308" t="inlineStr">
        <is>
          <t>Föryngringsavverkning</t>
        </is>
      </c>
      <c r="D1308" s="1" t="n">
        <v>44774</v>
      </c>
      <c r="E1308" s="1" t="n">
        <v>46248</v>
      </c>
      <c r="F1308" t="inlineStr">
        <is>
          <t>BLEKINGE LÄN</t>
        </is>
      </c>
      <c r="G1308" t="inlineStr">
        <is>
          <t>RONNEBY</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38375-2024</t>
        </is>
      </c>
      <c r="B1309" t="inlineStr">
        <is>
          <t>avverkningsanmälan</t>
        </is>
      </c>
      <c r="C1309" t="inlineStr">
        <is>
          <t>Föryngringsavverkning</t>
        </is>
      </c>
      <c r="D1309" s="1" t="n">
        <v>45545</v>
      </c>
      <c r="E1309" s="1" t="n">
        <v>46248</v>
      </c>
      <c r="F1309" t="inlineStr">
        <is>
          <t>BLEKINGE LÄN</t>
        </is>
      </c>
      <c r="G1309" t="inlineStr">
        <is>
          <t>RONNEBY</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59122-2024</t>
        </is>
      </c>
      <c r="B1310" t="inlineStr">
        <is>
          <t>avverkningsanmälan</t>
        </is>
      </c>
      <c r="C1310" t="inlineStr">
        <is>
          <t>Föryngringsavverkning</t>
        </is>
      </c>
      <c r="D1310" s="1" t="n">
        <v>45637</v>
      </c>
      <c r="E1310" s="1" t="n">
        <v>46248</v>
      </c>
      <c r="F1310" t="inlineStr">
        <is>
          <t>BLEKINGE LÄN</t>
        </is>
      </c>
      <c r="G1310" t="inlineStr">
        <is>
          <t>KARLSKRONA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60960-2023</t>
        </is>
      </c>
      <c r="B1311" t="inlineStr">
        <is>
          <t>avverkningsanmälan</t>
        </is>
      </c>
      <c r="C1311" t="inlineStr">
        <is>
          <t>Föryngringsavverkning</t>
        </is>
      </c>
      <c r="D1311" s="1" t="n">
        <v>45261</v>
      </c>
      <c r="E1311" s="1" t="n">
        <v>46248</v>
      </c>
      <c r="F1311" t="inlineStr">
        <is>
          <t>BLEKINGE LÄN</t>
        </is>
      </c>
      <c r="G1311" t="inlineStr">
        <is>
          <t>KARLSKRONA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73654-2021</t>
        </is>
      </c>
      <c r="B1312" t="inlineStr">
        <is>
          <t>avverkningsanmälan</t>
        </is>
      </c>
      <c r="C1312" t="inlineStr">
        <is>
          <t>Föryngringsavverkning</t>
        </is>
      </c>
      <c r="D1312" s="1" t="n">
        <v>44552</v>
      </c>
      <c r="E1312" s="1" t="n">
        <v>46248</v>
      </c>
      <c r="F1312" t="inlineStr">
        <is>
          <t>BLEKINGE LÄN</t>
        </is>
      </c>
      <c r="G1312" t="inlineStr">
        <is>
          <t>OLOFSTRÖM</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8107-2023</t>
        </is>
      </c>
      <c r="B1313" t="inlineStr">
        <is>
          <t>avverkningsanmälan</t>
        </is>
      </c>
      <c r="C1313" t="inlineStr">
        <is>
          <t>Föryngringsavverkning</t>
        </is>
      </c>
      <c r="D1313" s="1" t="n">
        <v>44970</v>
      </c>
      <c r="E1313" s="1" t="n">
        <v>46248</v>
      </c>
      <c r="F1313" t="inlineStr">
        <is>
          <t>BLEKINGE LÄN</t>
        </is>
      </c>
      <c r="G1313" t="inlineStr">
        <is>
          <t>OLOFSTRÖM</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31288-2023</t>
        </is>
      </c>
      <c r="B1314" t="inlineStr">
        <is>
          <t>avverkningsanmälan</t>
        </is>
      </c>
      <c r="C1314" t="inlineStr">
        <is>
          <t>Föryngringsavverkning</t>
        </is>
      </c>
      <c r="D1314" s="1" t="n">
        <v>45114</v>
      </c>
      <c r="E1314" s="1" t="n">
        <v>46248</v>
      </c>
      <c r="F1314" t="inlineStr">
        <is>
          <t>BLEKINGE LÄN</t>
        </is>
      </c>
      <c r="G1314" t="inlineStr">
        <is>
          <t>KARLSHAMN</t>
        </is>
      </c>
      <c r="I1314" t="n">
        <v>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6296-2025</t>
        </is>
      </c>
      <c r="B1315" t="inlineStr">
        <is>
          <t>avverkningsanmälan</t>
        </is>
      </c>
      <c r="C1315" t="inlineStr">
        <is>
          <t>Föryngringsavverkning</t>
        </is>
      </c>
      <c r="D1315" s="1" t="n">
        <v>45698</v>
      </c>
      <c r="E1315" s="1" t="n">
        <v>46248</v>
      </c>
      <c r="F1315" t="inlineStr">
        <is>
          <t>BLEKINGE LÄN</t>
        </is>
      </c>
      <c r="G1315" t="inlineStr">
        <is>
          <t>OLOFSTRÖM</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9583-2024</t>
        </is>
      </c>
      <c r="B1316" t="inlineStr">
        <is>
          <t>avverkningsanmälan</t>
        </is>
      </c>
      <c r="C1316" t="inlineStr">
        <is>
          <t>Föryngringsavverkning</t>
        </is>
      </c>
      <c r="D1316" s="1" t="n">
        <v>45360</v>
      </c>
      <c r="E1316" s="1" t="n">
        <v>46248</v>
      </c>
      <c r="F1316" t="inlineStr">
        <is>
          <t>BLEKINGE LÄN</t>
        </is>
      </c>
      <c r="G1316" t="inlineStr">
        <is>
          <t>RONNEBY</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9620-2024</t>
        </is>
      </c>
      <c r="B1317" t="inlineStr">
        <is>
          <t>avverkningsanmälan</t>
        </is>
      </c>
      <c r="C1317" t="inlineStr">
        <is>
          <t>Föryngringsavverkning</t>
        </is>
      </c>
      <c r="D1317" s="1" t="n">
        <v>45361</v>
      </c>
      <c r="E1317" s="1" t="n">
        <v>46248</v>
      </c>
      <c r="F1317" t="inlineStr">
        <is>
          <t>BLEKINGE LÄN</t>
        </is>
      </c>
      <c r="G1317" t="inlineStr">
        <is>
          <t>KARLSKRONA</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42532-2023</t>
        </is>
      </c>
      <c r="B1318" t="inlineStr">
        <is>
          <t>avverkningsanmälan</t>
        </is>
      </c>
      <c r="C1318" t="inlineStr">
        <is>
          <t>Föryngringsavverkning</t>
        </is>
      </c>
      <c r="D1318" s="1" t="n">
        <v>45181</v>
      </c>
      <c r="E1318" s="1" t="n">
        <v>46248</v>
      </c>
      <c r="F1318" t="inlineStr">
        <is>
          <t>BLEKINGE LÄN</t>
        </is>
      </c>
      <c r="G1318" t="inlineStr">
        <is>
          <t>KARLSKRONA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3475-2024</t>
        </is>
      </c>
      <c r="B1319" t="inlineStr">
        <is>
          <t>avverkningsanmälan</t>
        </is>
      </c>
      <c r="C1319" t="inlineStr">
        <is>
          <t>Föryngringsavverkning</t>
        </is>
      </c>
      <c r="D1319" s="1" t="n">
        <v>45320</v>
      </c>
      <c r="E1319" s="1" t="n">
        <v>46248</v>
      </c>
      <c r="F1319" t="inlineStr">
        <is>
          <t>BLEKINGE LÄN</t>
        </is>
      </c>
      <c r="G1319" t="inlineStr">
        <is>
          <t>OLOFSTRÖM</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1432-2024</t>
        </is>
      </c>
      <c r="B1320" t="inlineStr">
        <is>
          <t>avverkningsanmälan</t>
        </is>
      </c>
      <c r="C1320" t="inlineStr">
        <is>
          <t>Föryngringsavverkning</t>
        </is>
      </c>
      <c r="D1320" s="1" t="n">
        <v>45303</v>
      </c>
      <c r="E1320" s="1" t="n">
        <v>46248</v>
      </c>
      <c r="F1320" t="inlineStr">
        <is>
          <t>BLEKINGE LÄN</t>
        </is>
      </c>
      <c r="G1320" t="inlineStr">
        <is>
          <t>RONNEBY</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41040-2024</t>
        </is>
      </c>
      <c r="B1321" t="inlineStr">
        <is>
          <t>avverkningsanmälan</t>
        </is>
      </c>
      <c r="C1321" t="inlineStr">
        <is>
          <t>Föryngringsavverkning</t>
        </is>
      </c>
      <c r="D1321" s="1" t="n">
        <v>45559</v>
      </c>
      <c r="E1321" s="1" t="n">
        <v>46248</v>
      </c>
      <c r="F1321" t="inlineStr">
        <is>
          <t>BLEKINGE LÄN</t>
        </is>
      </c>
      <c r="G1321" t="inlineStr">
        <is>
          <t>RONNEBY</t>
        </is>
      </c>
      <c r="H1321" t="inlineStr">
        <is>
          <t>Övriga Aktiebolag</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41201-2022</t>
        </is>
      </c>
      <c r="B1322" t="inlineStr">
        <is>
          <t>avverkningsanmälan</t>
        </is>
      </c>
      <c r="C1322" t="inlineStr">
        <is>
          <t>Föryngringsavverkning</t>
        </is>
      </c>
      <c r="D1322" s="1" t="n">
        <v>44825</v>
      </c>
      <c r="E1322" s="1" t="n">
        <v>46248</v>
      </c>
      <c r="F1322" t="inlineStr">
        <is>
          <t>BLEKINGE LÄN</t>
        </is>
      </c>
      <c r="G1322" t="inlineStr">
        <is>
          <t>KARLSKRONA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10576-2024</t>
        </is>
      </c>
      <c r="B1323" t="inlineStr">
        <is>
          <t>avverkningsanmälan</t>
        </is>
      </c>
      <c r="C1323" t="inlineStr">
        <is>
          <t>Föryngringsavverkning</t>
        </is>
      </c>
      <c r="D1323" s="1" t="n">
        <v>45366</v>
      </c>
      <c r="E1323" s="1" t="n">
        <v>46248</v>
      </c>
      <c r="F1323" t="inlineStr">
        <is>
          <t>BLEKINGE LÄN</t>
        </is>
      </c>
      <c r="G1323" t="inlineStr">
        <is>
          <t>KARLSKRONA</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6242-2024</t>
        </is>
      </c>
      <c r="B1324" t="inlineStr">
        <is>
          <t>avverkningsanmälan</t>
        </is>
      </c>
      <c r="C1324" t="inlineStr">
        <is>
          <t>Föryngringsavverkning</t>
        </is>
      </c>
      <c r="D1324" s="1" t="n">
        <v>45337</v>
      </c>
      <c r="E1324" s="1" t="n">
        <v>46248</v>
      </c>
      <c r="F1324" t="inlineStr">
        <is>
          <t>BLEKINGE LÄN</t>
        </is>
      </c>
      <c r="G1324" t="inlineStr">
        <is>
          <t>RONNEBY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61740-2022</t>
        </is>
      </c>
      <c r="B1325" t="inlineStr">
        <is>
          <t>avverkningsanmälan</t>
        </is>
      </c>
      <c r="C1325" t="inlineStr">
        <is>
          <t>Föryngringsavverkning</t>
        </is>
      </c>
      <c r="D1325" s="1" t="n">
        <v>44917</v>
      </c>
      <c r="E1325" s="1" t="n">
        <v>46248</v>
      </c>
      <c r="F1325" t="inlineStr">
        <is>
          <t>BLEKINGE LÄN</t>
        </is>
      </c>
      <c r="G1325" t="inlineStr">
        <is>
          <t>RONNEBY</t>
        </is>
      </c>
      <c r="I1325" t="n">
        <v>3.8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62677-2023</t>
        </is>
      </c>
      <c r="B1326" t="inlineStr">
        <is>
          <t>avverkningsanmälan</t>
        </is>
      </c>
      <c r="C1326" t="inlineStr">
        <is>
          <t>Föryngringsavverkning</t>
        </is>
      </c>
      <c r="D1326" s="1" t="n">
        <v>45271</v>
      </c>
      <c r="E1326" s="1" t="n">
        <v>46248</v>
      </c>
      <c r="F1326" t="inlineStr">
        <is>
          <t>BLEKINGE LÄN</t>
        </is>
      </c>
      <c r="G1326" t="inlineStr">
        <is>
          <t>OLOFSTRÖM</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19594-2024</t>
        </is>
      </c>
      <c r="B1327" t="inlineStr">
        <is>
          <t>avverkningsanmälan</t>
        </is>
      </c>
      <c r="C1327" t="inlineStr">
        <is>
          <t>Föryngringsavverkning</t>
        </is>
      </c>
      <c r="D1327" s="1" t="n">
        <v>45430</v>
      </c>
      <c r="E1327" s="1" t="n">
        <v>46248</v>
      </c>
      <c r="F1327" t="inlineStr">
        <is>
          <t>BLEKINGE LÄN</t>
        </is>
      </c>
      <c r="G1327" t="inlineStr">
        <is>
          <t>RONNEBY</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52632-2023</t>
        </is>
      </c>
      <c r="B1328" t="inlineStr">
        <is>
          <t>avverkningsanmälan</t>
        </is>
      </c>
      <c r="C1328" t="inlineStr">
        <is>
          <t>Föryngringsavverkning</t>
        </is>
      </c>
      <c r="D1328" s="1" t="n">
        <v>45225</v>
      </c>
      <c r="E1328" s="1" t="n">
        <v>46248</v>
      </c>
      <c r="F1328" t="inlineStr">
        <is>
          <t>BLEKINGE LÄN</t>
        </is>
      </c>
      <c r="G1328" t="inlineStr">
        <is>
          <t>KARLSHAMN</t>
        </is>
      </c>
      <c r="I1328" t="n">
        <v>5.4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42736-2022</t>
        </is>
      </c>
      <c r="B1329" t="inlineStr">
        <is>
          <t>avverkningsanmälan</t>
        </is>
      </c>
      <c r="C1329" t="inlineStr">
        <is>
          <t>Föryngringsavverkning</t>
        </is>
      </c>
      <c r="D1329" s="1" t="n">
        <v>44832</v>
      </c>
      <c r="E1329" s="1" t="n">
        <v>46248</v>
      </c>
      <c r="F1329" t="inlineStr">
        <is>
          <t>BLEKINGE LÄN</t>
        </is>
      </c>
      <c r="G1329" t="inlineStr">
        <is>
          <t>OLOFSTRÖM</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4470-2023</t>
        </is>
      </c>
      <c r="B1330" t="inlineStr">
        <is>
          <t>avverkningsanmälan</t>
        </is>
      </c>
      <c r="C1330" t="inlineStr">
        <is>
          <t>Föryngringsavverkning</t>
        </is>
      </c>
      <c r="D1330" s="1" t="n">
        <v>44956</v>
      </c>
      <c r="E1330" s="1" t="n">
        <v>46248</v>
      </c>
      <c r="F1330" t="inlineStr">
        <is>
          <t>BLEKINGE LÄN</t>
        </is>
      </c>
      <c r="G1330" t="inlineStr">
        <is>
          <t>RONNEBY</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47336-2023</t>
        </is>
      </c>
      <c r="B1331" t="inlineStr">
        <is>
          <t>avverkningsanmälan</t>
        </is>
      </c>
      <c r="C1331" t="inlineStr">
        <is>
          <t>Föryngringsavverkning</t>
        </is>
      </c>
      <c r="D1331" s="1" t="n">
        <v>45202</v>
      </c>
      <c r="E1331" s="1" t="n">
        <v>46248</v>
      </c>
      <c r="F1331" t="inlineStr">
        <is>
          <t>BLEKINGE LÄN</t>
        </is>
      </c>
      <c r="G1331" t="inlineStr">
        <is>
          <t>KARLSKRONA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23158-2023</t>
        </is>
      </c>
      <c r="B1332" t="inlineStr">
        <is>
          <t>avverkningsanmälan</t>
        </is>
      </c>
      <c r="C1332" t="inlineStr">
        <is>
          <t>Föryngringsavverkning</t>
        </is>
      </c>
      <c r="D1332" s="1" t="n">
        <v>45075</v>
      </c>
      <c r="E1332" s="1" t="n">
        <v>46248</v>
      </c>
      <c r="F1332" t="inlineStr">
        <is>
          <t>BLEKINGE LÄN</t>
        </is>
      </c>
      <c r="G1332" t="inlineStr">
        <is>
          <t>KARLSKRONA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6813-2024</t>
        </is>
      </c>
      <c r="B1333" t="inlineStr">
        <is>
          <t>avverkningsanmälan</t>
        </is>
      </c>
      <c r="C1333" t="inlineStr">
        <is>
          <t>Föryngringsavverkning</t>
        </is>
      </c>
      <c r="D1333" s="1" t="n">
        <v>45342</v>
      </c>
      <c r="E1333" s="1" t="n">
        <v>46248</v>
      </c>
      <c r="F1333" t="inlineStr">
        <is>
          <t>BLEKINGE LÄN</t>
        </is>
      </c>
      <c r="G1333" t="inlineStr">
        <is>
          <t>RONNEBY</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6869-2024</t>
        </is>
      </c>
      <c r="B1334" t="inlineStr">
        <is>
          <t>avverkningsanmälan</t>
        </is>
      </c>
      <c r="C1334" t="inlineStr">
        <is>
          <t>Föryngringsavverkning</t>
        </is>
      </c>
      <c r="D1334" s="1" t="n">
        <v>45342</v>
      </c>
      <c r="E1334" s="1" t="n">
        <v>46248</v>
      </c>
      <c r="F1334" t="inlineStr">
        <is>
          <t>BLEKINGE LÄN</t>
        </is>
      </c>
      <c r="G1334" t="inlineStr">
        <is>
          <t>RONNEBY</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19092-2024</t>
        </is>
      </c>
      <c r="B1335" t="inlineStr">
        <is>
          <t>avverkningsanmälan</t>
        </is>
      </c>
      <c r="C1335" t="inlineStr">
        <is>
          <t>Föryngringsavverkning</t>
        </is>
      </c>
      <c r="D1335" s="1" t="n">
        <v>45428</v>
      </c>
      <c r="E1335" s="1" t="n">
        <v>46248</v>
      </c>
      <c r="F1335" t="inlineStr">
        <is>
          <t>BLEKINGE LÄN</t>
        </is>
      </c>
      <c r="G1335" t="inlineStr">
        <is>
          <t>RONNEBY</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697-2023</t>
        </is>
      </c>
      <c r="B1336" t="inlineStr">
        <is>
          <t>avverkningsanmälan</t>
        </is>
      </c>
      <c r="C1336" t="inlineStr">
        <is>
          <t>Föryngringsavverkning</t>
        </is>
      </c>
      <c r="D1336" s="1" t="n">
        <v>44930</v>
      </c>
      <c r="E1336" s="1" t="n">
        <v>46248</v>
      </c>
      <c r="F1336" t="inlineStr">
        <is>
          <t>BLEKINGE LÄN</t>
        </is>
      </c>
      <c r="G1336" t="inlineStr">
        <is>
          <t>KARLSKRONA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2327-2025</t>
        </is>
      </c>
      <c r="B1337" t="inlineStr">
        <is>
          <t>avverkningsanmälan</t>
        </is>
      </c>
      <c r="C1337" t="inlineStr">
        <is>
          <t>Föryngringsavverkning</t>
        </is>
      </c>
      <c r="D1337" s="1" t="n">
        <v>45673</v>
      </c>
      <c r="E1337" s="1" t="n">
        <v>46248</v>
      </c>
      <c r="F1337" t="inlineStr">
        <is>
          <t>BLEKINGE LÄN</t>
        </is>
      </c>
      <c r="G1337" t="inlineStr">
        <is>
          <t>SÖLVESBORG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62669-2022</t>
        </is>
      </c>
      <c r="B1338" t="inlineStr">
        <is>
          <t>avverkningsanmälan</t>
        </is>
      </c>
      <c r="C1338" t="inlineStr">
        <is>
          <t>Föryngringsavverkning</t>
        </is>
      </c>
      <c r="D1338" s="1" t="n">
        <v>44925</v>
      </c>
      <c r="E1338" s="1" t="n">
        <v>46248</v>
      </c>
      <c r="F1338" t="inlineStr">
        <is>
          <t>BLEKINGE LÄN</t>
        </is>
      </c>
      <c r="G1338" t="inlineStr">
        <is>
          <t>RONNEBY</t>
        </is>
      </c>
      <c r="H1338" t="inlineStr">
        <is>
          <t>Övriga Aktiebolag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2191-2024</t>
        </is>
      </c>
      <c r="B1339" t="inlineStr">
        <is>
          <t>avverkningsanmälan</t>
        </is>
      </c>
      <c r="C1339" t="inlineStr">
        <is>
          <t>Föryngringsavverkning</t>
        </is>
      </c>
      <c r="D1339" s="1" t="n">
        <v>45309</v>
      </c>
      <c r="E1339" s="1" t="n">
        <v>46248</v>
      </c>
      <c r="F1339" t="inlineStr">
        <is>
          <t>BLEKINGE LÄN</t>
        </is>
      </c>
      <c r="G1339" t="inlineStr">
        <is>
          <t>KARLSKRONA</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27400-2023</t>
        </is>
      </c>
      <c r="B1340" t="inlineStr">
        <is>
          <t>avverkningsanmälan</t>
        </is>
      </c>
      <c r="C1340" t="inlineStr">
        <is>
          <t>Föryngringsavverkning</t>
        </is>
      </c>
      <c r="D1340" s="1" t="n">
        <v>45097</v>
      </c>
      <c r="E1340" s="1" t="n">
        <v>46248</v>
      </c>
      <c r="F1340" t="inlineStr">
        <is>
          <t>BLEKINGE LÄN</t>
        </is>
      </c>
      <c r="G1340" t="inlineStr">
        <is>
          <t>RONNEBY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44530-2023</t>
        </is>
      </c>
      <c r="B1341" t="inlineStr">
        <is>
          <t>avverkningsanmälan</t>
        </is>
      </c>
      <c r="C1341" t="inlineStr">
        <is>
          <t>Föryngringsavverkning</t>
        </is>
      </c>
      <c r="D1341" s="1" t="n">
        <v>45189</v>
      </c>
      <c r="E1341" s="1" t="n">
        <v>46248</v>
      </c>
      <c r="F1341" t="inlineStr">
        <is>
          <t>BLEKINGE LÄN</t>
        </is>
      </c>
      <c r="G1341" t="inlineStr">
        <is>
          <t>RONNEBY</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19642-2023</t>
        </is>
      </c>
      <c r="B1342" t="inlineStr">
        <is>
          <t>avverkningsanmälan</t>
        </is>
      </c>
      <c r="C1342" t="inlineStr">
        <is>
          <t>Föryngringsavverkning</t>
        </is>
      </c>
      <c r="D1342" s="1" t="n">
        <v>45051</v>
      </c>
      <c r="E1342" s="1" t="n">
        <v>46248</v>
      </c>
      <c r="F1342" t="inlineStr">
        <is>
          <t>BLEKINGE LÄN</t>
        </is>
      </c>
      <c r="G1342" t="inlineStr">
        <is>
          <t>RONNEBY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42861-2023</t>
        </is>
      </c>
      <c r="B1343" t="inlineStr">
        <is>
          <t>avverkningsanmälan</t>
        </is>
      </c>
      <c r="C1343" t="inlineStr">
        <is>
          <t>Föryngringsavverkning</t>
        </is>
      </c>
      <c r="D1343" s="1" t="n">
        <v>45182</v>
      </c>
      <c r="E1343" s="1" t="n">
        <v>46248</v>
      </c>
      <c r="F1343" t="inlineStr">
        <is>
          <t>BLEKINGE LÄN</t>
        </is>
      </c>
      <c r="G1343" t="inlineStr">
        <is>
          <t>KARLSKRONA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15456-2025</t>
        </is>
      </c>
      <c r="B1344" t="inlineStr">
        <is>
          <t>avverkningsanmälan</t>
        </is>
      </c>
      <c r="C1344" t="inlineStr">
        <is>
          <t>Föryngringsavverkning</t>
        </is>
      </c>
      <c r="D1344" s="1" t="n">
        <v>45747</v>
      </c>
      <c r="E1344" s="1" t="n">
        <v>46248</v>
      </c>
      <c r="F1344" t="inlineStr">
        <is>
          <t>BLEKINGE LÄN</t>
        </is>
      </c>
      <c r="G1344" t="inlineStr">
        <is>
          <t>KARLSKRONA</t>
        </is>
      </c>
      <c r="I1344" t="n">
        <v>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12796-2025</t>
        </is>
      </c>
      <c r="B1345" t="inlineStr">
        <is>
          <t>avverkningsanmälan</t>
        </is>
      </c>
      <c r="C1345" t="inlineStr">
        <is>
          <t>Föryngringsavverkning</t>
        </is>
      </c>
      <c r="D1345" s="1" t="n">
        <v>45733</v>
      </c>
      <c r="E1345" s="1" t="n">
        <v>46248</v>
      </c>
      <c r="F1345" t="inlineStr">
        <is>
          <t>BLEKINGE LÄN</t>
        </is>
      </c>
      <c r="G1345" t="inlineStr">
        <is>
          <t>OLOFSTRÖM</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10248-2022</t>
        </is>
      </c>
      <c r="B1346" t="inlineStr">
        <is>
          <t>avverkningsanmälan</t>
        </is>
      </c>
      <c r="C1346" t="inlineStr">
        <is>
          <t>Föryngringsavverkning</t>
        </is>
      </c>
      <c r="D1346" s="1" t="n">
        <v>44622</v>
      </c>
      <c r="E1346" s="1" t="n">
        <v>46248</v>
      </c>
      <c r="F1346" t="inlineStr">
        <is>
          <t>BLEKINGE LÄN</t>
        </is>
      </c>
      <c r="G1346" t="inlineStr">
        <is>
          <t>OLOFSTRÖM</t>
        </is>
      </c>
      <c r="I1346" t="n">
        <v>18.4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26490-2023</t>
        </is>
      </c>
      <c r="B1347" t="inlineStr">
        <is>
          <t>avverkningsanmälan</t>
        </is>
      </c>
      <c r="C1347" t="inlineStr">
        <is>
          <t>Föryngringsavverkning</t>
        </is>
      </c>
      <c r="D1347" s="1" t="n">
        <v>45092</v>
      </c>
      <c r="E1347" s="1" t="n">
        <v>46248</v>
      </c>
      <c r="F1347" t="inlineStr">
        <is>
          <t>BLEKINGE LÄN</t>
        </is>
      </c>
      <c r="G1347" t="inlineStr">
        <is>
          <t>KARLSKRONA</t>
        </is>
      </c>
      <c r="I1347" t="n">
        <v>10.8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26493-2023</t>
        </is>
      </c>
      <c r="B1348" t="inlineStr">
        <is>
          <t>avverkningsanmälan</t>
        </is>
      </c>
      <c r="C1348" t="inlineStr">
        <is>
          <t>Föryngringsavverkning</t>
        </is>
      </c>
      <c r="D1348" s="1" t="n">
        <v>45092</v>
      </c>
      <c r="E1348" s="1" t="n">
        <v>46248</v>
      </c>
      <c r="F1348" t="inlineStr">
        <is>
          <t>BLEKINGE LÄN</t>
        </is>
      </c>
      <c r="G1348" t="inlineStr">
        <is>
          <t>SÖLVESBORG</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58722-2023</t>
        </is>
      </c>
      <c r="B1349" t="inlineStr">
        <is>
          <t>avverkningsanmälan</t>
        </is>
      </c>
      <c r="C1349" t="inlineStr">
        <is>
          <t>Föryngringsavverkning</t>
        </is>
      </c>
      <c r="D1349" s="1" t="n">
        <v>45251</v>
      </c>
      <c r="E1349" s="1" t="n">
        <v>46248</v>
      </c>
      <c r="F1349" t="inlineStr">
        <is>
          <t>BLEKINGE LÄN</t>
        </is>
      </c>
      <c r="G1349" t="inlineStr">
        <is>
          <t>RONNEBY</t>
        </is>
      </c>
      <c r="H1349" t="inlineStr">
        <is>
          <t>Övriga Aktiebolag</t>
        </is>
      </c>
      <c r="I1349" t="n">
        <v>5.4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49939-2024</t>
        </is>
      </c>
      <c r="B1350" t="inlineStr">
        <is>
          <t>avverkningsanmälan</t>
        </is>
      </c>
      <c r="C1350" t="inlineStr">
        <is>
          <t>Föryngringsavverkning</t>
        </is>
      </c>
      <c r="D1350" s="1" t="n">
        <v>45597</v>
      </c>
      <c r="E1350" s="1" t="n">
        <v>46248</v>
      </c>
      <c r="F1350" t="inlineStr">
        <is>
          <t>BLEKINGE LÄN</t>
        </is>
      </c>
      <c r="G1350" t="inlineStr">
        <is>
          <t>RONNEBY</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13688-2023</t>
        </is>
      </c>
      <c r="B1351" t="inlineStr">
        <is>
          <t>avverkningsanmälan</t>
        </is>
      </c>
      <c r="C1351" t="inlineStr">
        <is>
          <t>Föryngringsavverkning</t>
        </is>
      </c>
      <c r="D1351" s="1" t="n">
        <v>45006</v>
      </c>
      <c r="E1351" s="1" t="n">
        <v>46248</v>
      </c>
      <c r="F1351" t="inlineStr">
        <is>
          <t>BLEKINGE LÄN</t>
        </is>
      </c>
      <c r="G1351" t="inlineStr">
        <is>
          <t>RONNEBY</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52089-2023</t>
        </is>
      </c>
      <c r="B1352" t="inlineStr">
        <is>
          <t>avverkningsanmälan</t>
        </is>
      </c>
      <c r="C1352" t="inlineStr">
        <is>
          <t>Föryngringsavverkning</t>
        </is>
      </c>
      <c r="D1352" s="1" t="n">
        <v>45216</v>
      </c>
      <c r="E1352" s="1" t="n">
        <v>46248</v>
      </c>
      <c r="F1352" t="inlineStr">
        <is>
          <t>BLEKINGE LÄN</t>
        </is>
      </c>
      <c r="G1352" t="inlineStr">
        <is>
          <t>SÖLVESBORG</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45433-2023</t>
        </is>
      </c>
      <c r="B1353" t="inlineStr">
        <is>
          <t>avverkningsanmälan</t>
        </is>
      </c>
      <c r="C1353" t="inlineStr">
        <is>
          <t>Föryngringsavverkning</t>
        </is>
      </c>
      <c r="D1353" s="1" t="n">
        <v>45194</v>
      </c>
      <c r="E1353" s="1" t="n">
        <v>46248</v>
      </c>
      <c r="F1353" t="inlineStr">
        <is>
          <t>BLEKINGE LÄN</t>
        </is>
      </c>
      <c r="G1353" t="inlineStr">
        <is>
          <t>RONNEBY</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56107-2023</t>
        </is>
      </c>
      <c r="B1354" t="inlineStr">
        <is>
          <t>avverkningsanmälan</t>
        </is>
      </c>
      <c r="C1354" t="inlineStr">
        <is>
          <t>Föryngringsavverkning</t>
        </is>
      </c>
      <c r="D1354" s="1" t="n">
        <v>45233</v>
      </c>
      <c r="E1354" s="1" t="n">
        <v>46248</v>
      </c>
      <c r="F1354" t="inlineStr">
        <is>
          <t>BLEKINGE LÄN</t>
        </is>
      </c>
      <c r="G1354" t="inlineStr">
        <is>
          <t>OLOFSTRÖM</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22561-2023</t>
        </is>
      </c>
      <c r="B1355" t="inlineStr">
        <is>
          <t>avverkningsanmälan</t>
        </is>
      </c>
      <c r="C1355" t="inlineStr">
        <is>
          <t>Föryngringsavverkning</t>
        </is>
      </c>
      <c r="D1355" s="1" t="n">
        <v>45069</v>
      </c>
      <c r="E1355" s="1" t="n">
        <v>46248</v>
      </c>
      <c r="F1355" t="inlineStr">
        <is>
          <t>BLEKINGE LÄN</t>
        </is>
      </c>
      <c r="G1355" t="inlineStr">
        <is>
          <t>SÖLVESBORG</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73259-2021</t>
        </is>
      </c>
      <c r="B1356" t="inlineStr">
        <is>
          <t>avverkningsanmälan</t>
        </is>
      </c>
      <c r="C1356" t="inlineStr">
        <is>
          <t>Föryngringsavverkning</t>
        </is>
      </c>
      <c r="D1356" s="1" t="n">
        <v>44550</v>
      </c>
      <c r="E1356" s="1" t="n">
        <v>46248</v>
      </c>
      <c r="F1356" t="inlineStr">
        <is>
          <t>BLEKINGE LÄN</t>
        </is>
      </c>
      <c r="G1356" t="inlineStr">
        <is>
          <t>OLOFSTRÖM</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6253-2025</t>
        </is>
      </c>
      <c r="B1357" t="inlineStr">
        <is>
          <t>avverkningsanmälan</t>
        </is>
      </c>
      <c r="C1357" t="inlineStr">
        <is>
          <t>Föryngringsavverkning</t>
        </is>
      </c>
      <c r="D1357" s="1" t="n">
        <v>45698</v>
      </c>
      <c r="E1357" s="1" t="n">
        <v>46248</v>
      </c>
      <c r="F1357" t="inlineStr">
        <is>
          <t>BLEKINGE LÄN</t>
        </is>
      </c>
      <c r="G1357" t="inlineStr">
        <is>
          <t>OLOFSTRÖM</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57880-2023</t>
        </is>
      </c>
      <c r="B1358" t="inlineStr">
        <is>
          <t>avverkningsanmälan</t>
        </is>
      </c>
      <c r="C1358" t="inlineStr">
        <is>
          <t>Föryngringsavverkning</t>
        </is>
      </c>
      <c r="D1358" s="1" t="n">
        <v>45247</v>
      </c>
      <c r="E1358" s="1" t="n">
        <v>46248</v>
      </c>
      <c r="F1358" t="inlineStr">
        <is>
          <t>BLEKINGE LÄN</t>
        </is>
      </c>
      <c r="G1358" t="inlineStr">
        <is>
          <t>RONNEBY</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25975-2023</t>
        </is>
      </c>
      <c r="B1359" t="inlineStr">
        <is>
          <t>avverkningsanmälan</t>
        </is>
      </c>
      <c r="C1359" t="inlineStr">
        <is>
          <t>Föryngringsavverkning</t>
        </is>
      </c>
      <c r="D1359" s="1" t="n">
        <v>45090</v>
      </c>
      <c r="E1359" s="1" t="n">
        <v>46248</v>
      </c>
      <c r="F1359" t="inlineStr">
        <is>
          <t>BLEKINGE LÄN</t>
        </is>
      </c>
      <c r="G1359" t="inlineStr">
        <is>
          <t>KARLSKRONA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51284-2024</t>
        </is>
      </c>
      <c r="B1360" t="inlineStr">
        <is>
          <t>avverkningsanmälan</t>
        </is>
      </c>
      <c r="C1360" t="inlineStr">
        <is>
          <t>Föryngringsavverkning</t>
        </is>
      </c>
      <c r="D1360" s="1" t="n">
        <v>45603</v>
      </c>
      <c r="E1360" s="1" t="n">
        <v>46248</v>
      </c>
      <c r="F1360" t="inlineStr">
        <is>
          <t>BLEKINGE LÄN</t>
        </is>
      </c>
      <c r="G1360" t="inlineStr">
        <is>
          <t>OLOFSTRÖM</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8130-2025</t>
        </is>
      </c>
      <c r="B1361" t="inlineStr">
        <is>
          <t>avverkningsanmälan</t>
        </is>
      </c>
      <c r="C1361" t="inlineStr">
        <is>
          <t>Avverkning för annat ändamål</t>
        </is>
      </c>
      <c r="D1361" s="1" t="n">
        <v>45707</v>
      </c>
      <c r="E1361" s="1" t="n">
        <v>46248</v>
      </c>
      <c r="F1361" t="inlineStr">
        <is>
          <t>BLEKINGE LÄN</t>
        </is>
      </c>
      <c r="G1361" t="inlineStr">
        <is>
          <t>SÖLVESBORG</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11560-2024</t>
        </is>
      </c>
      <c r="B1362" t="inlineStr">
        <is>
          <t>avverkningsanmälan</t>
        </is>
      </c>
      <c r="C1362" t="inlineStr">
        <is>
          <t>Föryngringsavverkning</t>
        </is>
      </c>
      <c r="D1362" s="1" t="n">
        <v>45373</v>
      </c>
      <c r="E1362" s="1" t="n">
        <v>46248</v>
      </c>
      <c r="F1362" t="inlineStr">
        <is>
          <t>BLEKINGE LÄN</t>
        </is>
      </c>
      <c r="G1362" t="inlineStr">
        <is>
          <t>RONNEBY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25741-2025</t>
        </is>
      </c>
      <c r="B1363" t="inlineStr">
        <is>
          <t>avverkningsanmälan</t>
        </is>
      </c>
      <c r="C1363" t="inlineStr">
        <is>
          <t>Föryngringsavverkning</t>
        </is>
      </c>
      <c r="D1363" s="1" t="n">
        <v>45803</v>
      </c>
      <c r="E1363" s="1" t="n">
        <v>46248</v>
      </c>
      <c r="F1363" t="inlineStr">
        <is>
          <t>BLEKINGE LÄN</t>
        </is>
      </c>
      <c r="G1363" t="inlineStr">
        <is>
          <t>OLOFSTRÖM</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45644-2024</t>
        </is>
      </c>
      <c r="B1364" t="inlineStr">
        <is>
          <t>avverkningsanmälan</t>
        </is>
      </c>
      <c r="C1364" t="inlineStr">
        <is>
          <t>Föryngringsavverkning</t>
        </is>
      </c>
      <c r="D1364" s="1" t="n">
        <v>45579</v>
      </c>
      <c r="E1364" s="1" t="n">
        <v>46248</v>
      </c>
      <c r="F1364" t="inlineStr">
        <is>
          <t>BLEKINGE LÄN</t>
        </is>
      </c>
      <c r="G1364" t="inlineStr">
        <is>
          <t>RONNEBY</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58296-2024</t>
        </is>
      </c>
      <c r="B1365" t="inlineStr">
        <is>
          <t>avverkningsanmälan</t>
        </is>
      </c>
      <c r="C1365" t="inlineStr">
        <is>
          <t>Föryngringsavverkning</t>
        </is>
      </c>
      <c r="D1365" s="1" t="n">
        <v>45632</v>
      </c>
      <c r="E1365" s="1" t="n">
        <v>46248</v>
      </c>
      <c r="F1365" t="inlineStr">
        <is>
          <t>BLEKINGE LÄN</t>
        </is>
      </c>
      <c r="G1365" t="inlineStr">
        <is>
          <t>KARLSKRONA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4205-2024</t>
        </is>
      </c>
      <c r="B1366" t="inlineStr">
        <is>
          <t>avverkningsanmälan</t>
        </is>
      </c>
      <c r="C1366" t="inlineStr">
        <is>
          <t>Föryngringsavverkning</t>
        </is>
      </c>
      <c r="D1366" s="1" t="n">
        <v>45324</v>
      </c>
      <c r="E1366" s="1" t="n">
        <v>46248</v>
      </c>
      <c r="F1366" t="inlineStr">
        <is>
          <t>BLEKINGE LÄN</t>
        </is>
      </c>
      <c r="G1366" t="inlineStr">
        <is>
          <t>KARLSKRONA</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51934-2023</t>
        </is>
      </c>
      <c r="B1367" t="inlineStr">
        <is>
          <t>avverkningsanmälan</t>
        </is>
      </c>
      <c r="C1367" t="inlineStr">
        <is>
          <t>Föryngringsavverkning</t>
        </is>
      </c>
      <c r="D1367" s="1" t="n">
        <v>45223</v>
      </c>
      <c r="E1367" s="1" t="n">
        <v>46248</v>
      </c>
      <c r="F1367" t="inlineStr">
        <is>
          <t>BLEKINGE LÄN</t>
        </is>
      </c>
      <c r="G1367" t="inlineStr">
        <is>
          <t>KARLSKRONA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13380-2024</t>
        </is>
      </c>
      <c r="B1368" t="inlineStr">
        <is>
          <t>avverkningsanmälan</t>
        </is>
      </c>
      <c r="C1368" t="inlineStr">
        <is>
          <t>Föryngringsavverkning</t>
        </is>
      </c>
      <c r="D1368" s="1" t="n">
        <v>45387</v>
      </c>
      <c r="E1368" s="1" t="n">
        <v>46248</v>
      </c>
      <c r="F1368" t="inlineStr">
        <is>
          <t>BLEKINGE LÄN</t>
        </is>
      </c>
      <c r="G1368" t="inlineStr">
        <is>
          <t>KARLSKRONA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11165-2025</t>
        </is>
      </c>
      <c r="B1369" t="inlineStr">
        <is>
          <t>avverkningsanmälan</t>
        </is>
      </c>
      <c r="C1369" t="inlineStr">
        <is>
          <t>Föryngringsavverkning</t>
        </is>
      </c>
      <c r="D1369" s="1" t="n">
        <v>45724</v>
      </c>
      <c r="E1369" s="1" t="n">
        <v>46248</v>
      </c>
      <c r="F1369" t="inlineStr">
        <is>
          <t>BLEKINGE LÄN</t>
        </is>
      </c>
      <c r="G1369" t="inlineStr">
        <is>
          <t>RONNEBY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25682-2025</t>
        </is>
      </c>
      <c r="B1370" t="inlineStr">
        <is>
          <t>avverkningsanmälan</t>
        </is>
      </c>
      <c r="C1370" t="inlineStr">
        <is>
          <t>Föryngringsavverkning</t>
        </is>
      </c>
      <c r="D1370" s="1" t="n">
        <v>45803</v>
      </c>
      <c r="E1370" s="1" t="n">
        <v>46248</v>
      </c>
      <c r="F1370" t="inlineStr">
        <is>
          <t>BLEKINGE LÄN</t>
        </is>
      </c>
      <c r="G1370" t="inlineStr">
        <is>
          <t>OLOFSTRÖM</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40579-2023</t>
        </is>
      </c>
      <c r="B1371" t="inlineStr">
        <is>
          <t>avverkningsanmälan</t>
        </is>
      </c>
      <c r="C1371" t="inlineStr">
        <is>
          <t>Föryngringsavverkning</t>
        </is>
      </c>
      <c r="D1371" s="1" t="n">
        <v>45170</v>
      </c>
      <c r="E1371" s="1" t="n">
        <v>46248</v>
      </c>
      <c r="F1371" t="inlineStr">
        <is>
          <t>BLEKINGE LÄN</t>
        </is>
      </c>
      <c r="G1371" t="inlineStr">
        <is>
          <t>KARLSKRONA</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19710-2024</t>
        </is>
      </c>
      <c r="B1372" t="inlineStr">
        <is>
          <t>avverkningsanmälan</t>
        </is>
      </c>
      <c r="C1372" t="inlineStr">
        <is>
          <t>Föryngringsavverkning</t>
        </is>
      </c>
      <c r="D1372" s="1" t="n">
        <v>45432</v>
      </c>
      <c r="E1372" s="1" t="n">
        <v>46248</v>
      </c>
      <c r="F1372" t="inlineStr">
        <is>
          <t>BLEKINGE LÄN</t>
        </is>
      </c>
      <c r="G1372" t="inlineStr">
        <is>
          <t>OLOFSTRÖM</t>
        </is>
      </c>
      <c r="H1372" t="inlineStr">
        <is>
          <t>Kommuner</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30197-2024</t>
        </is>
      </c>
      <c r="B1373" t="inlineStr">
        <is>
          <t>avverkningsanmälan</t>
        </is>
      </c>
      <c r="C1373" t="inlineStr">
        <is>
          <t>Avverkning för annat ändamål</t>
        </is>
      </c>
      <c r="D1373" s="1" t="n">
        <v>45490</v>
      </c>
      <c r="E1373" s="1" t="n">
        <v>46248</v>
      </c>
      <c r="F1373" t="inlineStr">
        <is>
          <t>BLEKINGE LÄN</t>
        </is>
      </c>
      <c r="G1373" t="inlineStr">
        <is>
          <t>RONNEBY</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18730-2023</t>
        </is>
      </c>
      <c r="B1374" t="inlineStr">
        <is>
          <t>avverkningsanmälan</t>
        </is>
      </c>
      <c r="C1374" t="inlineStr">
        <is>
          <t>Föryngringsavverkning</t>
        </is>
      </c>
      <c r="D1374" s="1" t="n">
        <v>45042</v>
      </c>
      <c r="E1374" s="1" t="n">
        <v>46248</v>
      </c>
      <c r="F1374" t="inlineStr">
        <is>
          <t>BLEKINGE LÄN</t>
        </is>
      </c>
      <c r="G1374" t="inlineStr">
        <is>
          <t>KARLSKRONA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14234-2022</t>
        </is>
      </c>
      <c r="B1375" t="inlineStr">
        <is>
          <t>avverkningsanmälan</t>
        </is>
      </c>
      <c r="C1375" t="inlineStr">
        <is>
          <t>Föryngringsavverkning</t>
        </is>
      </c>
      <c r="D1375" s="1" t="n">
        <v>44651</v>
      </c>
      <c r="E1375" s="1" t="n">
        <v>46248</v>
      </c>
      <c r="F1375" t="inlineStr">
        <is>
          <t>BLEKINGE LÄN</t>
        </is>
      </c>
      <c r="G1375" t="inlineStr">
        <is>
          <t>RONNEBY</t>
        </is>
      </c>
      <c r="I1375" t="n">
        <v>8.300000000000001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16674-2025</t>
        </is>
      </c>
      <c r="B1376" t="inlineStr">
        <is>
          <t>avverkningsanmälan</t>
        </is>
      </c>
      <c r="C1376" t="inlineStr">
        <is>
          <t>Föryngringsavverkning</t>
        </is>
      </c>
      <c r="D1376" s="1" t="n">
        <v>45754</v>
      </c>
      <c r="E1376" s="1" t="n">
        <v>46248</v>
      </c>
      <c r="F1376" t="inlineStr">
        <is>
          <t>BLEKINGE LÄN</t>
        </is>
      </c>
      <c r="G1376" t="inlineStr">
        <is>
          <t>KARLSHAMN</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34451-2023</t>
        </is>
      </c>
      <c r="B1377" t="inlineStr">
        <is>
          <t>avverkningsanmälan</t>
        </is>
      </c>
      <c r="C1377" t="inlineStr">
        <is>
          <t>Föryngringsavverkning</t>
        </is>
      </c>
      <c r="D1377" s="1" t="n">
        <v>45139</v>
      </c>
      <c r="E1377" s="1" t="n">
        <v>46248</v>
      </c>
      <c r="F1377" t="inlineStr">
        <is>
          <t>BLEKINGE LÄN</t>
        </is>
      </c>
      <c r="G1377" t="inlineStr">
        <is>
          <t>RONNEBY</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16200-2024</t>
        </is>
      </c>
      <c r="B1378" t="inlineStr">
        <is>
          <t>avverkningsanmälan</t>
        </is>
      </c>
      <c r="C1378" t="inlineStr">
        <is>
          <t>Föryngringsavverkning</t>
        </is>
      </c>
      <c r="D1378" s="1" t="n">
        <v>45406</v>
      </c>
      <c r="E1378" s="1" t="n">
        <v>46248</v>
      </c>
      <c r="F1378" t="inlineStr">
        <is>
          <t>BLEKINGE LÄN</t>
        </is>
      </c>
      <c r="G1378" t="inlineStr">
        <is>
          <t>KARLSKRONA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38392-2023</t>
        </is>
      </c>
      <c r="B1379" t="inlineStr">
        <is>
          <t>avverkningsanmälan</t>
        </is>
      </c>
      <c r="C1379" t="inlineStr">
        <is>
          <t>Avverkning för annat ändamål</t>
        </is>
      </c>
      <c r="D1379" s="1" t="n">
        <v>45162</v>
      </c>
      <c r="E1379" s="1" t="n">
        <v>46248</v>
      </c>
      <c r="F1379" t="inlineStr">
        <is>
          <t>BLEKINGE LÄN</t>
        </is>
      </c>
      <c r="G1379" t="inlineStr">
        <is>
          <t>KARLSKRONA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42208-2021</t>
        </is>
      </c>
      <c r="B1380" t="inlineStr">
        <is>
          <t>avverkningsanmälan</t>
        </is>
      </c>
      <c r="C1380" t="inlineStr">
        <is>
          <t>Föryngringsavverkning</t>
        </is>
      </c>
      <c r="D1380" s="1" t="n">
        <v>44426</v>
      </c>
      <c r="E1380" s="1" t="n">
        <v>46248</v>
      </c>
      <c r="F1380" t="inlineStr">
        <is>
          <t>BLEKINGE LÄN</t>
        </is>
      </c>
      <c r="G1380" t="inlineStr">
        <is>
          <t>KARLSHAMN</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14511-2023</t>
        </is>
      </c>
      <c r="B1381" t="inlineStr">
        <is>
          <t>avverkningsanmälan</t>
        </is>
      </c>
      <c r="C1381" t="inlineStr">
        <is>
          <t>Avverkning för annat ändamål</t>
        </is>
      </c>
      <c r="D1381" s="1" t="n">
        <v>45012</v>
      </c>
      <c r="E1381" s="1" t="n">
        <v>46248</v>
      </c>
      <c r="F1381" t="inlineStr">
        <is>
          <t>BLEKINGE LÄN</t>
        </is>
      </c>
      <c r="G1381" t="inlineStr">
        <is>
          <t>KARLSKRONA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25861-2025</t>
        </is>
      </c>
      <c r="B1382" t="inlineStr">
        <is>
          <t>avverkningsanmälan</t>
        </is>
      </c>
      <c r="C1382" t="inlineStr">
        <is>
          <t>Föryngringsavverkning</t>
        </is>
      </c>
      <c r="D1382" s="1" t="n">
        <v>45803</v>
      </c>
      <c r="E1382" s="1" t="n">
        <v>46248</v>
      </c>
      <c r="F1382" t="inlineStr">
        <is>
          <t>BLEKINGE LÄN</t>
        </is>
      </c>
      <c r="G1382" t="inlineStr">
        <is>
          <t>RONNEBY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56539-2022</t>
        </is>
      </c>
      <c r="B1383" t="inlineStr">
        <is>
          <t>avverkningsanmälan</t>
        </is>
      </c>
      <c r="C1383" t="inlineStr">
        <is>
          <t>Föryngringsavverkning</t>
        </is>
      </c>
      <c r="D1383" s="1" t="n">
        <v>44893</v>
      </c>
      <c r="E1383" s="1" t="n">
        <v>46248</v>
      </c>
      <c r="F1383" t="inlineStr">
        <is>
          <t>BLEKINGE LÄN</t>
        </is>
      </c>
      <c r="G1383" t="inlineStr">
        <is>
          <t>KARLSKRONA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14362-2024</t>
        </is>
      </c>
      <c r="B1384" t="inlineStr">
        <is>
          <t>avverkningsanmälan</t>
        </is>
      </c>
      <c r="C1384" t="inlineStr">
        <is>
          <t>Föryngringsavverkning</t>
        </is>
      </c>
      <c r="D1384" s="1" t="n">
        <v>45393</v>
      </c>
      <c r="E1384" s="1" t="n">
        <v>46248</v>
      </c>
      <c r="F1384" t="inlineStr">
        <is>
          <t>BLEKINGE LÄN</t>
        </is>
      </c>
      <c r="G1384" t="inlineStr">
        <is>
          <t>KARLSKRONA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58015-2024</t>
        </is>
      </c>
      <c r="B1385" t="inlineStr">
        <is>
          <t>avverkningsanmälan</t>
        </is>
      </c>
      <c r="C1385" t="inlineStr">
        <is>
          <t>Föryngringsavverkning</t>
        </is>
      </c>
      <c r="D1385" s="1" t="n">
        <v>45631</v>
      </c>
      <c r="E1385" s="1" t="n">
        <v>46248</v>
      </c>
      <c r="F1385" t="inlineStr">
        <is>
          <t>BLEKINGE LÄN</t>
        </is>
      </c>
      <c r="G1385" t="inlineStr">
        <is>
          <t>KARLSHAMN</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38956-2023</t>
        </is>
      </c>
      <c r="B1386" t="inlineStr">
        <is>
          <t>avverkningsanmälan</t>
        </is>
      </c>
      <c r="C1386" t="inlineStr">
        <is>
          <t>Föryngringsavverkning</t>
        </is>
      </c>
      <c r="D1386" s="1" t="n">
        <v>45163</v>
      </c>
      <c r="E1386" s="1" t="n">
        <v>46248</v>
      </c>
      <c r="F1386" t="inlineStr">
        <is>
          <t>BLEKINGE LÄN</t>
        </is>
      </c>
      <c r="G1386" t="inlineStr">
        <is>
          <t>OLOFSTRÖM</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690-2023</t>
        </is>
      </c>
      <c r="B1387" t="inlineStr">
        <is>
          <t>avverkningsanmälan</t>
        </is>
      </c>
      <c r="C1387" t="inlineStr">
        <is>
          <t>Föryngringsavverkning</t>
        </is>
      </c>
      <c r="D1387" s="1" t="n">
        <v>44930</v>
      </c>
      <c r="E1387" s="1" t="n">
        <v>46248</v>
      </c>
      <c r="F1387" t="inlineStr">
        <is>
          <t>BLEKINGE LÄN</t>
        </is>
      </c>
      <c r="G1387" t="inlineStr">
        <is>
          <t>KARLSKRONA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38980-2023</t>
        </is>
      </c>
      <c r="B1388" t="inlineStr">
        <is>
          <t>avverkningsanmälan</t>
        </is>
      </c>
      <c r="C1388" t="inlineStr">
        <is>
          <t>Föryngringsavverkning</t>
        </is>
      </c>
      <c r="D1388" s="1" t="n">
        <v>45163</v>
      </c>
      <c r="E1388" s="1" t="n">
        <v>46248</v>
      </c>
      <c r="F1388" t="inlineStr">
        <is>
          <t>BLEKINGE LÄN</t>
        </is>
      </c>
      <c r="G1388" t="inlineStr">
        <is>
          <t>KARLSHAMN</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8040-2025</t>
        </is>
      </c>
      <c r="B1389" t="inlineStr">
        <is>
          <t>avverkningsanmälan</t>
        </is>
      </c>
      <c r="C1389" t="inlineStr">
        <is>
          <t>Föryngringsavverkning</t>
        </is>
      </c>
      <c r="D1389" s="1" t="n">
        <v>45707</v>
      </c>
      <c r="E1389" s="1" t="n">
        <v>46248</v>
      </c>
      <c r="F1389" t="inlineStr">
        <is>
          <t>BLEKINGE LÄN</t>
        </is>
      </c>
      <c r="G1389" t="inlineStr">
        <is>
          <t>OLOFSTRÖM</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62334-2023</t>
        </is>
      </c>
      <c r="B1390" t="inlineStr">
        <is>
          <t>avverkningsanmälan</t>
        </is>
      </c>
      <c r="C1390" t="inlineStr">
        <is>
          <t>Föryngringsavverkning</t>
        </is>
      </c>
      <c r="D1390" s="1" t="n">
        <v>45266</v>
      </c>
      <c r="E1390" s="1" t="n">
        <v>46248</v>
      </c>
      <c r="F1390" t="inlineStr">
        <is>
          <t>BLEKINGE LÄN</t>
        </is>
      </c>
      <c r="G1390" t="inlineStr">
        <is>
          <t>SÖLVESBORG</t>
        </is>
      </c>
      <c r="I1390" t="n">
        <v>6.2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23424-2023</t>
        </is>
      </c>
      <c r="B1391" t="inlineStr">
        <is>
          <t>avverkningsanmälan</t>
        </is>
      </c>
      <c r="C1391" t="inlineStr">
        <is>
          <t>Föryngringsavverkning</t>
        </is>
      </c>
      <c r="D1391" s="1" t="n">
        <v>45076</v>
      </c>
      <c r="E1391" s="1" t="n">
        <v>46248</v>
      </c>
      <c r="F1391" t="inlineStr">
        <is>
          <t>BLEKINGE LÄN</t>
        </is>
      </c>
      <c r="G1391" t="inlineStr">
        <is>
          <t>RONNEBY</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13988-2023</t>
        </is>
      </c>
      <c r="B1392" t="inlineStr">
        <is>
          <t>avverkningsanmälan</t>
        </is>
      </c>
      <c r="C1392" t="inlineStr">
        <is>
          <t>Föryngringsavverkning</t>
        </is>
      </c>
      <c r="D1392" s="1" t="n">
        <v>45008</v>
      </c>
      <c r="E1392" s="1" t="n">
        <v>46248</v>
      </c>
      <c r="F1392" t="inlineStr">
        <is>
          <t>BLEKINGE LÄN</t>
        </is>
      </c>
      <c r="G1392" t="inlineStr">
        <is>
          <t>OLOFSTRÖM</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46466-2023</t>
        </is>
      </c>
      <c r="B1393" t="inlineStr">
        <is>
          <t>avverkningsanmälan</t>
        </is>
      </c>
      <c r="C1393" t="inlineStr">
        <is>
          <t>Föryngringsavverkning</t>
        </is>
      </c>
      <c r="D1393" s="1" t="n">
        <v>45197</v>
      </c>
      <c r="E1393" s="1" t="n">
        <v>46248</v>
      </c>
      <c r="F1393" t="inlineStr">
        <is>
          <t>BLEKINGE LÄN</t>
        </is>
      </c>
      <c r="G1393" t="inlineStr">
        <is>
          <t>KARLSHAMN</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33577-2022</t>
        </is>
      </c>
      <c r="B1394" t="inlineStr">
        <is>
          <t>avverkningsanmälan</t>
        </is>
      </c>
      <c r="C1394" t="inlineStr">
        <is>
          <t>Föryngringsavverkning</t>
        </is>
      </c>
      <c r="D1394" s="1" t="n">
        <v>44789</v>
      </c>
      <c r="E1394" s="1" t="n">
        <v>46248</v>
      </c>
      <c r="F1394" t="inlineStr">
        <is>
          <t>BLEKINGE LÄN</t>
        </is>
      </c>
      <c r="G1394" t="inlineStr">
        <is>
          <t>OLOFSTRÖM</t>
        </is>
      </c>
      <c r="I1394" t="n">
        <v>7.3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28857-2023</t>
        </is>
      </c>
      <c r="B1395" t="inlineStr">
        <is>
          <t>avverkningsanmälan</t>
        </is>
      </c>
      <c r="C1395" t="inlineStr">
        <is>
          <t>Föryngringsavverkning</t>
        </is>
      </c>
      <c r="D1395" s="1" t="n">
        <v>45104</v>
      </c>
      <c r="E1395" s="1" t="n">
        <v>46248</v>
      </c>
      <c r="F1395" t="inlineStr">
        <is>
          <t>BLEKINGE LÄN</t>
        </is>
      </c>
      <c r="G1395" t="inlineStr">
        <is>
          <t>OLOFSTRÖM</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22243-2025</t>
        </is>
      </c>
      <c r="B1396" t="inlineStr">
        <is>
          <t>avverkningsanmälan</t>
        </is>
      </c>
      <c r="C1396" t="inlineStr">
        <is>
          <t>Föryngringsavverkning</t>
        </is>
      </c>
      <c r="D1396" s="1" t="n">
        <v>45785</v>
      </c>
      <c r="E1396" s="1" t="n">
        <v>46248</v>
      </c>
      <c r="F1396" t="inlineStr">
        <is>
          <t>BLEKINGE LÄN</t>
        </is>
      </c>
      <c r="G1396" t="inlineStr">
        <is>
          <t>RONNEBY</t>
        </is>
      </c>
      <c r="H1396" t="inlineStr">
        <is>
          <t>Övriga Aktiebolag</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41682-2024</t>
        </is>
      </c>
      <c r="B1397" t="inlineStr">
        <is>
          <t>avverkningsanmälan</t>
        </is>
      </c>
      <c r="C1397" t="inlineStr">
        <is>
          <t>Föryngringsavverkning</t>
        </is>
      </c>
      <c r="D1397" s="1" t="n">
        <v>45560</v>
      </c>
      <c r="E1397" s="1" t="n">
        <v>46248</v>
      </c>
      <c r="F1397" t="inlineStr">
        <is>
          <t>BLEKINGE LÄN</t>
        </is>
      </c>
      <c r="G1397" t="inlineStr">
        <is>
          <t>RONNEBY</t>
        </is>
      </c>
      <c r="H1397" t="inlineStr">
        <is>
          <t>Övriga Aktiebolag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26095-2025</t>
        </is>
      </c>
      <c r="B1398" t="inlineStr">
        <is>
          <t>avverkningsanmälan</t>
        </is>
      </c>
      <c r="C1398" t="inlineStr">
        <is>
          <t>Föryngringsavverkning</t>
        </is>
      </c>
      <c r="D1398" s="1" t="n">
        <v>45805</v>
      </c>
      <c r="E1398" s="1" t="n">
        <v>46248</v>
      </c>
      <c r="F1398" t="inlineStr">
        <is>
          <t>BLEKINGE LÄN</t>
        </is>
      </c>
      <c r="G1398" t="inlineStr">
        <is>
          <t>KARLSHAMN</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38886-2022</t>
        </is>
      </c>
      <c r="B1399" t="inlineStr">
        <is>
          <t>avverkningsanmälan</t>
        </is>
      </c>
      <c r="C1399" t="inlineStr">
        <is>
          <t>Föryngringsavverkning</t>
        </is>
      </c>
      <c r="D1399" s="1" t="n">
        <v>44816</v>
      </c>
      <c r="E1399" s="1" t="n">
        <v>46248</v>
      </c>
      <c r="F1399" t="inlineStr">
        <is>
          <t>BLEKINGE LÄN</t>
        </is>
      </c>
      <c r="G1399" t="inlineStr">
        <is>
          <t>OLOFSTRÖM</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16684-2024</t>
        </is>
      </c>
      <c r="B1400" t="inlineStr">
        <is>
          <t>avverkningsanmälan</t>
        </is>
      </c>
      <c r="C1400" t="inlineStr">
        <is>
          <t>Föryngringsavverkning</t>
        </is>
      </c>
      <c r="D1400" s="1" t="n">
        <v>45408</v>
      </c>
      <c r="E1400" s="1" t="n">
        <v>46248</v>
      </c>
      <c r="F1400" t="inlineStr">
        <is>
          <t>BLEKINGE LÄN</t>
        </is>
      </c>
      <c r="G1400" t="inlineStr">
        <is>
          <t>RONNEBY</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39925-2022</t>
        </is>
      </c>
      <c r="B1401" t="inlineStr">
        <is>
          <t>avverkningsanmälan</t>
        </is>
      </c>
      <c r="C1401" t="inlineStr">
        <is>
          <t>Föryngringsavverkning</t>
        </is>
      </c>
      <c r="D1401" s="1" t="n">
        <v>44819</v>
      </c>
      <c r="E1401" s="1" t="n">
        <v>46248</v>
      </c>
      <c r="F1401" t="inlineStr">
        <is>
          <t>BLEKINGE LÄN</t>
        </is>
      </c>
      <c r="G1401" t="inlineStr">
        <is>
          <t>RONNEBY</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12248-2023</t>
        </is>
      </c>
      <c r="B1402" t="inlineStr">
        <is>
          <t>avverkningsanmälan</t>
        </is>
      </c>
      <c r="C1402" t="inlineStr">
        <is>
          <t>Föryngringsavverkning</t>
        </is>
      </c>
      <c r="D1402" s="1" t="n">
        <v>44998</v>
      </c>
      <c r="E1402" s="1" t="n">
        <v>46248</v>
      </c>
      <c r="F1402" t="inlineStr">
        <is>
          <t>BLEKINGE LÄN</t>
        </is>
      </c>
      <c r="G1402" t="inlineStr">
        <is>
          <t>KARLSKRONA</t>
        </is>
      </c>
      <c r="I1402" t="n">
        <v>10.5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15196-2022</t>
        </is>
      </c>
      <c r="B1403" t="inlineStr">
        <is>
          <t>avverkningsanmälan</t>
        </is>
      </c>
      <c r="C1403" t="inlineStr">
        <is>
          <t>Föryngringsavverkning</t>
        </is>
      </c>
      <c r="D1403" s="1" t="n">
        <v>44658</v>
      </c>
      <c r="E1403" s="1" t="n">
        <v>46248</v>
      </c>
      <c r="F1403" t="inlineStr">
        <is>
          <t>BLEKINGE LÄN</t>
        </is>
      </c>
      <c r="G1403" t="inlineStr">
        <is>
          <t>RONNEBY</t>
        </is>
      </c>
      <c r="I1403" t="n">
        <v>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2206-2024</t>
        </is>
      </c>
      <c r="B1404" t="inlineStr">
        <is>
          <t>avverkningsanmälan</t>
        </is>
      </c>
      <c r="C1404" t="inlineStr">
        <is>
          <t>Föryngringsavverkning</t>
        </is>
      </c>
      <c r="D1404" s="1" t="n">
        <v>45309</v>
      </c>
      <c r="E1404" s="1" t="n">
        <v>46248</v>
      </c>
      <c r="F1404" t="inlineStr">
        <is>
          <t>BLEKINGE LÄN</t>
        </is>
      </c>
      <c r="G1404" t="inlineStr">
        <is>
          <t>KARLSHAMN</t>
        </is>
      </c>
      <c r="I1404" t="n">
        <v>4.9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49688-2024</t>
        </is>
      </c>
      <c r="B1405" t="inlineStr">
        <is>
          <t>avverkningsanmälan</t>
        </is>
      </c>
      <c r="C1405" t="inlineStr">
        <is>
          <t>Föryngringsavverkning</t>
        </is>
      </c>
      <c r="D1405" s="1" t="n">
        <v>45596</v>
      </c>
      <c r="E1405" s="1" t="n">
        <v>46248</v>
      </c>
      <c r="F1405" t="inlineStr">
        <is>
          <t>BLEKINGE LÄN</t>
        </is>
      </c>
      <c r="G1405" t="inlineStr">
        <is>
          <t>KARLSHAMN</t>
        </is>
      </c>
      <c r="I1405" t="n">
        <v>10</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49689-2024</t>
        </is>
      </c>
      <c r="B1406" t="inlineStr">
        <is>
          <t>avverkningsanmälan</t>
        </is>
      </c>
      <c r="C1406" t="inlineStr">
        <is>
          <t>Föryngringsavverkning</t>
        </is>
      </c>
      <c r="D1406" s="1" t="n">
        <v>45596</v>
      </c>
      <c r="E1406" s="1" t="n">
        <v>46248</v>
      </c>
      <c r="F1406" t="inlineStr">
        <is>
          <t>BLEKINGE LÄN</t>
        </is>
      </c>
      <c r="G1406" t="inlineStr">
        <is>
          <t>KARLSHAMN</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51477-2021</t>
        </is>
      </c>
      <c r="B1407" t="inlineStr">
        <is>
          <t>avverkningsanmälan</t>
        </is>
      </c>
      <c r="C1407" t="inlineStr">
        <is>
          <t>Avverkning för annat ändamål</t>
        </is>
      </c>
      <c r="D1407" s="1" t="n">
        <v>44461</v>
      </c>
      <c r="E1407" s="1" t="n">
        <v>46248</v>
      </c>
      <c r="F1407" t="inlineStr">
        <is>
          <t>BLEKINGE LÄN</t>
        </is>
      </c>
      <c r="G1407" t="inlineStr">
        <is>
          <t>KARLSKRONA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14192-2024</t>
        </is>
      </c>
      <c r="B1408" t="inlineStr">
        <is>
          <t>avverkningsanmälan</t>
        </is>
      </c>
      <c r="C1408" t="inlineStr">
        <is>
          <t>Föryngringsavverkning</t>
        </is>
      </c>
      <c r="D1408" s="1" t="n">
        <v>45393</v>
      </c>
      <c r="E1408" s="1" t="n">
        <v>46248</v>
      </c>
      <c r="F1408" t="inlineStr">
        <is>
          <t>BLEKINGE LÄN</t>
        </is>
      </c>
      <c r="G1408" t="inlineStr">
        <is>
          <t>KARLSKRONA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29969-2023</t>
        </is>
      </c>
      <c r="B1409" t="inlineStr">
        <is>
          <t>avverkningsanmälan</t>
        </is>
      </c>
      <c r="C1409" t="inlineStr">
        <is>
          <t>Föryngringsavverkning</t>
        </is>
      </c>
      <c r="D1409" s="1" t="n">
        <v>45108</v>
      </c>
      <c r="E1409" s="1" t="n">
        <v>46248</v>
      </c>
      <c r="F1409" t="inlineStr">
        <is>
          <t>BLEKINGE LÄN</t>
        </is>
      </c>
      <c r="G1409" t="inlineStr">
        <is>
          <t>KARLSKRONA</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4338-2025</t>
        </is>
      </c>
      <c r="B1410" t="inlineStr">
        <is>
          <t>avverkningsanmälan</t>
        </is>
      </c>
      <c r="C1410" t="inlineStr">
        <is>
          <t>Föryngringsavverkning</t>
        </is>
      </c>
      <c r="D1410" s="1" t="n">
        <v>45685</v>
      </c>
      <c r="E1410" s="1" t="n">
        <v>46248</v>
      </c>
      <c r="F1410" t="inlineStr">
        <is>
          <t>BLEKINGE LÄN</t>
        </is>
      </c>
      <c r="G1410" t="inlineStr">
        <is>
          <t>RONNEBY</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53118-2024</t>
        </is>
      </c>
      <c r="B1411" t="inlineStr">
        <is>
          <t>avverkningsanmälan</t>
        </is>
      </c>
      <c r="C1411" t="inlineStr">
        <is>
          <t>Föryngringsavverkning</t>
        </is>
      </c>
      <c r="D1411" s="1" t="n">
        <v>45611</v>
      </c>
      <c r="E1411" s="1" t="n">
        <v>46248</v>
      </c>
      <c r="F1411" t="inlineStr">
        <is>
          <t>BLEKINGE LÄN</t>
        </is>
      </c>
      <c r="G1411" t="inlineStr">
        <is>
          <t>KARLSHAMN</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58786-2022</t>
        </is>
      </c>
      <c r="B1412" t="inlineStr">
        <is>
          <t>avverkningsanmälan</t>
        </is>
      </c>
      <c r="C1412" t="inlineStr">
        <is>
          <t>Föryngringsavverkning</t>
        </is>
      </c>
      <c r="D1412" s="1" t="n">
        <v>44903</v>
      </c>
      <c r="E1412" s="1" t="n">
        <v>46248</v>
      </c>
      <c r="F1412" t="inlineStr">
        <is>
          <t>BLEKINGE LÄN</t>
        </is>
      </c>
      <c r="G1412" t="inlineStr">
        <is>
          <t>KARLSHAMN</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35491-2024</t>
        </is>
      </c>
      <c r="B1413" t="inlineStr">
        <is>
          <t>avverkningsanmälan</t>
        </is>
      </c>
      <c r="C1413" t="inlineStr">
        <is>
          <t>Föryngringsavverkning</t>
        </is>
      </c>
      <c r="D1413" s="1" t="n">
        <v>45531</v>
      </c>
      <c r="E1413" s="1" t="n">
        <v>46248</v>
      </c>
      <c r="F1413" t="inlineStr">
        <is>
          <t>BLEKINGE LÄN</t>
        </is>
      </c>
      <c r="G1413" t="inlineStr">
        <is>
          <t>KARLSKRONA</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60501-2024</t>
        </is>
      </c>
      <c r="B1414" t="inlineStr">
        <is>
          <t>avverkningsanmälan</t>
        </is>
      </c>
      <c r="C1414" t="inlineStr">
        <is>
          <t>Föryngringsavverkning</t>
        </is>
      </c>
      <c r="D1414" s="1" t="n">
        <v>45643</v>
      </c>
      <c r="E1414" s="1" t="n">
        <v>46248</v>
      </c>
      <c r="F1414" t="inlineStr">
        <is>
          <t>BLEKINGE LÄN</t>
        </is>
      </c>
      <c r="G1414" t="inlineStr">
        <is>
          <t>KARLSKRONA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26645-2025</t>
        </is>
      </c>
      <c r="B1415" t="inlineStr">
        <is>
          <t>avverkningsanmälan</t>
        </is>
      </c>
      <c r="C1415" t="inlineStr">
        <is>
          <t>Föryngringsavverkning</t>
        </is>
      </c>
      <c r="D1415" s="1" t="n">
        <v>45810</v>
      </c>
      <c r="E1415" s="1" t="n">
        <v>46248</v>
      </c>
      <c r="F1415" t="inlineStr">
        <is>
          <t>BLEKINGE LÄN</t>
        </is>
      </c>
      <c r="G1415" t="inlineStr">
        <is>
          <t>KARLSHAMN</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48846-2024</t>
        </is>
      </c>
      <c r="B1416" t="inlineStr">
        <is>
          <t>avverkningsanmälan</t>
        </is>
      </c>
      <c r="C1416" t="inlineStr">
        <is>
          <t>Föryngringsavverkning</t>
        </is>
      </c>
      <c r="D1416" s="1" t="n">
        <v>45593</v>
      </c>
      <c r="E1416" s="1" t="n">
        <v>46248</v>
      </c>
      <c r="F1416" t="inlineStr">
        <is>
          <t>BLEKINGE LÄN</t>
        </is>
      </c>
      <c r="G1416" t="inlineStr">
        <is>
          <t>OLOFSTRÖM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38090-2024</t>
        </is>
      </c>
      <c r="B1417" t="inlineStr">
        <is>
          <t>avverkningsanmälan</t>
        </is>
      </c>
      <c r="C1417" t="inlineStr">
        <is>
          <t>Föryngringsavverkning</t>
        </is>
      </c>
      <c r="D1417" s="1" t="n">
        <v>45545</v>
      </c>
      <c r="E1417" s="1" t="n">
        <v>46248</v>
      </c>
      <c r="F1417" t="inlineStr">
        <is>
          <t>BLEKINGE LÄN</t>
        </is>
      </c>
      <c r="G1417" t="inlineStr">
        <is>
          <t>RONNEBY</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30853-2022</t>
        </is>
      </c>
      <c r="B1418" t="inlineStr">
        <is>
          <t>avverkningsanmälan</t>
        </is>
      </c>
      <c r="C1418" t="inlineStr">
        <is>
          <t>Föryngringsavverkning</t>
        </is>
      </c>
      <c r="D1418" s="1" t="n">
        <v>44747</v>
      </c>
      <c r="E1418" s="1" t="n">
        <v>46248</v>
      </c>
      <c r="F1418" t="inlineStr">
        <is>
          <t>BLEKINGE LÄN</t>
        </is>
      </c>
      <c r="G1418" t="inlineStr">
        <is>
          <t>KARLSKRONA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32172-2023</t>
        </is>
      </c>
      <c r="B1419" t="inlineStr">
        <is>
          <t>avverkningsanmälan</t>
        </is>
      </c>
      <c r="C1419" t="inlineStr">
        <is>
          <t>Föryngringsavverkning</t>
        </is>
      </c>
      <c r="D1419" s="1" t="n">
        <v>45119</v>
      </c>
      <c r="E1419" s="1" t="n">
        <v>46248</v>
      </c>
      <c r="F1419" t="inlineStr">
        <is>
          <t>BLEKINGE LÄN</t>
        </is>
      </c>
      <c r="G1419" t="inlineStr">
        <is>
          <t>RONNEBY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29785-2023</t>
        </is>
      </c>
      <c r="B1420" t="inlineStr">
        <is>
          <t>avverkningsanmälan</t>
        </is>
      </c>
      <c r="C1420" t="inlineStr">
        <is>
          <t>Föryngringsavverkning</t>
        </is>
      </c>
      <c r="D1420" s="1" t="n">
        <v>45107</v>
      </c>
      <c r="E1420" s="1" t="n">
        <v>46248</v>
      </c>
      <c r="F1420" t="inlineStr">
        <is>
          <t>BLEKINGE LÄN</t>
        </is>
      </c>
      <c r="G1420" t="inlineStr">
        <is>
          <t>KARLSKRONA</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43235-2024</t>
        </is>
      </c>
      <c r="B1421" t="inlineStr">
        <is>
          <t>avverkningsanmälan</t>
        </is>
      </c>
      <c r="C1421" t="inlineStr">
        <is>
          <t>Föryngringsavverkning</t>
        </is>
      </c>
      <c r="D1421" s="1" t="n">
        <v>45567</v>
      </c>
      <c r="E1421" s="1" t="n">
        <v>46248</v>
      </c>
      <c r="F1421" t="inlineStr">
        <is>
          <t>BLEKINGE LÄN</t>
        </is>
      </c>
      <c r="G1421" t="inlineStr">
        <is>
          <t>KARLSHAMN</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49034-2022</t>
        </is>
      </c>
      <c r="B1422" t="inlineStr">
        <is>
          <t>avverkningsanmälan</t>
        </is>
      </c>
      <c r="C1422" t="inlineStr">
        <is>
          <t>Föryngringsavverkning</t>
        </is>
      </c>
      <c r="D1422" s="1" t="n">
        <v>44860</v>
      </c>
      <c r="E1422" s="1" t="n">
        <v>46248</v>
      </c>
      <c r="F1422" t="inlineStr">
        <is>
          <t>BLEKINGE LÄN</t>
        </is>
      </c>
      <c r="G1422" t="inlineStr">
        <is>
          <t>KARLSKRONA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26478-2023</t>
        </is>
      </c>
      <c r="B1423" t="inlineStr">
        <is>
          <t>avverkningsanmälan</t>
        </is>
      </c>
      <c r="C1423" t="inlineStr">
        <is>
          <t>Föryngringsavverkning</t>
        </is>
      </c>
      <c r="D1423" s="1" t="n">
        <v>45092</v>
      </c>
      <c r="E1423" s="1" t="n">
        <v>46248</v>
      </c>
      <c r="F1423" t="inlineStr">
        <is>
          <t>BLEKINGE LÄN</t>
        </is>
      </c>
      <c r="G1423" t="inlineStr">
        <is>
          <t>SÖLVESBORG</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26486-2023</t>
        </is>
      </c>
      <c r="B1424" t="inlineStr">
        <is>
          <t>avverkningsanmälan</t>
        </is>
      </c>
      <c r="C1424" t="inlineStr">
        <is>
          <t>Föryngringsavverkning</t>
        </is>
      </c>
      <c r="D1424" s="1" t="n">
        <v>45092</v>
      </c>
      <c r="E1424" s="1" t="n">
        <v>46248</v>
      </c>
      <c r="F1424" t="inlineStr">
        <is>
          <t>BLEKINGE LÄN</t>
        </is>
      </c>
      <c r="G1424" t="inlineStr">
        <is>
          <t>KARLSKRONA</t>
        </is>
      </c>
      <c r="I1424" t="n">
        <v>8.6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49704-2021</t>
        </is>
      </c>
      <c r="B1425" t="inlineStr">
        <is>
          <t>avverkningsanmälan</t>
        </is>
      </c>
      <c r="C1425" t="inlineStr">
        <is>
          <t>Föryngringsavverkning</t>
        </is>
      </c>
      <c r="D1425" s="1" t="n">
        <v>44455</v>
      </c>
      <c r="E1425" s="1" t="n">
        <v>46248</v>
      </c>
      <c r="F1425" t="inlineStr">
        <is>
          <t>BLEKINGE LÄN</t>
        </is>
      </c>
      <c r="G1425" t="inlineStr">
        <is>
          <t>OLOFSTRÖM</t>
        </is>
      </c>
      <c r="I1425" t="n">
        <v>8.199999999999999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65026-2023</t>
        </is>
      </c>
      <c r="B1426" t="inlineStr">
        <is>
          <t>avverkningsanmälan</t>
        </is>
      </c>
      <c r="C1426" t="inlineStr">
        <is>
          <t>Föryngringsavverkning</t>
        </is>
      </c>
      <c r="D1426" s="1" t="n">
        <v>45282</v>
      </c>
      <c r="E1426" s="1" t="n">
        <v>46248</v>
      </c>
      <c r="F1426" t="inlineStr">
        <is>
          <t>BLEKINGE LÄN</t>
        </is>
      </c>
      <c r="G1426" t="inlineStr">
        <is>
          <t>OLOFSTRÖM</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56201-2022</t>
        </is>
      </c>
      <c r="B1427" t="inlineStr">
        <is>
          <t>avverkningsanmälan</t>
        </is>
      </c>
      <c r="C1427" t="inlineStr">
        <is>
          <t>Föryngringsavverkning</t>
        </is>
      </c>
      <c r="D1427" s="1" t="n">
        <v>44890</v>
      </c>
      <c r="E1427" s="1" t="n">
        <v>46248</v>
      </c>
      <c r="F1427" t="inlineStr">
        <is>
          <t>BLEKINGE LÄN</t>
        </is>
      </c>
      <c r="G1427" t="inlineStr">
        <is>
          <t>KARLSKRONA</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16077-2025</t>
        </is>
      </c>
      <c r="B1428" t="inlineStr">
        <is>
          <t>avverkningsanmälan</t>
        </is>
      </c>
      <c r="C1428" t="inlineStr">
        <is>
          <t>Föryngringsavverkning</t>
        </is>
      </c>
      <c r="D1428" s="1" t="n">
        <v>45749</v>
      </c>
      <c r="E1428" s="1" t="n">
        <v>46248</v>
      </c>
      <c r="F1428" t="inlineStr">
        <is>
          <t>BLEKINGE LÄN</t>
        </is>
      </c>
      <c r="G1428" t="inlineStr">
        <is>
          <t>KARLSKRONA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42401-2024</t>
        </is>
      </c>
      <c r="B1429" t="inlineStr">
        <is>
          <t>avverkningsanmälan</t>
        </is>
      </c>
      <c r="C1429" t="inlineStr">
        <is>
          <t>Föryngringsavverkning</t>
        </is>
      </c>
      <c r="D1429" s="1" t="n">
        <v>45565</v>
      </c>
      <c r="E1429" s="1" t="n">
        <v>46248</v>
      </c>
      <c r="F1429" t="inlineStr">
        <is>
          <t>BLEKINGE LÄN</t>
        </is>
      </c>
      <c r="G1429" t="inlineStr">
        <is>
          <t>KARLSHAMN</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46883-2023</t>
        </is>
      </c>
      <c r="B1430" t="inlineStr">
        <is>
          <t>avverkningsanmälan</t>
        </is>
      </c>
      <c r="C1430" t="inlineStr">
        <is>
          <t>Föryngringsavverkning</t>
        </is>
      </c>
      <c r="D1430" s="1" t="n">
        <v>45201</v>
      </c>
      <c r="E1430" s="1" t="n">
        <v>46248</v>
      </c>
      <c r="F1430" t="inlineStr">
        <is>
          <t>BLEKINGE LÄN</t>
        </is>
      </c>
      <c r="G1430" t="inlineStr">
        <is>
          <t>RONNEBY</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11242-2023</t>
        </is>
      </c>
      <c r="B1431" t="inlineStr">
        <is>
          <t>avverkningsanmälan</t>
        </is>
      </c>
      <c r="C1431" t="inlineStr">
        <is>
          <t>Föryngringsavverkning</t>
        </is>
      </c>
      <c r="D1431" s="1" t="n">
        <v>44992</v>
      </c>
      <c r="E1431" s="1" t="n">
        <v>46248</v>
      </c>
      <c r="F1431" t="inlineStr">
        <is>
          <t>BLEKINGE LÄN</t>
        </is>
      </c>
      <c r="G1431" t="inlineStr">
        <is>
          <t>RONNEBY</t>
        </is>
      </c>
      <c r="H1431" t="inlineStr">
        <is>
          <t>Övriga Aktiebolag</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27473-2025</t>
        </is>
      </c>
      <c r="B1432" t="inlineStr">
        <is>
          <t>avverkningsanmälan</t>
        </is>
      </c>
      <c r="C1432" t="inlineStr">
        <is>
          <t>Föryngringsavverkning</t>
        </is>
      </c>
      <c r="D1432" s="1" t="n">
        <v>45813</v>
      </c>
      <c r="E1432" s="1" t="n">
        <v>46248</v>
      </c>
      <c r="F1432" t="inlineStr">
        <is>
          <t>BLEKINGE LÄN</t>
        </is>
      </c>
      <c r="G1432" t="inlineStr">
        <is>
          <t>KARLSHAMN</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21442-2023</t>
        </is>
      </c>
      <c r="B1433" t="inlineStr">
        <is>
          <t>avverkningsanmälan</t>
        </is>
      </c>
      <c r="C1433" t="inlineStr">
        <is>
          <t>Föryngringsavverkning</t>
        </is>
      </c>
      <c r="D1433" s="1" t="n">
        <v>45063</v>
      </c>
      <c r="E1433" s="1" t="n">
        <v>46248</v>
      </c>
      <c r="F1433" t="inlineStr">
        <is>
          <t>BLEKINGE LÄN</t>
        </is>
      </c>
      <c r="G1433" t="inlineStr">
        <is>
          <t>RONNEBY</t>
        </is>
      </c>
      <c r="H1433" t="inlineStr">
        <is>
          <t>Övriga Aktiebolag</t>
        </is>
      </c>
      <c r="I1433" t="n">
        <v>7.4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27496-2025</t>
        </is>
      </c>
      <c r="B1434" t="inlineStr">
        <is>
          <t>avverkningsanmälan</t>
        </is>
      </c>
      <c r="C1434" t="inlineStr">
        <is>
          <t>Föryngringsavverkning</t>
        </is>
      </c>
      <c r="D1434" s="1" t="n">
        <v>45813</v>
      </c>
      <c r="E1434" s="1" t="n">
        <v>46248</v>
      </c>
      <c r="F1434" t="inlineStr">
        <is>
          <t>BLEKINGE LÄN</t>
        </is>
      </c>
      <c r="G1434" t="inlineStr">
        <is>
          <t>KARLSHAMN</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27500-2025</t>
        </is>
      </c>
      <c r="B1435" t="inlineStr">
        <is>
          <t>avverkningsanmälan</t>
        </is>
      </c>
      <c r="C1435" t="inlineStr">
        <is>
          <t>Föryngringsavverkning</t>
        </is>
      </c>
      <c r="D1435" s="1" t="n">
        <v>45813</v>
      </c>
      <c r="E1435" s="1" t="n">
        <v>46248</v>
      </c>
      <c r="F1435" t="inlineStr">
        <is>
          <t>BLEKINGE LÄN</t>
        </is>
      </c>
      <c r="G1435" t="inlineStr">
        <is>
          <t>KARLSHAMN</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13879-2023</t>
        </is>
      </c>
      <c r="B1436" t="inlineStr">
        <is>
          <t>avverkningsanmälan</t>
        </is>
      </c>
      <c r="C1436" t="inlineStr">
        <is>
          <t>Föryngringsavverkning</t>
        </is>
      </c>
      <c r="D1436" s="1" t="n">
        <v>45007</v>
      </c>
      <c r="E1436" s="1" t="n">
        <v>46248</v>
      </c>
      <c r="F1436" t="inlineStr">
        <is>
          <t>BLEKINGE LÄN</t>
        </is>
      </c>
      <c r="G1436" t="inlineStr">
        <is>
          <t>KARLSHAMN</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52821-2022</t>
        </is>
      </c>
      <c r="B1437" t="inlineStr">
        <is>
          <t>avverkningsanmälan</t>
        </is>
      </c>
      <c r="C1437" t="inlineStr">
        <is>
          <t>Föryngringsavverkning</t>
        </is>
      </c>
      <c r="D1437" s="1" t="n">
        <v>44875</v>
      </c>
      <c r="E1437" s="1" t="n">
        <v>46248</v>
      </c>
      <c r="F1437" t="inlineStr">
        <is>
          <t>BLEKINGE LÄN</t>
        </is>
      </c>
      <c r="G1437" t="inlineStr">
        <is>
          <t>KARLSKRONA</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27402-2025</t>
        </is>
      </c>
      <c r="B1438" t="inlineStr">
        <is>
          <t>avverkningsanmälan</t>
        </is>
      </c>
      <c r="C1438" t="inlineStr">
        <is>
          <t>Föryngringsavverkning</t>
        </is>
      </c>
      <c r="D1438" s="1" t="n">
        <v>45812</v>
      </c>
      <c r="E1438" s="1" t="n">
        <v>46248</v>
      </c>
      <c r="F1438" t="inlineStr">
        <is>
          <t>BLEKINGE LÄN</t>
        </is>
      </c>
      <c r="G1438" t="inlineStr">
        <is>
          <t>SÖLVESBORG</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27478-2025</t>
        </is>
      </c>
      <c r="B1439" t="inlineStr">
        <is>
          <t>avverkningsanmälan</t>
        </is>
      </c>
      <c r="C1439" t="inlineStr">
        <is>
          <t>Föryngringsavverkning</t>
        </is>
      </c>
      <c r="D1439" s="1" t="n">
        <v>45813</v>
      </c>
      <c r="E1439" s="1" t="n">
        <v>46248</v>
      </c>
      <c r="F1439" t="inlineStr">
        <is>
          <t>BLEKINGE LÄN</t>
        </is>
      </c>
      <c r="G1439" t="inlineStr">
        <is>
          <t>KARLSHAMN</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27487-2025</t>
        </is>
      </c>
      <c r="B1440" t="inlineStr">
        <is>
          <t>avverkningsanmälan</t>
        </is>
      </c>
      <c r="C1440" t="inlineStr">
        <is>
          <t>Föryngringsavverkning</t>
        </is>
      </c>
      <c r="D1440" s="1" t="n">
        <v>45813</v>
      </c>
      <c r="E1440" s="1" t="n">
        <v>46248</v>
      </c>
      <c r="F1440" t="inlineStr">
        <is>
          <t>BLEKINGE LÄN</t>
        </is>
      </c>
      <c r="G1440" t="inlineStr">
        <is>
          <t>KARLSHAMN</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38729-2025</t>
        </is>
      </c>
      <c r="B1441" t="inlineStr">
        <is>
          <t>avverkningsanmälan</t>
        </is>
      </c>
      <c r="C1441" t="inlineStr">
        <is>
          <t>Föryngringsavverkning</t>
        </is>
      </c>
      <c r="D1441" s="1" t="n">
        <v>45887</v>
      </c>
      <c r="E1441" s="1" t="n">
        <v>46248</v>
      </c>
      <c r="F1441" t="inlineStr">
        <is>
          <t>BLEKINGE LÄN</t>
        </is>
      </c>
      <c r="G1441" t="inlineStr">
        <is>
          <t>OLOFSTRÖM</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17509-2025</t>
        </is>
      </c>
      <c r="B1442" t="inlineStr">
        <is>
          <t>avverkningsanmälan</t>
        </is>
      </c>
      <c r="C1442" t="inlineStr">
        <is>
          <t>Föryngringsavverkning</t>
        </is>
      </c>
      <c r="D1442" s="1" t="n">
        <v>45757</v>
      </c>
      <c r="E1442" s="1" t="n">
        <v>46248</v>
      </c>
      <c r="F1442" t="inlineStr">
        <is>
          <t>BLEKINGE LÄN</t>
        </is>
      </c>
      <c r="G1442" t="inlineStr">
        <is>
          <t>RONNEBY</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28704-2022</t>
        </is>
      </c>
      <c r="B1443" t="inlineStr">
        <is>
          <t>avverkningsanmälan</t>
        </is>
      </c>
      <c r="C1443" t="inlineStr">
        <is>
          <t>Föryngringsavverkning</t>
        </is>
      </c>
      <c r="D1443" s="1" t="n">
        <v>44748</v>
      </c>
      <c r="E1443" s="1" t="n">
        <v>46248</v>
      </c>
      <c r="F1443" t="inlineStr">
        <is>
          <t>BLEKINGE LÄN</t>
        </is>
      </c>
      <c r="G1443" t="inlineStr">
        <is>
          <t>RONNEBY</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23911-2023</t>
        </is>
      </c>
      <c r="B1444" t="inlineStr">
        <is>
          <t>avverkningsanmälan</t>
        </is>
      </c>
      <c r="C1444" t="inlineStr">
        <is>
          <t>Föryngringsavverkning</t>
        </is>
      </c>
      <c r="D1444" s="1" t="n">
        <v>45078</v>
      </c>
      <c r="E1444" s="1" t="n">
        <v>46248</v>
      </c>
      <c r="F1444" t="inlineStr">
        <is>
          <t>BLEKINGE LÄN</t>
        </is>
      </c>
      <c r="G1444" t="inlineStr">
        <is>
          <t>OLOFSTRÖM</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27505-2025</t>
        </is>
      </c>
      <c r="B1445" t="inlineStr">
        <is>
          <t>avverkningsanmälan</t>
        </is>
      </c>
      <c r="C1445" t="inlineStr">
        <is>
          <t>Föryngringsavverkning</t>
        </is>
      </c>
      <c r="D1445" s="1" t="n">
        <v>45813</v>
      </c>
      <c r="E1445" s="1" t="n">
        <v>46248</v>
      </c>
      <c r="F1445" t="inlineStr">
        <is>
          <t>BLEKINGE LÄN</t>
        </is>
      </c>
      <c r="G1445" t="inlineStr">
        <is>
          <t>RONNEBY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23707-2024</t>
        </is>
      </c>
      <c r="B1446" t="inlineStr">
        <is>
          <t>avverkningsanmälan</t>
        </is>
      </c>
      <c r="C1446" t="inlineStr">
        <is>
          <t>Föryngringsavverkning</t>
        </is>
      </c>
      <c r="D1446" s="1" t="n">
        <v>45454</v>
      </c>
      <c r="E1446" s="1" t="n">
        <v>46248</v>
      </c>
      <c r="F1446" t="inlineStr">
        <is>
          <t>BLEKINGE LÄN</t>
        </is>
      </c>
      <c r="G1446" t="inlineStr">
        <is>
          <t>KARLSKRONA</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40324-2023</t>
        </is>
      </c>
      <c r="B1447" t="inlineStr">
        <is>
          <t>avverkningsanmälan</t>
        </is>
      </c>
      <c r="C1447" t="inlineStr">
        <is>
          <t>Föryngringsavverkning</t>
        </is>
      </c>
      <c r="D1447" s="1" t="n">
        <v>45169</v>
      </c>
      <c r="E1447" s="1" t="n">
        <v>46248</v>
      </c>
      <c r="F1447" t="inlineStr">
        <is>
          <t>BLEKINGE LÄN</t>
        </is>
      </c>
      <c r="G1447" t="inlineStr">
        <is>
          <t>KARLSKRONA</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32698-2023</t>
        </is>
      </c>
      <c r="B1448" t="inlineStr">
        <is>
          <t>avverkningsanmälan</t>
        </is>
      </c>
      <c r="C1448" t="inlineStr">
        <is>
          <t>Föryngringsavverkning</t>
        </is>
      </c>
      <c r="D1448" s="1" t="n">
        <v>45121</v>
      </c>
      <c r="E1448" s="1" t="n">
        <v>46248</v>
      </c>
      <c r="F1448" t="inlineStr">
        <is>
          <t>BLEKINGE LÄN</t>
        </is>
      </c>
      <c r="G1448" t="inlineStr">
        <is>
          <t>RONNEBY</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44407-2024</t>
        </is>
      </c>
      <c r="B1449" t="inlineStr">
        <is>
          <t>avverkningsanmälan</t>
        </is>
      </c>
      <c r="C1449" t="inlineStr">
        <is>
          <t>Föryngringsavverkning</t>
        </is>
      </c>
      <c r="D1449" s="1" t="n">
        <v>45573</v>
      </c>
      <c r="E1449" s="1" t="n">
        <v>46248</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23820-2023</t>
        </is>
      </c>
      <c r="B1450" t="inlineStr">
        <is>
          <t>avverkningsanmälan</t>
        </is>
      </c>
      <c r="C1450" t="inlineStr">
        <is>
          <t>Föryngringsavverkning</t>
        </is>
      </c>
      <c r="D1450" s="1" t="n">
        <v>45078</v>
      </c>
      <c r="E1450" s="1" t="n">
        <v>46248</v>
      </c>
      <c r="F1450" t="inlineStr">
        <is>
          <t>BLEKINGE LÄN</t>
        </is>
      </c>
      <c r="G1450" t="inlineStr">
        <is>
          <t>RONNEBY</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27267-2022</t>
        </is>
      </c>
      <c r="B1451" t="inlineStr">
        <is>
          <t>avverkningsanmälan</t>
        </is>
      </c>
      <c r="C1451" t="inlineStr">
        <is>
          <t>Föryngringsavverkning</t>
        </is>
      </c>
      <c r="D1451" s="1" t="n">
        <v>44741</v>
      </c>
      <c r="E1451" s="1" t="n">
        <v>46248</v>
      </c>
      <c r="F1451" t="inlineStr">
        <is>
          <t>BLEKINGE LÄN</t>
        </is>
      </c>
      <c r="G1451" t="inlineStr">
        <is>
          <t>KARLSKRONA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14359-2023</t>
        </is>
      </c>
      <c r="B1452" t="inlineStr">
        <is>
          <t>avverkningsanmälan</t>
        </is>
      </c>
      <c r="C1452" t="inlineStr">
        <is>
          <t>Föryngringsavverkning</t>
        </is>
      </c>
      <c r="D1452" s="1" t="n">
        <v>45012</v>
      </c>
      <c r="E1452" s="1" t="n">
        <v>46248</v>
      </c>
      <c r="F1452" t="inlineStr">
        <is>
          <t>BLEKINGE LÄN</t>
        </is>
      </c>
      <c r="G1452" t="inlineStr">
        <is>
          <t>RONNEBY</t>
        </is>
      </c>
      <c r="I1452" t="n">
        <v>5.1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3115-2023</t>
        </is>
      </c>
      <c r="B1453" t="inlineStr">
        <is>
          <t>avverkningsanmälan</t>
        </is>
      </c>
      <c r="C1453" t="inlineStr">
        <is>
          <t>Föryngringsavverkning</t>
        </is>
      </c>
      <c r="D1453" s="1" t="n">
        <v>44946</v>
      </c>
      <c r="E1453" s="1" t="n">
        <v>46248</v>
      </c>
      <c r="F1453" t="inlineStr">
        <is>
          <t>BLEKINGE LÄN</t>
        </is>
      </c>
      <c r="G1453" t="inlineStr">
        <is>
          <t>KARLSKRONA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4469-2024</t>
        </is>
      </c>
      <c r="B1454" t="inlineStr">
        <is>
          <t>avverkningsanmälan</t>
        </is>
      </c>
      <c r="C1454" t="inlineStr">
        <is>
          <t>Föryngringsavverkning</t>
        </is>
      </c>
      <c r="D1454" s="1" t="n">
        <v>45327</v>
      </c>
      <c r="E1454" s="1" t="n">
        <v>46248</v>
      </c>
      <c r="F1454" t="inlineStr">
        <is>
          <t>BLEKINGE LÄN</t>
        </is>
      </c>
      <c r="G1454" t="inlineStr">
        <is>
          <t>RONNEBY</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36582-2024</t>
        </is>
      </c>
      <c r="B1455" t="inlineStr">
        <is>
          <t>avverkningsanmälan</t>
        </is>
      </c>
      <c r="C1455" t="inlineStr">
        <is>
          <t>Föryngringsavverkning</t>
        </is>
      </c>
      <c r="D1455" s="1" t="n">
        <v>45537</v>
      </c>
      <c r="E1455" s="1" t="n">
        <v>46248</v>
      </c>
      <c r="F1455" t="inlineStr">
        <is>
          <t>BLEKINGE LÄN</t>
        </is>
      </c>
      <c r="G1455" t="inlineStr">
        <is>
          <t>KARLSKRONA</t>
        </is>
      </c>
      <c r="I1455" t="n">
        <v>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50198-2024</t>
        </is>
      </c>
      <c r="B1456" t="inlineStr">
        <is>
          <t>avverkningsanmälan</t>
        </is>
      </c>
      <c r="C1456" t="inlineStr">
        <is>
          <t>Föryngringsavverkning</t>
        </is>
      </c>
      <c r="D1456" s="1" t="n">
        <v>45600</v>
      </c>
      <c r="E1456" s="1" t="n">
        <v>46248</v>
      </c>
      <c r="F1456" t="inlineStr">
        <is>
          <t>BLEKINGE LÄN</t>
        </is>
      </c>
      <c r="G1456" t="inlineStr">
        <is>
          <t>RONNEBY</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53366-2021</t>
        </is>
      </c>
      <c r="B1457" t="inlineStr">
        <is>
          <t>avverkningsanmälan</t>
        </is>
      </c>
      <c r="C1457" t="inlineStr">
        <is>
          <t>Föryngringsavverkning</t>
        </is>
      </c>
      <c r="D1457" s="1" t="n">
        <v>44466</v>
      </c>
      <c r="E1457" s="1" t="n">
        <v>46248</v>
      </c>
      <c r="F1457" t="inlineStr">
        <is>
          <t>BLEKINGE LÄN</t>
        </is>
      </c>
      <c r="G1457" t="inlineStr">
        <is>
          <t>RONNEBY</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15384-2023</t>
        </is>
      </c>
      <c r="B1458" t="inlineStr">
        <is>
          <t>avverkningsanmälan</t>
        </is>
      </c>
      <c r="C1458" t="inlineStr">
        <is>
          <t>Föryngringsavverkning</t>
        </is>
      </c>
      <c r="D1458" s="1" t="n">
        <v>45019</v>
      </c>
      <c r="E1458" s="1" t="n">
        <v>46248</v>
      </c>
      <c r="F1458" t="inlineStr">
        <is>
          <t>BLEKINGE LÄN</t>
        </is>
      </c>
      <c r="G1458" t="inlineStr">
        <is>
          <t>OLOFSTRÖM</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2095-2023</t>
        </is>
      </c>
      <c r="B1459" t="inlineStr">
        <is>
          <t>avverkningsanmälan</t>
        </is>
      </c>
      <c r="C1459" t="inlineStr">
        <is>
          <t>Föryngringsavverkning</t>
        </is>
      </c>
      <c r="D1459" s="1" t="n">
        <v>44939</v>
      </c>
      <c r="E1459" s="1" t="n">
        <v>46248</v>
      </c>
      <c r="F1459" t="inlineStr">
        <is>
          <t>BLEKINGE LÄN</t>
        </is>
      </c>
      <c r="G1459" t="inlineStr">
        <is>
          <t>KARLSKRONA</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48182-2023</t>
        </is>
      </c>
      <c r="B1460" t="inlineStr">
        <is>
          <t>avverkningsanmälan</t>
        </is>
      </c>
      <c r="C1460" t="inlineStr">
        <is>
          <t>Föryngringsavverkning</t>
        </is>
      </c>
      <c r="D1460" s="1" t="n">
        <v>45205</v>
      </c>
      <c r="E1460" s="1" t="n">
        <v>46248</v>
      </c>
      <c r="F1460" t="inlineStr">
        <is>
          <t>BLEKINGE LÄN</t>
        </is>
      </c>
      <c r="G1460" t="inlineStr">
        <is>
          <t>KARLSHAMN</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18124-2025</t>
        </is>
      </c>
      <c r="B1461" t="inlineStr">
        <is>
          <t>avverkningsanmälan</t>
        </is>
      </c>
      <c r="C1461" t="inlineStr">
        <is>
          <t>Föryngringsavverkning</t>
        </is>
      </c>
      <c r="D1461" s="1" t="n">
        <v>45761</v>
      </c>
      <c r="E1461" s="1" t="n">
        <v>46248</v>
      </c>
      <c r="F1461" t="inlineStr">
        <is>
          <t>BLEKINGE LÄN</t>
        </is>
      </c>
      <c r="G1461" t="inlineStr">
        <is>
          <t>KARLSKRONA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65798-2021</t>
        </is>
      </c>
      <c r="B1462" t="inlineStr">
        <is>
          <t>avverkningsanmälan</t>
        </is>
      </c>
      <c r="C1462" t="inlineStr">
        <is>
          <t>Avverkning för annat ändamål</t>
        </is>
      </c>
      <c r="D1462" s="1" t="n">
        <v>44517</v>
      </c>
      <c r="E1462" s="1" t="n">
        <v>46248</v>
      </c>
      <c r="F1462" t="inlineStr">
        <is>
          <t>BLEKINGE LÄN</t>
        </is>
      </c>
      <c r="G1462" t="inlineStr">
        <is>
          <t>KARLSKRONA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16532-2023</t>
        </is>
      </c>
      <c r="B1463" t="inlineStr">
        <is>
          <t>avverkningsanmälan</t>
        </is>
      </c>
      <c r="C1463" t="inlineStr">
        <is>
          <t>Föryngringsavverkning</t>
        </is>
      </c>
      <c r="D1463" s="1" t="n">
        <v>45027</v>
      </c>
      <c r="E1463" s="1" t="n">
        <v>46248</v>
      </c>
      <c r="F1463" t="inlineStr">
        <is>
          <t>BLEKINGE LÄN</t>
        </is>
      </c>
      <c r="G1463" t="inlineStr">
        <is>
          <t>KARLSKRONA</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38783-2025</t>
        </is>
      </c>
      <c r="B1464" t="inlineStr">
        <is>
          <t>avverkningsanmälan</t>
        </is>
      </c>
      <c r="C1464" t="inlineStr">
        <is>
          <t>Föryngringsavverkning</t>
        </is>
      </c>
      <c r="D1464" s="1" t="n">
        <v>45887</v>
      </c>
      <c r="E1464" s="1" t="n">
        <v>46248</v>
      </c>
      <c r="F1464" t="inlineStr">
        <is>
          <t>BLEKINGE LÄN</t>
        </is>
      </c>
      <c r="G1464" t="inlineStr">
        <is>
          <t>KARLSKRONA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9302-2023</t>
        </is>
      </c>
      <c r="B1465" t="inlineStr">
        <is>
          <t>avverkningsanmälan</t>
        </is>
      </c>
      <c r="C1465" t="inlineStr">
        <is>
          <t>Föryngringsavverkning</t>
        </is>
      </c>
      <c r="D1465" s="1" t="n">
        <v>44980</v>
      </c>
      <c r="E1465" s="1" t="n">
        <v>46248</v>
      </c>
      <c r="F1465" t="inlineStr">
        <is>
          <t>BLEKINGE LÄN</t>
        </is>
      </c>
      <c r="G1465" t="inlineStr">
        <is>
          <t>RONNEBY</t>
        </is>
      </c>
      <c r="H1465" t="inlineStr">
        <is>
          <t>Övriga Aktiebolag</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45573-2023</t>
        </is>
      </c>
      <c r="B1466" t="inlineStr">
        <is>
          <t>avverkningsanmälan</t>
        </is>
      </c>
      <c r="C1466" t="inlineStr">
        <is>
          <t>Föryngringsavverkning</t>
        </is>
      </c>
      <c r="D1466" s="1" t="n">
        <v>45194</v>
      </c>
      <c r="E1466" s="1" t="n">
        <v>46248</v>
      </c>
      <c r="F1466" t="inlineStr">
        <is>
          <t>BLEKINGE LÄN</t>
        </is>
      </c>
      <c r="G1466" t="inlineStr">
        <is>
          <t>KARLSKRONA</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13922-2025</t>
        </is>
      </c>
      <c r="B1467" t="inlineStr">
        <is>
          <t>avverkningsanmälan</t>
        </is>
      </c>
      <c r="C1467" t="inlineStr">
        <is>
          <t>Föryngringsavverkning</t>
        </is>
      </c>
      <c r="D1467" s="1" t="n">
        <v>45737</v>
      </c>
      <c r="E1467" s="1" t="n">
        <v>46248</v>
      </c>
      <c r="F1467" t="inlineStr">
        <is>
          <t>BLEKINGE LÄN</t>
        </is>
      </c>
      <c r="G1467" t="inlineStr">
        <is>
          <t>KARLSKRONA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48004-2023</t>
        </is>
      </c>
      <c r="B1468" t="inlineStr">
        <is>
          <t>avverkningsanmälan</t>
        </is>
      </c>
      <c r="C1468" t="inlineStr">
        <is>
          <t>Föryngringsavverkning</t>
        </is>
      </c>
      <c r="D1468" s="1" t="n">
        <v>45204</v>
      </c>
      <c r="E1468" s="1" t="n">
        <v>46248</v>
      </c>
      <c r="F1468" t="inlineStr">
        <is>
          <t>BLEKINGE LÄN</t>
        </is>
      </c>
      <c r="G1468" t="inlineStr">
        <is>
          <t>OLOFSTRÖM</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48005-2023</t>
        </is>
      </c>
      <c r="B1469" t="inlineStr">
        <is>
          <t>avverkningsanmälan</t>
        </is>
      </c>
      <c r="C1469" t="inlineStr">
        <is>
          <t>Föryngringsavverkning</t>
        </is>
      </c>
      <c r="D1469" s="1" t="n">
        <v>45204</v>
      </c>
      <c r="E1469" s="1" t="n">
        <v>46248</v>
      </c>
      <c r="F1469" t="inlineStr">
        <is>
          <t>BLEKINGE LÄN</t>
        </is>
      </c>
      <c r="G1469" t="inlineStr">
        <is>
          <t>OLOFSTRÖM</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17193-2024</t>
        </is>
      </c>
      <c r="B1470" t="inlineStr">
        <is>
          <t>avverkningsanmälan</t>
        </is>
      </c>
      <c r="C1470" t="inlineStr">
        <is>
          <t>Föryngringsavverkning</t>
        </is>
      </c>
      <c r="D1470" s="1" t="n">
        <v>45413</v>
      </c>
      <c r="E1470" s="1" t="n">
        <v>46248</v>
      </c>
      <c r="F1470" t="inlineStr">
        <is>
          <t>BLEKINGE LÄN</t>
        </is>
      </c>
      <c r="G1470" t="inlineStr">
        <is>
          <t>RONNEBY</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41058-2024</t>
        </is>
      </c>
      <c r="B1471" t="inlineStr">
        <is>
          <t>avverkningsanmälan</t>
        </is>
      </c>
      <c r="C1471" t="inlineStr">
        <is>
          <t>Föryngringsavverkning</t>
        </is>
      </c>
      <c r="D1471" s="1" t="n">
        <v>45559</v>
      </c>
      <c r="E1471" s="1" t="n">
        <v>46248</v>
      </c>
      <c r="F1471" t="inlineStr">
        <is>
          <t>BLEKINGE LÄN</t>
        </is>
      </c>
      <c r="G1471" t="inlineStr">
        <is>
          <t>RONNEBY</t>
        </is>
      </c>
      <c r="H1471" t="inlineStr">
        <is>
          <t>Övriga Aktiebolag</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29409-2025</t>
        </is>
      </c>
      <c r="B1472" t="inlineStr">
        <is>
          <t>avverkningsanmälan</t>
        </is>
      </c>
      <c r="C1472" t="inlineStr">
        <is>
          <t>Föryngringsavverkning</t>
        </is>
      </c>
      <c r="D1472" s="1" t="n">
        <v>45824</v>
      </c>
      <c r="E1472" s="1" t="n">
        <v>46248</v>
      </c>
      <c r="F1472" t="inlineStr">
        <is>
          <t>BLEKINGE LÄN</t>
        </is>
      </c>
      <c r="G1472" t="inlineStr">
        <is>
          <t>KARLSHAMN</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9763-2022</t>
        </is>
      </c>
      <c r="B1473" t="inlineStr">
        <is>
          <t>avverkningsanmälan</t>
        </is>
      </c>
      <c r="C1473" t="inlineStr">
        <is>
          <t>Avverkning för annat ändamål</t>
        </is>
      </c>
      <c r="D1473" s="1" t="n">
        <v>44619</v>
      </c>
      <c r="E1473" s="1" t="n">
        <v>46248</v>
      </c>
      <c r="F1473" t="inlineStr">
        <is>
          <t>BLEKINGE LÄN</t>
        </is>
      </c>
      <c r="G1473" t="inlineStr">
        <is>
          <t>KARLSKRONA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29396-2025</t>
        </is>
      </c>
      <c r="B1474" t="inlineStr">
        <is>
          <t>avverkningsanmälan</t>
        </is>
      </c>
      <c r="C1474" t="inlineStr">
        <is>
          <t>Föryngringsavverkning</t>
        </is>
      </c>
      <c r="D1474" s="1" t="n">
        <v>45824</v>
      </c>
      <c r="E1474" s="1" t="n">
        <v>46248</v>
      </c>
      <c r="F1474" t="inlineStr">
        <is>
          <t>BLEKINGE LÄN</t>
        </is>
      </c>
      <c r="G1474" t="inlineStr">
        <is>
          <t>KARLSHAMN</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1909-2023</t>
        </is>
      </c>
      <c r="B1475" t="inlineStr">
        <is>
          <t>avverkningsanmälan</t>
        </is>
      </c>
      <c r="C1475" t="inlineStr">
        <is>
          <t>Avverkning för annat ändamål</t>
        </is>
      </c>
      <c r="D1475" s="1" t="n">
        <v>44939</v>
      </c>
      <c r="E1475" s="1" t="n">
        <v>46248</v>
      </c>
      <c r="F1475" t="inlineStr">
        <is>
          <t>BLEKINGE LÄN</t>
        </is>
      </c>
      <c r="G1475" t="inlineStr">
        <is>
          <t>RONNEBY</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54854-2023</t>
        </is>
      </c>
      <c r="B1476" t="inlineStr">
        <is>
          <t>avverkningsanmälan</t>
        </is>
      </c>
      <c r="C1476" t="inlineStr">
        <is>
          <t>Föryngringsavverkning</t>
        </is>
      </c>
      <c r="D1476" s="1" t="n">
        <v>45236</v>
      </c>
      <c r="E1476" s="1" t="n">
        <v>46248</v>
      </c>
      <c r="F1476" t="inlineStr">
        <is>
          <t>BLEKINGE LÄN</t>
        </is>
      </c>
      <c r="G1476" t="inlineStr">
        <is>
          <t>KARLSHAMN</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2195-2024</t>
        </is>
      </c>
      <c r="B1477" t="inlineStr">
        <is>
          <t>avverkningsanmälan</t>
        </is>
      </c>
      <c r="C1477" t="inlineStr">
        <is>
          <t>Föryngringsavverkning</t>
        </is>
      </c>
      <c r="D1477" s="1" t="n">
        <v>45309</v>
      </c>
      <c r="E1477" s="1" t="n">
        <v>46248</v>
      </c>
      <c r="F1477" t="inlineStr">
        <is>
          <t>BLEKINGE LÄN</t>
        </is>
      </c>
      <c r="G1477" t="inlineStr">
        <is>
          <t>KARLSKRONA</t>
        </is>
      </c>
      <c r="I1477" t="n">
        <v>8.199999999999999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44580-2025</t>
        </is>
      </c>
      <c r="B1478" t="inlineStr">
        <is>
          <t>avverkningsanmälan</t>
        </is>
      </c>
      <c r="C1478" t="inlineStr">
        <is>
          <t>Föryngringsavverkning</t>
        </is>
      </c>
      <c r="D1478" s="1" t="n">
        <v>45917</v>
      </c>
      <c r="E1478" s="1" t="n">
        <v>46248</v>
      </c>
      <c r="F1478" t="inlineStr">
        <is>
          <t>BLEKINGE LÄN</t>
        </is>
      </c>
      <c r="G1478" t="inlineStr">
        <is>
          <t>KARLSKRONA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3574-2023</t>
        </is>
      </c>
      <c r="B1479" t="inlineStr">
        <is>
          <t>avverkningsanmälan</t>
        </is>
      </c>
      <c r="C1479" t="inlineStr">
        <is>
          <t>Föryngringsavverkning</t>
        </is>
      </c>
      <c r="D1479" s="1" t="n">
        <v>44950</v>
      </c>
      <c r="E1479" s="1" t="n">
        <v>46248</v>
      </c>
      <c r="F1479" t="inlineStr">
        <is>
          <t>BLEKINGE LÄN</t>
        </is>
      </c>
      <c r="G1479" t="inlineStr">
        <is>
          <t>RONNEBY</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30227-2025</t>
        </is>
      </c>
      <c r="B1480" t="inlineStr">
        <is>
          <t>avverkningsanmälan</t>
        </is>
      </c>
      <c r="C1480" t="inlineStr">
        <is>
          <t>Föryngringsavverkning</t>
        </is>
      </c>
      <c r="D1480" s="1" t="n">
        <v>45827</v>
      </c>
      <c r="E1480" s="1" t="n">
        <v>46248</v>
      </c>
      <c r="F1480" t="inlineStr">
        <is>
          <t>BLEKINGE LÄN</t>
        </is>
      </c>
      <c r="G1480" t="inlineStr">
        <is>
          <t>RONNEBY</t>
        </is>
      </c>
      <c r="H1480" t="inlineStr">
        <is>
          <t>Övriga Aktiebolag</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59710-2024</t>
        </is>
      </c>
      <c r="B1481" t="inlineStr">
        <is>
          <t>avverkningsanmälan</t>
        </is>
      </c>
      <c r="C1481" t="inlineStr">
        <is>
          <t>Föryngringsavverkning</t>
        </is>
      </c>
      <c r="D1481" s="1" t="n">
        <v>45639</v>
      </c>
      <c r="E1481" s="1" t="n">
        <v>46248</v>
      </c>
      <c r="F1481" t="inlineStr">
        <is>
          <t>BLEKINGE LÄN</t>
        </is>
      </c>
      <c r="G1481" t="inlineStr">
        <is>
          <t>OLOFSTRÖM</t>
        </is>
      </c>
      <c r="I1481" t="n">
        <v>6.7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20606-2022</t>
        </is>
      </c>
      <c r="B1482" t="inlineStr">
        <is>
          <t>avverkningsanmälan</t>
        </is>
      </c>
      <c r="C1482" t="inlineStr">
        <is>
          <t>Föryngringsavverkning</t>
        </is>
      </c>
      <c r="D1482" s="1" t="n">
        <v>44700</v>
      </c>
      <c r="E1482" s="1" t="n">
        <v>46248</v>
      </c>
      <c r="F1482" t="inlineStr">
        <is>
          <t>BLEKINGE LÄN</t>
        </is>
      </c>
      <c r="G1482" t="inlineStr">
        <is>
          <t>KARLSKRONA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10920-2025</t>
        </is>
      </c>
      <c r="B1483" t="inlineStr">
        <is>
          <t>avverkningsanmälan</t>
        </is>
      </c>
      <c r="C1483" t="inlineStr">
        <is>
          <t>Föryngringsavverkning</t>
        </is>
      </c>
      <c r="D1483" s="1" t="n">
        <v>45722</v>
      </c>
      <c r="E1483" s="1" t="n">
        <v>46248</v>
      </c>
      <c r="F1483" t="inlineStr">
        <is>
          <t>BLEKINGE LÄN</t>
        </is>
      </c>
      <c r="G1483" t="inlineStr">
        <is>
          <t>RONNEBY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2414-2025</t>
        </is>
      </c>
      <c r="B1484" t="inlineStr">
        <is>
          <t>avverkningsanmälan</t>
        </is>
      </c>
      <c r="C1484" t="inlineStr">
        <is>
          <t>Föryngringsavverkning</t>
        </is>
      </c>
      <c r="D1484" s="1" t="n">
        <v>45674</v>
      </c>
      <c r="E1484" s="1" t="n">
        <v>46248</v>
      </c>
      <c r="F1484" t="inlineStr">
        <is>
          <t>BLEKINGE LÄN</t>
        </is>
      </c>
      <c r="G1484" t="inlineStr">
        <is>
          <t>KARLSKRONA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29935-2025</t>
        </is>
      </c>
      <c r="B1485" t="inlineStr">
        <is>
          <t>avverkningsanmälan</t>
        </is>
      </c>
      <c r="C1485" t="inlineStr">
        <is>
          <t>Föryngringsavverkning</t>
        </is>
      </c>
      <c r="D1485" s="1" t="n">
        <v>45826</v>
      </c>
      <c r="E1485" s="1" t="n">
        <v>46248</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34470-2025</t>
        </is>
      </c>
      <c r="B1486" t="inlineStr">
        <is>
          <t>avverkningsanmälan</t>
        </is>
      </c>
      <c r="C1486" t="inlineStr">
        <is>
          <t>Föryngringsavverkning</t>
        </is>
      </c>
      <c r="D1486" s="1" t="n">
        <v>45846</v>
      </c>
      <c r="E1486" s="1" t="n">
        <v>46248</v>
      </c>
      <c r="F1486" t="inlineStr">
        <is>
          <t>BLEKINGE LÄN</t>
        </is>
      </c>
      <c r="G1486" t="inlineStr">
        <is>
          <t>KARLSHAMN</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30205-2025</t>
        </is>
      </c>
      <c r="B1487" t="inlineStr">
        <is>
          <t>avverkningsanmälan</t>
        </is>
      </c>
      <c r="C1487" t="inlineStr">
        <is>
          <t>Föryngringsavverkning</t>
        </is>
      </c>
      <c r="D1487" s="1" t="n">
        <v>45827</v>
      </c>
      <c r="E1487" s="1" t="n">
        <v>46248</v>
      </c>
      <c r="F1487" t="inlineStr">
        <is>
          <t>BLEKINGE LÄN</t>
        </is>
      </c>
      <c r="G1487" t="inlineStr">
        <is>
          <t>OLOFSTRÖM</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28962-2025</t>
        </is>
      </c>
      <c r="B1488" t="inlineStr">
        <is>
          <t>avverkningsanmälan</t>
        </is>
      </c>
      <c r="C1488" t="inlineStr">
        <is>
          <t>Föryngringsavverkning</t>
        </is>
      </c>
      <c r="D1488" s="1" t="n">
        <v>45821</v>
      </c>
      <c r="E1488" s="1" t="n">
        <v>46248</v>
      </c>
      <c r="F1488" t="inlineStr">
        <is>
          <t>BLEKINGE LÄN</t>
        </is>
      </c>
      <c r="G1488" t="inlineStr">
        <is>
          <t>RONNEBY</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44584-2023</t>
        </is>
      </c>
      <c r="B1489" t="inlineStr">
        <is>
          <t>avverkningsanmälan</t>
        </is>
      </c>
      <c r="C1489" t="inlineStr">
        <is>
          <t>Föryngringsavverkning</t>
        </is>
      </c>
      <c r="D1489" s="1" t="n">
        <v>45183</v>
      </c>
      <c r="E1489" s="1" t="n">
        <v>46248</v>
      </c>
      <c r="F1489" t="inlineStr">
        <is>
          <t>BLEKINGE LÄN</t>
        </is>
      </c>
      <c r="G1489" t="inlineStr">
        <is>
          <t>KARLSKRONA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54248-2025</t>
        </is>
      </c>
      <c r="B1490" t="inlineStr">
        <is>
          <t>avverkningsanmälan</t>
        </is>
      </c>
      <c r="C1490" t="inlineStr">
        <is>
          <t>Avverkning för annat ändamål</t>
        </is>
      </c>
      <c r="D1490" s="1" t="n">
        <v>45964</v>
      </c>
      <c r="E1490" s="1" t="n">
        <v>46248</v>
      </c>
      <c r="F1490" t="inlineStr">
        <is>
          <t>BLEKINGE LÄN</t>
        </is>
      </c>
      <c r="G1490" t="inlineStr">
        <is>
          <t>RONNEBY</t>
        </is>
      </c>
      <c r="H1490" t="inlineStr">
        <is>
          <t>Kommuner</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30398-2025</t>
        </is>
      </c>
      <c r="B1491" t="inlineStr">
        <is>
          <t>avverkningsanmälan</t>
        </is>
      </c>
      <c r="C1491" t="inlineStr">
        <is>
          <t>Föryngringsavverkning</t>
        </is>
      </c>
      <c r="D1491" s="1" t="n">
        <v>45827</v>
      </c>
      <c r="E1491" s="1" t="n">
        <v>46248</v>
      </c>
      <c r="F1491" t="inlineStr">
        <is>
          <t>BLEKINGE LÄN</t>
        </is>
      </c>
      <c r="G1491" t="inlineStr">
        <is>
          <t>RONNEBY</t>
        </is>
      </c>
      <c r="H1491" t="inlineStr">
        <is>
          <t>Övriga Aktiebolag</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621-2025</t>
        </is>
      </c>
      <c r="B1492" t="inlineStr">
        <is>
          <t>avverkningsanmälan</t>
        </is>
      </c>
      <c r="C1492" t="inlineStr">
        <is>
          <t>Föryngringsavverkning</t>
        </is>
      </c>
      <c r="D1492" s="1" t="n">
        <v>45664</v>
      </c>
      <c r="E1492" s="1" t="n">
        <v>46248</v>
      </c>
      <c r="F1492" t="inlineStr">
        <is>
          <t>BLEKINGE LÄN</t>
        </is>
      </c>
      <c r="G1492" t="inlineStr">
        <is>
          <t>KARLSKRONA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7066-2022</t>
        </is>
      </c>
      <c r="B1493" t="inlineStr">
        <is>
          <t>avverkningsanmälan</t>
        </is>
      </c>
      <c r="C1493" t="inlineStr">
        <is>
          <t>Föryngringsavverkning</t>
        </is>
      </c>
      <c r="D1493" s="1" t="n">
        <v>44603</v>
      </c>
      <c r="E1493" s="1" t="n">
        <v>46248</v>
      </c>
      <c r="F1493" t="inlineStr">
        <is>
          <t>BLEKINGE LÄN</t>
        </is>
      </c>
      <c r="G1493" t="inlineStr">
        <is>
          <t>KARLSKRONA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22814-2025</t>
        </is>
      </c>
      <c r="B1494" t="inlineStr">
        <is>
          <t>avverkningsanmälan</t>
        </is>
      </c>
      <c r="C1494" t="inlineStr">
        <is>
          <t>Föryngringsavverkning</t>
        </is>
      </c>
      <c r="D1494" s="1" t="n">
        <v>45789</v>
      </c>
      <c r="E1494" s="1" t="n">
        <v>46248</v>
      </c>
      <c r="F1494" t="inlineStr">
        <is>
          <t>BLEKINGE LÄN</t>
        </is>
      </c>
      <c r="G1494" t="inlineStr">
        <is>
          <t>KARLSHAMN</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29818-2025</t>
        </is>
      </c>
      <c r="B1495" t="inlineStr">
        <is>
          <t>avverkningsanmälan</t>
        </is>
      </c>
      <c r="C1495" t="inlineStr">
        <is>
          <t>Föryngringsavverkning</t>
        </is>
      </c>
      <c r="D1495" s="1" t="n">
        <v>45825</v>
      </c>
      <c r="E1495" s="1" t="n">
        <v>46248</v>
      </c>
      <c r="F1495" t="inlineStr">
        <is>
          <t>BLEKINGE LÄN</t>
        </is>
      </c>
      <c r="G1495" t="inlineStr">
        <is>
          <t>RONNEBY</t>
        </is>
      </c>
      <c r="I1495" t="n">
        <v>6.4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34746-2023</t>
        </is>
      </c>
      <c r="B1496" t="inlineStr">
        <is>
          <t>avverkningsanmälan</t>
        </is>
      </c>
      <c r="C1496" t="inlineStr">
        <is>
          <t>Föryngringsavverkning</t>
        </is>
      </c>
      <c r="D1496" s="1" t="n">
        <v>45141</v>
      </c>
      <c r="E1496" s="1" t="n">
        <v>46248</v>
      </c>
      <c r="F1496" t="inlineStr">
        <is>
          <t>BLEKINGE LÄN</t>
        </is>
      </c>
      <c r="G1496" t="inlineStr">
        <is>
          <t>OLOFSTRÖM</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52701-2023</t>
        </is>
      </c>
      <c r="B1497" t="inlineStr">
        <is>
          <t>avverkningsanmälan</t>
        </is>
      </c>
      <c r="C1497" t="inlineStr">
        <is>
          <t>Föryngringsavverkning</t>
        </is>
      </c>
      <c r="D1497" s="1" t="n">
        <v>45225</v>
      </c>
      <c r="E1497" s="1" t="n">
        <v>46248</v>
      </c>
      <c r="F1497" t="inlineStr">
        <is>
          <t>BLEKINGE LÄN</t>
        </is>
      </c>
      <c r="G1497" t="inlineStr">
        <is>
          <t>KARLSKRONA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52884-2025</t>
        </is>
      </c>
      <c r="B1498" t="inlineStr">
        <is>
          <t>avverkningsanmälan</t>
        </is>
      </c>
      <c r="C1498" t="inlineStr">
        <is>
          <t>Föryngringsavverkning</t>
        </is>
      </c>
      <c r="D1498" s="1" t="n">
        <v>45954</v>
      </c>
      <c r="E1498" s="1" t="n">
        <v>46248</v>
      </c>
      <c r="F1498" t="inlineStr">
        <is>
          <t>BLEKINGE LÄN</t>
        </is>
      </c>
      <c r="G1498" t="inlineStr">
        <is>
          <t>RONNEBY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29897-2025</t>
        </is>
      </c>
      <c r="B1499" t="inlineStr">
        <is>
          <t>avverkningsanmälan</t>
        </is>
      </c>
      <c r="C1499" t="inlineStr">
        <is>
          <t>Föryngringsavverkning</t>
        </is>
      </c>
      <c r="D1499" s="1" t="n">
        <v>45826</v>
      </c>
      <c r="E1499" s="1" t="n">
        <v>46248</v>
      </c>
      <c r="F1499" t="inlineStr">
        <is>
          <t>BLEKINGE LÄN</t>
        </is>
      </c>
      <c r="G1499" t="inlineStr">
        <is>
          <t>KARLSHAMN</t>
        </is>
      </c>
      <c r="H1499" t="inlineStr">
        <is>
          <t>Sveaskog</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14665-2025</t>
        </is>
      </c>
      <c r="B1500" t="inlineStr">
        <is>
          <t>avverkningsanmälan</t>
        </is>
      </c>
      <c r="C1500" t="inlineStr">
        <is>
          <t>Föryngringsavverkning</t>
        </is>
      </c>
      <c r="D1500" s="1" t="n">
        <v>45742</v>
      </c>
      <c r="E1500" s="1" t="n">
        <v>46248</v>
      </c>
      <c r="F1500" t="inlineStr">
        <is>
          <t>BLEKINGE LÄN</t>
        </is>
      </c>
      <c r="G1500" t="inlineStr">
        <is>
          <t>OLOFSTRÖM</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57818-2025</t>
        </is>
      </c>
      <c r="B1501" t="inlineStr">
        <is>
          <t>avverkningsanmälan</t>
        </is>
      </c>
      <c r="C1501" t="inlineStr">
        <is>
          <t>Föryngringsavverkning</t>
        </is>
      </c>
      <c r="D1501" s="1" t="n">
        <v>45981</v>
      </c>
      <c r="E1501" s="1" t="n">
        <v>46248</v>
      </c>
      <c r="F1501" t="inlineStr">
        <is>
          <t>BLEKINGE LÄN</t>
        </is>
      </c>
      <c r="G1501" t="inlineStr">
        <is>
          <t>KARLSKRONA</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30469-2025</t>
        </is>
      </c>
      <c r="B1502" t="inlineStr">
        <is>
          <t>avverkningsanmälan</t>
        </is>
      </c>
      <c r="C1502" t="inlineStr">
        <is>
          <t>Avverkning för att bevara och utveckla /försöksver</t>
        </is>
      </c>
      <c r="D1502" s="1" t="n">
        <v>45827</v>
      </c>
      <c r="E1502" s="1" t="n">
        <v>46248</v>
      </c>
      <c r="F1502" t="inlineStr">
        <is>
          <t>BLEKINGE LÄN</t>
        </is>
      </c>
      <c r="G1502" t="inlineStr">
        <is>
          <t>OLOFSTRÖM</t>
        </is>
      </c>
      <c r="H1502" t="inlineStr">
        <is>
          <t>Sveaskog</t>
        </is>
      </c>
      <c r="I1502" t="n">
        <v>5.9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14308-2024</t>
        </is>
      </c>
      <c r="B1503" t="inlineStr">
        <is>
          <t>avverkningsanmälan</t>
        </is>
      </c>
      <c r="C1503" t="inlineStr">
        <is>
          <t>Föryngringsavverkning</t>
        </is>
      </c>
      <c r="D1503" s="1" t="n">
        <v>45393</v>
      </c>
      <c r="E1503" s="1" t="n">
        <v>46248</v>
      </c>
      <c r="F1503" t="inlineStr">
        <is>
          <t>BLEKINGE LÄN</t>
        </is>
      </c>
      <c r="G1503" t="inlineStr">
        <is>
          <t>KARLSKRONA</t>
        </is>
      </c>
      <c r="I1503" t="n">
        <v>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30470-2025</t>
        </is>
      </c>
      <c r="B1504" t="inlineStr">
        <is>
          <t>avverkningsanmälan</t>
        </is>
      </c>
      <c r="C1504" t="inlineStr">
        <is>
          <t>Avverkning för att bevara och utveckla /försöksver</t>
        </is>
      </c>
      <c r="D1504" s="1" t="n">
        <v>45827</v>
      </c>
      <c r="E1504" s="1" t="n">
        <v>46248</v>
      </c>
      <c r="F1504" t="inlineStr">
        <is>
          <t>BLEKINGE LÄN</t>
        </is>
      </c>
      <c r="G1504" t="inlineStr">
        <is>
          <t>OLOFSTRÖM</t>
        </is>
      </c>
      <c r="H1504" t="inlineStr">
        <is>
          <t>Sveaskog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27375-2025</t>
        </is>
      </c>
      <c r="B1505" t="inlineStr">
        <is>
          <t>avverkningsanmälan</t>
        </is>
      </c>
      <c r="C1505" t="inlineStr">
        <is>
          <t>Föryngringsavverkning</t>
        </is>
      </c>
      <c r="D1505" s="1" t="n">
        <v>45812</v>
      </c>
      <c r="E1505" s="1" t="n">
        <v>46248</v>
      </c>
      <c r="F1505" t="inlineStr">
        <is>
          <t>BLEKINGE LÄN</t>
        </is>
      </c>
      <c r="G1505" t="inlineStr">
        <is>
          <t>KARLSKRONA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9259-2022</t>
        </is>
      </c>
      <c r="B1506" t="inlineStr">
        <is>
          <t>avverkningsanmälan</t>
        </is>
      </c>
      <c r="C1506" t="inlineStr">
        <is>
          <t>Föryngringsavverkning</t>
        </is>
      </c>
      <c r="D1506" s="1" t="n">
        <v>44616</v>
      </c>
      <c r="E1506" s="1" t="n">
        <v>46248</v>
      </c>
      <c r="F1506" t="inlineStr">
        <is>
          <t>BLEKINGE LÄN</t>
        </is>
      </c>
      <c r="G1506" t="inlineStr">
        <is>
          <t>OLOFSTRÖM</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9306-2022</t>
        </is>
      </c>
      <c r="B1507" t="inlineStr">
        <is>
          <t>avverkningsanmälan</t>
        </is>
      </c>
      <c r="C1507" t="inlineStr">
        <is>
          <t>Föryngringsavverkning</t>
        </is>
      </c>
      <c r="D1507" s="1" t="n">
        <v>44616</v>
      </c>
      <c r="E1507" s="1" t="n">
        <v>46248</v>
      </c>
      <c r="F1507" t="inlineStr">
        <is>
          <t>BLEKINGE LÄN</t>
        </is>
      </c>
      <c r="G1507" t="inlineStr">
        <is>
          <t>KARLSKRONA</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6681-2025</t>
        </is>
      </c>
      <c r="B1508" t="inlineStr">
        <is>
          <t>avverkningsanmälan</t>
        </is>
      </c>
      <c r="C1508" t="inlineStr">
        <is>
          <t>Föryngringsavverkning</t>
        </is>
      </c>
      <c r="D1508" s="1" t="n">
        <v>45700</v>
      </c>
      <c r="E1508" s="1" t="n">
        <v>46248</v>
      </c>
      <c r="F1508" t="inlineStr">
        <is>
          <t>BLEKINGE LÄN</t>
        </is>
      </c>
      <c r="G1508" t="inlineStr">
        <is>
          <t>OLOFSTRÖM</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41243-2023</t>
        </is>
      </c>
      <c r="B1509" t="inlineStr">
        <is>
          <t>avverkningsanmälan</t>
        </is>
      </c>
      <c r="C1509" t="inlineStr">
        <is>
          <t>Föryngringsavverkning</t>
        </is>
      </c>
      <c r="D1509" s="1" t="n">
        <v>45174</v>
      </c>
      <c r="E1509" s="1" t="n">
        <v>46248</v>
      </c>
      <c r="F1509" t="inlineStr">
        <is>
          <t>BLEKINGE LÄN</t>
        </is>
      </c>
      <c r="G1509" t="inlineStr">
        <is>
          <t>KARLSKRONA</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23072-2023</t>
        </is>
      </c>
      <c r="B1510" t="inlineStr">
        <is>
          <t>avverkningsanmälan</t>
        </is>
      </c>
      <c r="C1510" t="inlineStr">
        <is>
          <t>Föryngringsavverkning</t>
        </is>
      </c>
      <c r="D1510" s="1" t="n">
        <v>45070</v>
      </c>
      <c r="E1510" s="1" t="n">
        <v>46248</v>
      </c>
      <c r="F1510" t="inlineStr">
        <is>
          <t>BLEKINGE LÄN</t>
        </is>
      </c>
      <c r="G1510" t="inlineStr">
        <is>
          <t>KARLSKRONA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20822-2023</t>
        </is>
      </c>
      <c r="B1511" t="inlineStr">
        <is>
          <t>avverkningsanmälan</t>
        </is>
      </c>
      <c r="C1511" t="inlineStr">
        <is>
          <t>Föryngringsavverkning</t>
        </is>
      </c>
      <c r="D1511" s="1" t="n">
        <v>45058</v>
      </c>
      <c r="E1511" s="1" t="n">
        <v>46248</v>
      </c>
      <c r="F1511" t="inlineStr">
        <is>
          <t>BLEKINGE LÄN</t>
        </is>
      </c>
      <c r="G1511" t="inlineStr">
        <is>
          <t>RONNEBY</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41665-2024</t>
        </is>
      </c>
      <c r="B1512" t="inlineStr">
        <is>
          <t>avverkningsanmälan</t>
        </is>
      </c>
      <c r="C1512" t="inlineStr">
        <is>
          <t>Föryngringsavverkning</t>
        </is>
      </c>
      <c r="D1512" s="1" t="n">
        <v>45560</v>
      </c>
      <c r="E1512" s="1" t="n">
        <v>46248</v>
      </c>
      <c r="F1512" t="inlineStr">
        <is>
          <t>BLEKINGE LÄN</t>
        </is>
      </c>
      <c r="G1512" t="inlineStr">
        <is>
          <t>RONNEBY</t>
        </is>
      </c>
      <c r="H1512" t="inlineStr">
        <is>
          <t>Övriga Aktiebolag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39218-2025</t>
        </is>
      </c>
      <c r="B1513" t="inlineStr">
        <is>
          <t>avverkningsanmälan</t>
        </is>
      </c>
      <c r="C1513" t="inlineStr">
        <is>
          <t>Föryngringsavverkning</t>
        </is>
      </c>
      <c r="D1513" s="1" t="n">
        <v>45888</v>
      </c>
      <c r="E1513" s="1" t="n">
        <v>46248</v>
      </c>
      <c r="F1513" t="inlineStr">
        <is>
          <t>BLEKINGE LÄN</t>
        </is>
      </c>
      <c r="G1513" t="inlineStr">
        <is>
          <t>RONNEBY</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42464-2023</t>
        </is>
      </c>
      <c r="B1514" t="inlineStr">
        <is>
          <t>avverkningsanmälan</t>
        </is>
      </c>
      <c r="C1514" t="inlineStr">
        <is>
          <t>Föryngringsavverkning</t>
        </is>
      </c>
      <c r="D1514" s="1" t="n">
        <v>45180</v>
      </c>
      <c r="E1514" s="1" t="n">
        <v>46248</v>
      </c>
      <c r="F1514" t="inlineStr">
        <is>
          <t>BLEKINGE LÄN</t>
        </is>
      </c>
      <c r="G1514" t="inlineStr">
        <is>
          <t>OLOFSTRÖM</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31605-2025</t>
        </is>
      </c>
      <c r="B1515" t="inlineStr">
        <is>
          <t>avverkningsanmälan</t>
        </is>
      </c>
      <c r="C1515" t="inlineStr">
        <is>
          <t>Föryngringsavverkning</t>
        </is>
      </c>
      <c r="D1515" s="1" t="n">
        <v>45833</v>
      </c>
      <c r="E1515" s="1" t="n">
        <v>46248</v>
      </c>
      <c r="F1515" t="inlineStr">
        <is>
          <t>BLEKINGE LÄN</t>
        </is>
      </c>
      <c r="G1515" t="inlineStr">
        <is>
          <t>RONNEBY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39308-2025</t>
        </is>
      </c>
      <c r="B1516" t="inlineStr">
        <is>
          <t>avverkningsanmälan</t>
        </is>
      </c>
      <c r="C1516" t="inlineStr">
        <is>
          <t>Föryngringsavverkning</t>
        </is>
      </c>
      <c r="D1516" s="1" t="n">
        <v>45889</v>
      </c>
      <c r="E1516" s="1" t="n">
        <v>46248</v>
      </c>
      <c r="F1516" t="inlineStr">
        <is>
          <t>BLEKINGE LÄN</t>
        </is>
      </c>
      <c r="G1516" t="inlineStr">
        <is>
          <t>RONNEBY</t>
        </is>
      </c>
      <c r="H1516" t="inlineStr">
        <is>
          <t>Övriga Aktiebolag</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39062-2025</t>
        </is>
      </c>
      <c r="B1517" t="inlineStr">
        <is>
          <t>avverkningsanmälan</t>
        </is>
      </c>
      <c r="C1517" t="inlineStr">
        <is>
          <t>Föryngringsavverkning</t>
        </is>
      </c>
      <c r="D1517" s="1" t="n">
        <v>45888</v>
      </c>
      <c r="E1517" s="1" t="n">
        <v>46248</v>
      </c>
      <c r="F1517" t="inlineStr">
        <is>
          <t>BLEKINGE LÄN</t>
        </is>
      </c>
      <c r="G1517" t="inlineStr">
        <is>
          <t>RONNEBY</t>
        </is>
      </c>
      <c r="H1517" t="inlineStr">
        <is>
          <t>Övriga Aktiebolag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39455-2025</t>
        </is>
      </c>
      <c r="B1518" t="inlineStr">
        <is>
          <t>avverkningsanmälan</t>
        </is>
      </c>
      <c r="C1518" t="inlineStr">
        <is>
          <t>Föryngringsavverkning</t>
        </is>
      </c>
      <c r="D1518" s="1" t="n">
        <v>45889</v>
      </c>
      <c r="E1518" s="1" t="n">
        <v>46248</v>
      </c>
      <c r="F1518" t="inlineStr">
        <is>
          <t>BLEKINGE LÄN</t>
        </is>
      </c>
      <c r="G1518" t="inlineStr">
        <is>
          <t>RONNEBY</t>
        </is>
      </c>
      <c r="H1518" t="inlineStr">
        <is>
          <t>Övriga Aktiebolag</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31289-2023</t>
        </is>
      </c>
      <c r="B1519" t="inlineStr">
        <is>
          <t>avverkningsanmälan</t>
        </is>
      </c>
      <c r="C1519" t="inlineStr">
        <is>
          <t>Föryngringsavverkning</t>
        </is>
      </c>
      <c r="D1519" s="1" t="n">
        <v>45114</v>
      </c>
      <c r="E1519" s="1" t="n">
        <v>46248</v>
      </c>
      <c r="F1519" t="inlineStr">
        <is>
          <t>BLEKINGE LÄN</t>
        </is>
      </c>
      <c r="G1519" t="inlineStr">
        <is>
          <t>KARLSHAMN</t>
        </is>
      </c>
      <c r="I1519" t="n">
        <v>6.4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45407-2023</t>
        </is>
      </c>
      <c r="B1520" t="inlineStr">
        <is>
          <t>avverkningsanmälan</t>
        </is>
      </c>
      <c r="C1520" t="inlineStr">
        <is>
          <t>Föryngringsavverkning</t>
        </is>
      </c>
      <c r="D1520" s="1" t="n">
        <v>45194</v>
      </c>
      <c r="E1520" s="1" t="n">
        <v>46248</v>
      </c>
      <c r="F1520" t="inlineStr">
        <is>
          <t>BLEKINGE LÄN</t>
        </is>
      </c>
      <c r="G1520" t="inlineStr">
        <is>
          <t>RONNEBY</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45206-2022</t>
        </is>
      </c>
      <c r="B1521" t="inlineStr">
        <is>
          <t>avverkningsanmälan</t>
        </is>
      </c>
      <c r="C1521" t="inlineStr">
        <is>
          <t>Föryngringsavverkning</t>
        </is>
      </c>
      <c r="D1521" s="1" t="n">
        <v>44844</v>
      </c>
      <c r="E1521" s="1" t="n">
        <v>46248</v>
      </c>
      <c r="F1521" t="inlineStr">
        <is>
          <t>BLEKINGE LÄN</t>
        </is>
      </c>
      <c r="G1521" t="inlineStr">
        <is>
          <t>KARLSHAMN</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38482-2025</t>
        </is>
      </c>
      <c r="B1522" t="inlineStr">
        <is>
          <t>avverkningsanmälan</t>
        </is>
      </c>
      <c r="C1522" t="inlineStr">
        <is>
          <t>Föryngringsavverkning</t>
        </is>
      </c>
      <c r="D1522" s="1" t="n">
        <v>45884</v>
      </c>
      <c r="E1522" s="1" t="n">
        <v>46248</v>
      </c>
      <c r="F1522" t="inlineStr">
        <is>
          <t>BLEKINGE LÄN</t>
        </is>
      </c>
      <c r="G1522" t="inlineStr">
        <is>
          <t>KARLSKRONA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17820-2023</t>
        </is>
      </c>
      <c r="B1523" t="inlineStr">
        <is>
          <t>avverkningsanmälan</t>
        </is>
      </c>
      <c r="C1523" t="inlineStr">
        <is>
          <t>Föryngringsavverkning</t>
        </is>
      </c>
      <c r="D1523" s="1" t="n">
        <v>45037</v>
      </c>
      <c r="E1523" s="1" t="n">
        <v>46248</v>
      </c>
      <c r="F1523" t="inlineStr">
        <is>
          <t>BLEKINGE LÄN</t>
        </is>
      </c>
      <c r="G1523" t="inlineStr">
        <is>
          <t>KARLSKRONA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57525-2025</t>
        </is>
      </c>
      <c r="B1524" t="inlineStr">
        <is>
          <t>avverkningsanmälan</t>
        </is>
      </c>
      <c r="C1524" t="inlineStr">
        <is>
          <t>Föryngringsavverkning</t>
        </is>
      </c>
      <c r="D1524" s="1" t="n">
        <v>45980</v>
      </c>
      <c r="E1524" s="1" t="n">
        <v>46248</v>
      </c>
      <c r="F1524" t="inlineStr">
        <is>
          <t>BLEKINGE LÄN</t>
        </is>
      </c>
      <c r="G1524" t="inlineStr">
        <is>
          <t>KARLSKRONA</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32130-2025</t>
        </is>
      </c>
      <c r="B1525" t="inlineStr">
        <is>
          <t>avverkningsanmälan</t>
        </is>
      </c>
      <c r="C1525" t="inlineStr">
        <is>
          <t>Föryngringsavverkning</t>
        </is>
      </c>
      <c r="D1525" s="1" t="n">
        <v>45835</v>
      </c>
      <c r="E1525" s="1" t="n">
        <v>46248</v>
      </c>
      <c r="F1525" t="inlineStr">
        <is>
          <t>BLEKINGE LÄN</t>
        </is>
      </c>
      <c r="G1525" t="inlineStr">
        <is>
          <t>RONNEBY</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32142-2025</t>
        </is>
      </c>
      <c r="B1526" t="inlineStr">
        <is>
          <t>avverkningsanmälan</t>
        </is>
      </c>
      <c r="C1526" t="inlineStr">
        <is>
          <t>Föryngringsavverkning</t>
        </is>
      </c>
      <c r="D1526" s="1" t="n">
        <v>45835</v>
      </c>
      <c r="E1526" s="1" t="n">
        <v>46248</v>
      </c>
      <c r="F1526" t="inlineStr">
        <is>
          <t>BLEKINGE LÄN</t>
        </is>
      </c>
      <c r="G1526" t="inlineStr">
        <is>
          <t>RONNEBY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30275-2025</t>
        </is>
      </c>
      <c r="B1527" t="inlineStr">
        <is>
          <t>avverkningsanmälan</t>
        </is>
      </c>
      <c r="C1527" t="inlineStr">
        <is>
          <t>Föryngringsavverkning</t>
        </is>
      </c>
      <c r="D1527" s="1" t="n">
        <v>45827</v>
      </c>
      <c r="E1527" s="1" t="n">
        <v>46248</v>
      </c>
      <c r="F1527" t="inlineStr">
        <is>
          <t>BLEKINGE LÄN</t>
        </is>
      </c>
      <c r="G1527" t="inlineStr">
        <is>
          <t>KARLSKRONA</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26485-2023</t>
        </is>
      </c>
      <c r="B1528" t="inlineStr">
        <is>
          <t>avverkningsanmälan</t>
        </is>
      </c>
      <c r="C1528" t="inlineStr">
        <is>
          <t>Föryngringsavverkning</t>
        </is>
      </c>
      <c r="D1528" s="1" t="n">
        <v>45092</v>
      </c>
      <c r="E1528" s="1" t="n">
        <v>46248</v>
      </c>
      <c r="F1528" t="inlineStr">
        <is>
          <t>BLEKINGE LÄN</t>
        </is>
      </c>
      <c r="G1528" t="inlineStr">
        <is>
          <t>KARLSKRONA</t>
        </is>
      </c>
      <c r="I1528" t="n">
        <v>39.4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39970-2025</t>
        </is>
      </c>
      <c r="B1529" t="inlineStr">
        <is>
          <t>avverkningsanmälan</t>
        </is>
      </c>
      <c r="C1529" t="inlineStr">
        <is>
          <t>Föryngringsavverkning</t>
        </is>
      </c>
      <c r="D1529" s="1" t="n">
        <v>45892</v>
      </c>
      <c r="E1529" s="1" t="n">
        <v>46248</v>
      </c>
      <c r="F1529" t="inlineStr">
        <is>
          <t>BLEKINGE LÄN</t>
        </is>
      </c>
      <c r="G1529" t="inlineStr">
        <is>
          <t>RONNEBY</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39944-2025</t>
        </is>
      </c>
      <c r="B1530" t="inlineStr">
        <is>
          <t>avverkningsanmälan</t>
        </is>
      </c>
      <c r="C1530" t="inlineStr">
        <is>
          <t>Föryngringsavverkning</t>
        </is>
      </c>
      <c r="D1530" s="1" t="n">
        <v>45891</v>
      </c>
      <c r="E1530" s="1" t="n">
        <v>46248</v>
      </c>
      <c r="F1530" t="inlineStr">
        <is>
          <t>BLEKINGE LÄN</t>
        </is>
      </c>
      <c r="G1530" t="inlineStr">
        <is>
          <t>OLOFSTRÖM</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46820-2022</t>
        </is>
      </c>
      <c r="B1531" t="inlineStr">
        <is>
          <t>avverkningsanmälan</t>
        </is>
      </c>
      <c r="C1531" t="inlineStr">
        <is>
          <t>Avverkning för annat ändamål</t>
        </is>
      </c>
      <c r="D1531" s="1" t="n">
        <v>44851</v>
      </c>
      <c r="E1531" s="1" t="n">
        <v>46248</v>
      </c>
      <c r="F1531" t="inlineStr">
        <is>
          <t>BLEKINGE LÄN</t>
        </is>
      </c>
      <c r="G1531" t="inlineStr">
        <is>
          <t>OLOFSTRÖM</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39426-2025</t>
        </is>
      </c>
      <c r="B1532" t="inlineStr">
        <is>
          <t>avverkningsanmälan</t>
        </is>
      </c>
      <c r="C1532" t="inlineStr">
        <is>
          <t>Föryngringsavverkning</t>
        </is>
      </c>
      <c r="D1532" s="1" t="n">
        <v>45889</v>
      </c>
      <c r="E1532" s="1" t="n">
        <v>46248</v>
      </c>
      <c r="F1532" t="inlineStr">
        <is>
          <t>BLEKINGE LÄN</t>
        </is>
      </c>
      <c r="G1532" t="inlineStr">
        <is>
          <t>RONNEBY</t>
        </is>
      </c>
      <c r="H1532" t="inlineStr">
        <is>
          <t>Övriga Aktiebolag</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9906-2025</t>
        </is>
      </c>
      <c r="B1533" t="inlineStr">
        <is>
          <t>avverkningsanmälan</t>
        </is>
      </c>
      <c r="C1533" t="inlineStr">
        <is>
          <t>Föryngringsavverkning</t>
        </is>
      </c>
      <c r="D1533" s="1" t="n">
        <v>45717</v>
      </c>
      <c r="E1533" s="1" t="n">
        <v>46248</v>
      </c>
      <c r="F1533" t="inlineStr">
        <is>
          <t>BLEKINGE LÄN</t>
        </is>
      </c>
      <c r="G1533" t="inlineStr">
        <is>
          <t>KARLSHAMN</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32957-2025</t>
        </is>
      </c>
      <c r="B1534" t="inlineStr">
        <is>
          <t>avverkningsanmälan</t>
        </is>
      </c>
      <c r="C1534" t="inlineStr">
        <is>
          <t>Föryngringsavverkning</t>
        </is>
      </c>
      <c r="D1534" s="1" t="n">
        <v>45839</v>
      </c>
      <c r="E1534" s="1" t="n">
        <v>46248</v>
      </c>
      <c r="F1534" t="inlineStr">
        <is>
          <t>BLEKINGE LÄN</t>
        </is>
      </c>
      <c r="G1534" t="inlineStr">
        <is>
          <t>KARLSKRONA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15444-2022</t>
        </is>
      </c>
      <c r="B1535" t="inlineStr">
        <is>
          <t>avverkningsanmälan</t>
        </is>
      </c>
      <c r="C1535" t="inlineStr">
        <is>
          <t>Föryngringsavverkning</t>
        </is>
      </c>
      <c r="D1535" s="1" t="n">
        <v>44660</v>
      </c>
      <c r="E1535" s="1" t="n">
        <v>46248</v>
      </c>
      <c r="F1535" t="inlineStr">
        <is>
          <t>BLEKINGE LÄN</t>
        </is>
      </c>
      <c r="G1535" t="inlineStr">
        <is>
          <t>KARLSHAMN</t>
        </is>
      </c>
      <c r="H1535" t="inlineStr">
        <is>
          <t>Kommuner</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60071-2022</t>
        </is>
      </c>
      <c r="B1536" t="inlineStr">
        <is>
          <t>avverkningsanmälan</t>
        </is>
      </c>
      <c r="C1536" t="inlineStr">
        <is>
          <t>Avverkning för annat ändamål</t>
        </is>
      </c>
      <c r="D1536" s="1" t="n">
        <v>44909</v>
      </c>
      <c r="E1536" s="1" t="n">
        <v>46248</v>
      </c>
      <c r="F1536" t="inlineStr">
        <is>
          <t>BLEKINGE LÄN</t>
        </is>
      </c>
      <c r="G1536" t="inlineStr">
        <is>
          <t>KARLSKRONA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32680-2025</t>
        </is>
      </c>
      <c r="B1537" t="inlineStr">
        <is>
          <t>avverkningsanmälan</t>
        </is>
      </c>
      <c r="C1537" t="inlineStr">
        <is>
          <t>Föryngringsavverkning</t>
        </is>
      </c>
      <c r="D1537" s="1" t="n">
        <v>45838</v>
      </c>
      <c r="E1537" s="1" t="n">
        <v>46248</v>
      </c>
      <c r="F1537" t="inlineStr">
        <is>
          <t>BLEKINGE LÄN</t>
        </is>
      </c>
      <c r="G1537" t="inlineStr">
        <is>
          <t>KARLSKRONA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34673-2025</t>
        </is>
      </c>
      <c r="B1538" t="inlineStr">
        <is>
          <t>avverkningsanmälan</t>
        </is>
      </c>
      <c r="C1538" t="inlineStr">
        <is>
          <t>Föryngringsavverkning</t>
        </is>
      </c>
      <c r="D1538" s="1" t="n">
        <v>45848</v>
      </c>
      <c r="E1538" s="1" t="n">
        <v>46248</v>
      </c>
      <c r="F1538" t="inlineStr">
        <is>
          <t>BLEKINGE LÄN</t>
        </is>
      </c>
      <c r="G1538" t="inlineStr">
        <is>
          <t>KARLSHAMN</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8619-2025</t>
        </is>
      </c>
      <c r="B1539" t="inlineStr">
        <is>
          <t>avverkningsanmälan</t>
        </is>
      </c>
      <c r="C1539" t="inlineStr">
        <is>
          <t>Föryngringsavverkning</t>
        </is>
      </c>
      <c r="D1539" s="1" t="n">
        <v>45711</v>
      </c>
      <c r="E1539" s="1" t="n">
        <v>46248</v>
      </c>
      <c r="F1539" t="inlineStr">
        <is>
          <t>BLEKINGE LÄN</t>
        </is>
      </c>
      <c r="G1539" t="inlineStr">
        <is>
          <t>KARLSKRONA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21832-2025</t>
        </is>
      </c>
      <c r="B1540" t="inlineStr">
        <is>
          <t>avverkningsanmälan</t>
        </is>
      </c>
      <c r="C1540" t="inlineStr">
        <is>
          <t>Föryngringsavverkning</t>
        </is>
      </c>
      <c r="D1540" s="1" t="n">
        <v>45784</v>
      </c>
      <c r="E1540" s="1" t="n">
        <v>46248</v>
      </c>
      <c r="F1540" t="inlineStr">
        <is>
          <t>BLEKINGE LÄN</t>
        </is>
      </c>
      <c r="G1540" t="inlineStr">
        <is>
          <t>KARLSKRONA</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21953-2025</t>
        </is>
      </c>
      <c r="B1541" t="inlineStr">
        <is>
          <t>avverkningsanmälan</t>
        </is>
      </c>
      <c r="C1541" t="inlineStr">
        <is>
          <t>Föryngringsavverkning</t>
        </is>
      </c>
      <c r="D1541" s="1" t="n">
        <v>45784</v>
      </c>
      <c r="E1541" s="1" t="n">
        <v>46248</v>
      </c>
      <c r="F1541" t="inlineStr">
        <is>
          <t>BLEKINGE LÄN</t>
        </is>
      </c>
      <c r="G1541" t="inlineStr">
        <is>
          <t>KARLSKRONA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32701-2025</t>
        </is>
      </c>
      <c r="B1542" t="inlineStr">
        <is>
          <t>avverkningsanmälan</t>
        </is>
      </c>
      <c r="C1542" t="inlineStr">
        <is>
          <t>Föryngringsavverkning</t>
        </is>
      </c>
      <c r="D1542" s="1" t="n">
        <v>45838</v>
      </c>
      <c r="E1542" s="1" t="n">
        <v>46248</v>
      </c>
      <c r="F1542" t="inlineStr">
        <is>
          <t>BLEKINGE LÄN</t>
        </is>
      </c>
      <c r="G1542" t="inlineStr">
        <is>
          <t>RONNEBY</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23410-2023</t>
        </is>
      </c>
      <c r="B1543" t="inlineStr">
        <is>
          <t>avverkningsanmälan</t>
        </is>
      </c>
      <c r="C1543" t="inlineStr">
        <is>
          <t>Föryngringsavverkning</t>
        </is>
      </c>
      <c r="D1543" s="1" t="n">
        <v>45076</v>
      </c>
      <c r="E1543" s="1" t="n">
        <v>46248</v>
      </c>
      <c r="F1543" t="inlineStr">
        <is>
          <t>BLEKINGE LÄN</t>
        </is>
      </c>
      <c r="G1543" t="inlineStr">
        <is>
          <t>KARLSKRONA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32716-2025</t>
        </is>
      </c>
      <c r="B1544" t="inlineStr">
        <is>
          <t>avverkningsanmälan</t>
        </is>
      </c>
      <c r="C1544" t="inlineStr">
        <is>
          <t>Föryngringsavverkning</t>
        </is>
      </c>
      <c r="D1544" s="1" t="n">
        <v>45838</v>
      </c>
      <c r="E1544" s="1" t="n">
        <v>46248</v>
      </c>
      <c r="F1544" t="inlineStr">
        <is>
          <t>BLEKINGE LÄN</t>
        </is>
      </c>
      <c r="G1544" t="inlineStr">
        <is>
          <t>RONNEBY</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41863-2025</t>
        </is>
      </c>
      <c r="B1545" t="inlineStr">
        <is>
          <t>avverkningsanmälan</t>
        </is>
      </c>
      <c r="C1545" t="inlineStr">
        <is>
          <t>Föryngringsavverkning</t>
        </is>
      </c>
      <c r="D1545" s="1" t="n">
        <v>45903</v>
      </c>
      <c r="E1545" s="1" t="n">
        <v>46248</v>
      </c>
      <c r="F1545" t="inlineStr">
        <is>
          <t>BLEKINGE LÄN</t>
        </is>
      </c>
      <c r="G1545" t="inlineStr">
        <is>
          <t>RONNEBY</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59707-2023</t>
        </is>
      </c>
      <c r="B1546" t="inlineStr">
        <is>
          <t>avverkningsanmälan</t>
        </is>
      </c>
      <c r="C1546" t="inlineStr">
        <is>
          <t>Föryngringsavverkning</t>
        </is>
      </c>
      <c r="D1546" s="1" t="n">
        <v>45256</v>
      </c>
      <c r="E1546" s="1" t="n">
        <v>46248</v>
      </c>
      <c r="F1546" t="inlineStr">
        <is>
          <t>BLEKINGE LÄN</t>
        </is>
      </c>
      <c r="G1546" t="inlineStr">
        <is>
          <t>KARLSKRONA</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32514-2025</t>
        </is>
      </c>
      <c r="B1547" t="inlineStr">
        <is>
          <t>avverkningsanmälan</t>
        </is>
      </c>
      <c r="C1547" t="inlineStr">
        <is>
          <t>Föryngringsavverkning</t>
        </is>
      </c>
      <c r="D1547" s="1" t="n">
        <v>45838</v>
      </c>
      <c r="E1547" s="1" t="n">
        <v>46248</v>
      </c>
      <c r="F1547" t="inlineStr">
        <is>
          <t>BLEKINGE LÄN</t>
        </is>
      </c>
      <c r="G1547" t="inlineStr">
        <is>
          <t>SÖLVESBORG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40518-2025</t>
        </is>
      </c>
      <c r="B1548" t="inlineStr">
        <is>
          <t>avverkningsanmälan</t>
        </is>
      </c>
      <c r="C1548" t="inlineStr">
        <is>
          <t>Föryngringsavverkning</t>
        </is>
      </c>
      <c r="D1548" s="1" t="n">
        <v>45896</v>
      </c>
      <c r="E1548" s="1" t="n">
        <v>46248</v>
      </c>
      <c r="F1548" t="inlineStr">
        <is>
          <t>BLEKINGE LÄN</t>
        </is>
      </c>
      <c r="G1548" t="inlineStr">
        <is>
          <t>OLOFSTRÖM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22798-2025</t>
        </is>
      </c>
      <c r="B1549" t="inlineStr">
        <is>
          <t>avverkningsanmälan</t>
        </is>
      </c>
      <c r="C1549" t="inlineStr">
        <is>
          <t>Föryngringsavverkning</t>
        </is>
      </c>
      <c r="D1549" s="1" t="n">
        <v>45789</v>
      </c>
      <c r="E1549" s="1" t="n">
        <v>46248</v>
      </c>
      <c r="F1549" t="inlineStr">
        <is>
          <t>BLEKINGE LÄN</t>
        </is>
      </c>
      <c r="G1549" t="inlineStr">
        <is>
          <t>KARLSKRONA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40523-2025</t>
        </is>
      </c>
      <c r="B1550" t="inlineStr">
        <is>
          <t>avverkningsanmälan</t>
        </is>
      </c>
      <c r="C1550" t="inlineStr">
        <is>
          <t>Föryngringsavverkning</t>
        </is>
      </c>
      <c r="D1550" s="1" t="n">
        <v>45896</v>
      </c>
      <c r="E1550" s="1" t="n">
        <v>46248</v>
      </c>
      <c r="F1550" t="inlineStr">
        <is>
          <t>BLEKINGE LÄN</t>
        </is>
      </c>
      <c r="G1550" t="inlineStr">
        <is>
          <t>OLOFSTRÖM</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33058-2025</t>
        </is>
      </c>
      <c r="B1551" t="inlineStr">
        <is>
          <t>avverkningsanmälan</t>
        </is>
      </c>
      <c r="C1551" t="inlineStr">
        <is>
          <t>Föryngringsavverkning</t>
        </is>
      </c>
      <c r="D1551" s="1" t="n">
        <v>45840</v>
      </c>
      <c r="E1551" s="1" t="n">
        <v>46248</v>
      </c>
      <c r="F1551" t="inlineStr">
        <is>
          <t>BLEKINGE LÄN</t>
        </is>
      </c>
      <c r="G1551" t="inlineStr">
        <is>
          <t>RONNEBY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40680-2025</t>
        </is>
      </c>
      <c r="B1552" t="inlineStr">
        <is>
          <t>avverkningsanmälan</t>
        </is>
      </c>
      <c r="C1552" t="inlineStr">
        <is>
          <t>Föryngringsavverkning</t>
        </is>
      </c>
      <c r="D1552" s="1" t="n">
        <v>45896</v>
      </c>
      <c r="E1552" s="1" t="n">
        <v>46248</v>
      </c>
      <c r="F1552" t="inlineStr">
        <is>
          <t>BLEKINGE LÄN</t>
        </is>
      </c>
      <c r="G1552" t="inlineStr">
        <is>
          <t>OLOFSTRÖM</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39247-2025</t>
        </is>
      </c>
      <c r="B1553" t="inlineStr">
        <is>
          <t>avverkningsanmälan</t>
        </is>
      </c>
      <c r="C1553" t="inlineStr">
        <is>
          <t>Föryngringsavverkning</t>
        </is>
      </c>
      <c r="D1553" s="1" t="n">
        <v>45889</v>
      </c>
      <c r="E1553" s="1" t="n">
        <v>46248</v>
      </c>
      <c r="F1553" t="inlineStr">
        <is>
          <t>BLEKINGE LÄN</t>
        </is>
      </c>
      <c r="G1553" t="inlineStr">
        <is>
          <t>RONNEBY</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20602-2026</t>
        </is>
      </c>
      <c r="B1554" t="inlineStr">
        <is>
          <t>avverkningsanmälan</t>
        </is>
      </c>
      <c r="C1554" t="inlineStr">
        <is>
          <t>Föryngringsavverkning</t>
        </is>
      </c>
      <c r="D1554" s="1" t="n">
        <v>46140</v>
      </c>
      <c r="E1554" s="1" t="n">
        <v>46248</v>
      </c>
      <c r="F1554" t="inlineStr">
        <is>
          <t>BLEKINGE LÄN</t>
        </is>
      </c>
      <c r="G1554" t="inlineStr">
        <is>
          <t>RONNEBY</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41135-2025</t>
        </is>
      </c>
      <c r="B1555" t="inlineStr">
        <is>
          <t>avverkningsanmälan</t>
        </is>
      </c>
      <c r="C1555" t="inlineStr">
        <is>
          <t>Föryngringsavverkning</t>
        </is>
      </c>
      <c r="D1555" s="1" t="n">
        <v>45898</v>
      </c>
      <c r="E1555" s="1" t="n">
        <v>46248</v>
      </c>
      <c r="F1555" t="inlineStr">
        <is>
          <t>BLEKINGE LÄN</t>
        </is>
      </c>
      <c r="G1555" t="inlineStr">
        <is>
          <t>OLOFSTRÖM</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41052-2025</t>
        </is>
      </c>
      <c r="B1556" t="inlineStr">
        <is>
          <t>avverkningsanmälan</t>
        </is>
      </c>
      <c r="C1556" t="inlineStr">
        <is>
          <t>Föryngringsavverkning</t>
        </is>
      </c>
      <c r="D1556" s="1" t="n">
        <v>45898</v>
      </c>
      <c r="E1556" s="1" t="n">
        <v>46248</v>
      </c>
      <c r="F1556" t="inlineStr">
        <is>
          <t>BLEKINGE LÄN</t>
        </is>
      </c>
      <c r="G1556" t="inlineStr">
        <is>
          <t>KARLSHAMN</t>
        </is>
      </c>
      <c r="H1556" t="inlineStr">
        <is>
          <t>Sveaskog</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41565-2025</t>
        </is>
      </c>
      <c r="B1557" t="inlineStr">
        <is>
          <t>avverkningsanmälan</t>
        </is>
      </c>
      <c r="C1557" t="inlineStr">
        <is>
          <t>Föryngringsavverkning</t>
        </is>
      </c>
      <c r="D1557" s="1" t="n">
        <v>45901</v>
      </c>
      <c r="E1557" s="1" t="n">
        <v>46248</v>
      </c>
      <c r="F1557" t="inlineStr">
        <is>
          <t>BLEKINGE LÄN</t>
        </is>
      </c>
      <c r="G1557" t="inlineStr">
        <is>
          <t>SÖLVESBORG</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41061-2025</t>
        </is>
      </c>
      <c r="B1558" t="inlineStr">
        <is>
          <t>avverkningsanmälan</t>
        </is>
      </c>
      <c r="C1558" t="inlineStr">
        <is>
          <t>Föryngringsavverkning</t>
        </is>
      </c>
      <c r="D1558" s="1" t="n">
        <v>45898</v>
      </c>
      <c r="E1558" s="1" t="n">
        <v>46248</v>
      </c>
      <c r="F1558" t="inlineStr">
        <is>
          <t>BLEKINGE LÄN</t>
        </is>
      </c>
      <c r="G1558" t="inlineStr">
        <is>
          <t>KARLSHAMN</t>
        </is>
      </c>
      <c r="H1558" t="inlineStr">
        <is>
          <t>Sveaskog</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41258-2025</t>
        </is>
      </c>
      <c r="B1559" t="inlineStr">
        <is>
          <t>avverkningsanmälan</t>
        </is>
      </c>
      <c r="C1559" t="inlineStr">
        <is>
          <t>Föryngringsavverkning</t>
        </is>
      </c>
      <c r="D1559" s="1" t="n">
        <v>45898</v>
      </c>
      <c r="E1559" s="1" t="n">
        <v>46248</v>
      </c>
      <c r="F1559" t="inlineStr">
        <is>
          <t>BLEKINGE LÄN</t>
        </is>
      </c>
      <c r="G1559" t="inlineStr">
        <is>
          <t>OLOFSTRÖM</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41313-2025</t>
        </is>
      </c>
      <c r="B1560" t="inlineStr">
        <is>
          <t>avverkningsanmälan</t>
        </is>
      </c>
      <c r="C1560" t="inlineStr">
        <is>
          <t>Föryngringsavverkning</t>
        </is>
      </c>
      <c r="D1560" s="1" t="n">
        <v>45898</v>
      </c>
      <c r="E1560" s="1" t="n">
        <v>46248</v>
      </c>
      <c r="F1560" t="inlineStr">
        <is>
          <t>BLEKINGE LÄN</t>
        </is>
      </c>
      <c r="G1560" t="inlineStr">
        <is>
          <t>KARLSHAMN</t>
        </is>
      </c>
      <c r="H1560" t="inlineStr">
        <is>
          <t>Sveaskog</t>
        </is>
      </c>
      <c r="I1560" t="n">
        <v>6.9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33986-2025</t>
        </is>
      </c>
      <c r="B1561" t="inlineStr">
        <is>
          <t>avverkningsanmälan</t>
        </is>
      </c>
      <c r="C1561" t="inlineStr">
        <is>
          <t>Föryngringsavverkning</t>
        </is>
      </c>
      <c r="D1561" s="1" t="n">
        <v>45843</v>
      </c>
      <c r="E1561" s="1" t="n">
        <v>46248</v>
      </c>
      <c r="F1561" t="inlineStr">
        <is>
          <t>BLEKINGE LÄN</t>
        </is>
      </c>
      <c r="G1561" t="inlineStr">
        <is>
          <t>RONNEBY</t>
        </is>
      </c>
      <c r="I1561" t="n">
        <v>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6618-2023</t>
        </is>
      </c>
      <c r="B1562" t="inlineStr">
        <is>
          <t>avverkningsanmälan</t>
        </is>
      </c>
      <c r="C1562" t="inlineStr">
        <is>
          <t>Föryngringsavverkning</t>
        </is>
      </c>
      <c r="D1562" s="1" t="n">
        <v>44966</v>
      </c>
      <c r="E1562" s="1" t="n">
        <v>46248</v>
      </c>
      <c r="F1562" t="inlineStr">
        <is>
          <t>BLEKINGE LÄN</t>
        </is>
      </c>
      <c r="G1562" t="inlineStr">
        <is>
          <t>RONNEBY</t>
        </is>
      </c>
      <c r="I1562" t="n">
        <v>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34247-2025</t>
        </is>
      </c>
      <c r="B1563" t="inlineStr">
        <is>
          <t>avverkningsanmälan</t>
        </is>
      </c>
      <c r="C1563" t="inlineStr">
        <is>
          <t>Föryngringsavverkning</t>
        </is>
      </c>
      <c r="D1563" s="1" t="n">
        <v>45845</v>
      </c>
      <c r="E1563" s="1" t="n">
        <v>46248</v>
      </c>
      <c r="F1563" t="inlineStr">
        <is>
          <t>BLEKINGE LÄN</t>
        </is>
      </c>
      <c r="G1563" t="inlineStr">
        <is>
          <t>KARLSHAMN</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10008-2025</t>
        </is>
      </c>
      <c r="B1564" t="inlineStr">
        <is>
          <t>avverkningsanmälan</t>
        </is>
      </c>
      <c r="C1564" t="inlineStr">
        <is>
          <t>Föryngringsavverkning</t>
        </is>
      </c>
      <c r="D1564" s="1" t="n">
        <v>45719</v>
      </c>
      <c r="E1564" s="1" t="n">
        <v>46248</v>
      </c>
      <c r="F1564" t="inlineStr">
        <is>
          <t>BLEKINGE LÄN</t>
        </is>
      </c>
      <c r="G1564" t="inlineStr">
        <is>
          <t>KARLSHAMN</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48535-2025</t>
        </is>
      </c>
      <c r="B1565" t="inlineStr">
        <is>
          <t>avverkningsanmälan</t>
        </is>
      </c>
      <c r="C1565" t="inlineStr">
        <is>
          <t>Föryngringsavverkning</t>
        </is>
      </c>
      <c r="D1565" s="1" t="n">
        <v>45936</v>
      </c>
      <c r="E1565" s="1" t="n">
        <v>46248</v>
      </c>
      <c r="F1565" t="inlineStr">
        <is>
          <t>BLEKINGE LÄN</t>
        </is>
      </c>
      <c r="G1565" t="inlineStr">
        <is>
          <t>OLOFSTRÖM</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20580-2023</t>
        </is>
      </c>
      <c r="B1566" t="inlineStr">
        <is>
          <t>avverkningsanmälan</t>
        </is>
      </c>
      <c r="C1566" t="inlineStr">
        <is>
          <t>Föryngringsavverkning</t>
        </is>
      </c>
      <c r="D1566" s="1" t="n">
        <v>45057</v>
      </c>
      <c r="E1566" s="1" t="n">
        <v>46248</v>
      </c>
      <c r="F1566" t="inlineStr">
        <is>
          <t>BLEKINGE LÄN</t>
        </is>
      </c>
      <c r="G1566" t="inlineStr">
        <is>
          <t>RONNEBY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36724-2024</t>
        </is>
      </c>
      <c r="B1567" t="inlineStr">
        <is>
          <t>avverkningsanmälan</t>
        </is>
      </c>
      <c r="C1567" t="inlineStr">
        <is>
          <t>Föryngringsavverkning</t>
        </is>
      </c>
      <c r="D1567" s="1" t="n">
        <v>45537</v>
      </c>
      <c r="E1567" s="1" t="n">
        <v>46248</v>
      </c>
      <c r="F1567" t="inlineStr">
        <is>
          <t>BLEKINGE LÄN</t>
        </is>
      </c>
      <c r="G1567" t="inlineStr">
        <is>
          <t>RONNEBY</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58059-2022</t>
        </is>
      </c>
      <c r="B1568" t="inlineStr">
        <is>
          <t>avverkningsanmälan</t>
        </is>
      </c>
      <c r="C1568" t="inlineStr">
        <is>
          <t>Föryngringsavverkning</t>
        </is>
      </c>
      <c r="D1568" s="1" t="n">
        <v>44900</v>
      </c>
      <c r="E1568" s="1" t="n">
        <v>46248</v>
      </c>
      <c r="F1568" t="inlineStr">
        <is>
          <t>BLEKINGE LÄN</t>
        </is>
      </c>
      <c r="G1568" t="inlineStr">
        <is>
          <t>KARLSKRONA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27378-2025</t>
        </is>
      </c>
      <c r="B1569" t="inlineStr">
        <is>
          <t>avverkningsanmälan</t>
        </is>
      </c>
      <c r="C1569" t="inlineStr">
        <is>
          <t>Föryngringsavverkning</t>
        </is>
      </c>
      <c r="D1569" s="1" t="n">
        <v>45812</v>
      </c>
      <c r="E1569" s="1" t="n">
        <v>46248</v>
      </c>
      <c r="F1569" t="inlineStr">
        <is>
          <t>BLEKINGE LÄN</t>
        </is>
      </c>
      <c r="G1569" t="inlineStr">
        <is>
          <t>KARLSKRONA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56660-2023</t>
        </is>
      </c>
      <c r="B1570" t="inlineStr">
        <is>
          <t>avverkningsanmälan</t>
        </is>
      </c>
      <c r="C1570" t="inlineStr">
        <is>
          <t>Föryngringsavverkning</t>
        </is>
      </c>
      <c r="D1570" s="1" t="n">
        <v>45243</v>
      </c>
      <c r="E1570" s="1" t="n">
        <v>46248</v>
      </c>
      <c r="F1570" t="inlineStr">
        <is>
          <t>BLEKINGE LÄN</t>
        </is>
      </c>
      <c r="G1570" t="inlineStr">
        <is>
          <t>OLOFSTRÖM</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5882-2025</t>
        </is>
      </c>
      <c r="B1571" t="inlineStr">
        <is>
          <t>avverkningsanmälan</t>
        </is>
      </c>
      <c r="C1571" t="inlineStr">
        <is>
          <t>Föryngringsavverkning</t>
        </is>
      </c>
      <c r="D1571" s="1" t="n">
        <v>45695</v>
      </c>
      <c r="E1571" s="1" t="n">
        <v>46248</v>
      </c>
      <c r="F1571" t="inlineStr">
        <is>
          <t>BLEKINGE LÄN</t>
        </is>
      </c>
      <c r="G1571" t="inlineStr">
        <is>
          <t>KARLSKRONA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38793-2022</t>
        </is>
      </c>
      <c r="B1572" t="inlineStr">
        <is>
          <t>avverkningsanmälan</t>
        </is>
      </c>
      <c r="C1572" t="inlineStr">
        <is>
          <t>Avverkning för annat ändamål</t>
        </is>
      </c>
      <c r="D1572" s="1" t="n">
        <v>44816</v>
      </c>
      <c r="E1572" s="1" t="n">
        <v>46248</v>
      </c>
      <c r="F1572" t="inlineStr">
        <is>
          <t>BLEKINGE LÄN</t>
        </is>
      </c>
      <c r="G1572" t="inlineStr">
        <is>
          <t>KARLSHAMN</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34458-2025</t>
        </is>
      </c>
      <c r="B1573" t="inlineStr">
        <is>
          <t>avverkningsanmälan</t>
        </is>
      </c>
      <c r="C1573" t="inlineStr">
        <is>
          <t>Föryngringsavverkning</t>
        </is>
      </c>
      <c r="D1573" s="1" t="n">
        <v>45846</v>
      </c>
      <c r="E1573" s="1" t="n">
        <v>46248</v>
      </c>
      <c r="F1573" t="inlineStr">
        <is>
          <t>BLEKINGE LÄN</t>
        </is>
      </c>
      <c r="G1573" t="inlineStr">
        <is>
          <t>KARLSHAMN</t>
        </is>
      </c>
      <c r="I1573" t="n">
        <v>6.2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24880-2022</t>
        </is>
      </c>
      <c r="B1574" t="inlineStr">
        <is>
          <t>avverkningsanmälan</t>
        </is>
      </c>
      <c r="C1574" t="inlineStr">
        <is>
          <t>Föryngringsavverkning</t>
        </is>
      </c>
      <c r="D1574" s="1" t="n">
        <v>44728</v>
      </c>
      <c r="E1574" s="1" t="n">
        <v>46248</v>
      </c>
      <c r="F1574" t="inlineStr">
        <is>
          <t>BLEKINGE LÄN</t>
        </is>
      </c>
      <c r="G1574" t="inlineStr">
        <is>
          <t>KARLSHAMN</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21543-2025</t>
        </is>
      </c>
      <c r="B1575" t="inlineStr">
        <is>
          <t>avverkningsanmälan</t>
        </is>
      </c>
      <c r="C1575" t="inlineStr">
        <is>
          <t>Föryngringsavverkning</t>
        </is>
      </c>
      <c r="D1575" s="1" t="n">
        <v>45782</v>
      </c>
      <c r="E1575" s="1" t="n">
        <v>46248</v>
      </c>
      <c r="F1575" t="inlineStr">
        <is>
          <t>BLEKINGE LÄN</t>
        </is>
      </c>
      <c r="G1575" t="inlineStr">
        <is>
          <t>KARLSHAMN</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61882-2023</t>
        </is>
      </c>
      <c r="B1576" t="inlineStr">
        <is>
          <t>avverkningsanmälan</t>
        </is>
      </c>
      <c r="C1576" t="inlineStr">
        <is>
          <t>Föryngringsavverkning</t>
        </is>
      </c>
      <c r="D1576" s="1" t="n">
        <v>45266</v>
      </c>
      <c r="E1576" s="1" t="n">
        <v>46248</v>
      </c>
      <c r="F1576" t="inlineStr">
        <is>
          <t>BLEKINGE LÄN</t>
        </is>
      </c>
      <c r="G1576" t="inlineStr">
        <is>
          <t>KARLSKRONA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14335-2023</t>
        </is>
      </c>
      <c r="B1577" t="inlineStr">
        <is>
          <t>avverkningsanmälan</t>
        </is>
      </c>
      <c r="C1577" t="inlineStr">
        <is>
          <t>Föryngringsavverkning</t>
        </is>
      </c>
      <c r="D1577" s="1" t="n">
        <v>45012</v>
      </c>
      <c r="E1577" s="1" t="n">
        <v>46248</v>
      </c>
      <c r="F1577" t="inlineStr">
        <is>
          <t>BLEKINGE LÄN</t>
        </is>
      </c>
      <c r="G1577" t="inlineStr">
        <is>
          <t>RONNEBY</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14357-2023</t>
        </is>
      </c>
      <c r="B1578" t="inlineStr">
        <is>
          <t>avverkningsanmälan</t>
        </is>
      </c>
      <c r="C1578" t="inlineStr">
        <is>
          <t>Föryngringsavverkning</t>
        </is>
      </c>
      <c r="D1578" s="1" t="n">
        <v>45012</v>
      </c>
      <c r="E1578" s="1" t="n">
        <v>46248</v>
      </c>
      <c r="F1578" t="inlineStr">
        <is>
          <t>BLEKINGE LÄN</t>
        </is>
      </c>
      <c r="G1578" t="inlineStr">
        <is>
          <t>RONNEBY</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34302-2025</t>
        </is>
      </c>
      <c r="B1579" t="inlineStr">
        <is>
          <t>avverkningsanmälan</t>
        </is>
      </c>
      <c r="C1579" t="inlineStr">
        <is>
          <t>Föryngringsavverkning</t>
        </is>
      </c>
      <c r="D1579" s="1" t="n">
        <v>45846</v>
      </c>
      <c r="E1579" s="1" t="n">
        <v>46248</v>
      </c>
      <c r="F1579" t="inlineStr">
        <is>
          <t>BLEKINGE LÄN</t>
        </is>
      </c>
      <c r="G1579" t="inlineStr">
        <is>
          <t>RONNEBY</t>
        </is>
      </c>
      <c r="I1579" t="n">
        <v>0</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62246-2022</t>
        </is>
      </c>
      <c r="B1580" t="inlineStr">
        <is>
          <t>avverkningsanmälan</t>
        </is>
      </c>
      <c r="C1580" t="inlineStr">
        <is>
          <t>Föryngringsavverkning</t>
        </is>
      </c>
      <c r="D1580" s="1" t="n">
        <v>44922</v>
      </c>
      <c r="E1580" s="1" t="n">
        <v>46248</v>
      </c>
      <c r="F1580" t="inlineStr">
        <is>
          <t>BLEKINGE LÄN</t>
        </is>
      </c>
      <c r="G1580" t="inlineStr">
        <is>
          <t>OLOFSTRÖM</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41310-2025</t>
        </is>
      </c>
      <c r="B1581" t="inlineStr">
        <is>
          <t>avverkningsanmälan</t>
        </is>
      </c>
      <c r="C1581" t="inlineStr">
        <is>
          <t>Föryngringsavverkning</t>
        </is>
      </c>
      <c r="D1581" s="1" t="n">
        <v>45898</v>
      </c>
      <c r="E1581" s="1" t="n">
        <v>46248</v>
      </c>
      <c r="F1581" t="inlineStr">
        <is>
          <t>BLEKINGE LÄN</t>
        </is>
      </c>
      <c r="G1581" t="inlineStr">
        <is>
          <t>KARLSHAMN</t>
        </is>
      </c>
      <c r="H1581" t="inlineStr">
        <is>
          <t>Sveaskog</t>
        </is>
      </c>
      <c r="I1581" t="n">
        <v>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34307-2025</t>
        </is>
      </c>
      <c r="B1582" t="inlineStr">
        <is>
          <t>avverkningsanmälan</t>
        </is>
      </c>
      <c r="C1582" t="inlineStr">
        <is>
          <t>Föryngringsavverkning</t>
        </is>
      </c>
      <c r="D1582" s="1" t="n">
        <v>45846</v>
      </c>
      <c r="E1582" s="1" t="n">
        <v>46248</v>
      </c>
      <c r="F1582" t="inlineStr">
        <is>
          <t>BLEKINGE LÄN</t>
        </is>
      </c>
      <c r="G1582" t="inlineStr">
        <is>
          <t>RONNEBY</t>
        </is>
      </c>
      <c r="I1582" t="n">
        <v>0</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58552-2022</t>
        </is>
      </c>
      <c r="B1583" t="inlineStr">
        <is>
          <t>avverkningsanmälan</t>
        </is>
      </c>
      <c r="C1583" t="inlineStr">
        <is>
          <t>Föryngringsavverkning</t>
        </is>
      </c>
      <c r="D1583" s="1" t="n">
        <v>44902</v>
      </c>
      <c r="E1583" s="1" t="n">
        <v>46248</v>
      </c>
      <c r="F1583" t="inlineStr">
        <is>
          <t>BLEKINGE LÄN</t>
        </is>
      </c>
      <c r="G1583" t="inlineStr">
        <is>
          <t>RONNEBY</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55350-2023</t>
        </is>
      </c>
      <c r="B1584" t="inlineStr">
        <is>
          <t>avverkningsanmälan</t>
        </is>
      </c>
      <c r="C1584" t="inlineStr">
        <is>
          <t>Föryngringsavverkning</t>
        </is>
      </c>
      <c r="D1584" s="1" t="n">
        <v>45238</v>
      </c>
      <c r="E1584" s="1" t="n">
        <v>46248</v>
      </c>
      <c r="F1584" t="inlineStr">
        <is>
          <t>BLEKINGE LÄN</t>
        </is>
      </c>
      <c r="G1584" t="inlineStr">
        <is>
          <t>RONNEBY</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8235-2023</t>
        </is>
      </c>
      <c r="B1585" t="inlineStr">
        <is>
          <t>avverkningsanmälan</t>
        </is>
      </c>
      <c r="C1585" t="inlineStr">
        <is>
          <t>Föryngringsavverkning</t>
        </is>
      </c>
      <c r="D1585" s="1" t="n">
        <v>44974</v>
      </c>
      <c r="E1585" s="1" t="n">
        <v>46248</v>
      </c>
      <c r="F1585" t="inlineStr">
        <is>
          <t>BLEKINGE LÄN</t>
        </is>
      </c>
      <c r="G1585" t="inlineStr">
        <is>
          <t>OLOFSTRÖM</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8238-2023</t>
        </is>
      </c>
      <c r="B1586" t="inlineStr">
        <is>
          <t>avverkningsanmälan</t>
        </is>
      </c>
      <c r="C1586" t="inlineStr">
        <is>
          <t>Föryngringsavverkning</t>
        </is>
      </c>
      <c r="D1586" s="1" t="n">
        <v>44974</v>
      </c>
      <c r="E1586" s="1" t="n">
        <v>46248</v>
      </c>
      <c r="F1586" t="inlineStr">
        <is>
          <t>BLEKINGE LÄN</t>
        </is>
      </c>
      <c r="G1586" t="inlineStr">
        <is>
          <t>OLOFSTRÖM</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11141-2025</t>
        </is>
      </c>
      <c r="B1587" t="inlineStr">
        <is>
          <t>avverkningsanmälan</t>
        </is>
      </c>
      <c r="C1587" t="inlineStr">
        <is>
          <t>Föryngringsavverkning</t>
        </is>
      </c>
      <c r="D1587" s="1" t="n">
        <v>45723</v>
      </c>
      <c r="E1587" s="1" t="n">
        <v>46248</v>
      </c>
      <c r="F1587" t="inlineStr">
        <is>
          <t>BLEKINGE LÄN</t>
        </is>
      </c>
      <c r="G1587" t="inlineStr">
        <is>
          <t>OLOFSTRÖM</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20546-2026</t>
        </is>
      </c>
      <c r="B1588" t="inlineStr">
        <is>
          <t>avverkningsanmälan</t>
        </is>
      </c>
      <c r="C1588" t="inlineStr">
        <is>
          <t>Föryngringsavverkning</t>
        </is>
      </c>
      <c r="D1588" s="1" t="n">
        <v>46140</v>
      </c>
      <c r="E1588" s="1" t="n">
        <v>46248</v>
      </c>
      <c r="F1588" t="inlineStr">
        <is>
          <t>BLEKINGE LÄN</t>
        </is>
      </c>
      <c r="G1588" t="inlineStr">
        <is>
          <t>RONNEBY</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20551-2026</t>
        </is>
      </c>
      <c r="B1589" t="inlineStr">
        <is>
          <t>avverkningsanmälan</t>
        </is>
      </c>
      <c r="C1589" t="inlineStr">
        <is>
          <t>Föryngringsavverkning</t>
        </is>
      </c>
      <c r="D1589" s="1" t="n">
        <v>46140</v>
      </c>
      <c r="E1589" s="1" t="n">
        <v>46248</v>
      </c>
      <c r="F1589" t="inlineStr">
        <is>
          <t>BLEKINGE LÄN</t>
        </is>
      </c>
      <c r="G1589" t="inlineStr">
        <is>
          <t>RONNEBY</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43814-2024</t>
        </is>
      </c>
      <c r="B1590" t="inlineStr">
        <is>
          <t>avverkningsanmälan</t>
        </is>
      </c>
      <c r="C1590" t="inlineStr">
        <is>
          <t>Föryngringsavverkning</t>
        </is>
      </c>
      <c r="D1590" s="1" t="n">
        <v>45571</v>
      </c>
      <c r="E1590" s="1" t="n">
        <v>46248</v>
      </c>
      <c r="F1590" t="inlineStr">
        <is>
          <t>BLEKINGE LÄN</t>
        </is>
      </c>
      <c r="G1590" t="inlineStr">
        <is>
          <t>OLOFSTRÖM</t>
        </is>
      </c>
      <c r="H1590" t="inlineStr">
        <is>
          <t>Sveaskog</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43820-2024</t>
        </is>
      </c>
      <c r="B1591" t="inlineStr">
        <is>
          <t>avverkningsanmälan</t>
        </is>
      </c>
      <c r="C1591" t="inlineStr">
        <is>
          <t>Avverkning för annat ändamål</t>
        </is>
      </c>
      <c r="D1591" s="1" t="n">
        <v>45571</v>
      </c>
      <c r="E1591" s="1" t="n">
        <v>46248</v>
      </c>
      <c r="F1591" t="inlineStr">
        <is>
          <t>BLEKINGE LÄN</t>
        </is>
      </c>
      <c r="G1591" t="inlineStr">
        <is>
          <t>KARLSKRONA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34967-2025</t>
        </is>
      </c>
      <c r="B1592" t="inlineStr">
        <is>
          <t>avverkningsanmälan</t>
        </is>
      </c>
      <c r="C1592" t="inlineStr">
        <is>
          <t>Föryngringsavverkning</t>
        </is>
      </c>
      <c r="D1592" s="1" t="n">
        <v>45849</v>
      </c>
      <c r="E1592" s="1" t="n">
        <v>46248</v>
      </c>
      <c r="F1592" t="inlineStr">
        <is>
          <t>BLEKINGE LÄN</t>
        </is>
      </c>
      <c r="G1592" t="inlineStr">
        <is>
          <t>KARLSHAMN</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60469-2023</t>
        </is>
      </c>
      <c r="B1593" t="inlineStr">
        <is>
          <t>avverkningsanmälan</t>
        </is>
      </c>
      <c r="C1593" t="inlineStr">
        <is>
          <t>Föryngringsavverkning</t>
        </is>
      </c>
      <c r="D1593" s="1" t="n">
        <v>45258</v>
      </c>
      <c r="E1593" s="1" t="n">
        <v>46248</v>
      </c>
      <c r="F1593" t="inlineStr">
        <is>
          <t>BLEKINGE LÄN</t>
        </is>
      </c>
      <c r="G1593" t="inlineStr">
        <is>
          <t>SÖLVESBORG</t>
        </is>
      </c>
      <c r="I1593" t="n">
        <v>8.4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20549-2026</t>
        </is>
      </c>
      <c r="B1594" t="inlineStr">
        <is>
          <t>avverkningsanmälan</t>
        </is>
      </c>
      <c r="C1594" t="inlineStr">
        <is>
          <t>Föryngringsavverkning</t>
        </is>
      </c>
      <c r="D1594" s="1" t="n">
        <v>46140</v>
      </c>
      <c r="E1594" s="1" t="n">
        <v>46248</v>
      </c>
      <c r="F1594" t="inlineStr">
        <is>
          <t>BLEKINGE LÄN</t>
        </is>
      </c>
      <c r="G1594" t="inlineStr">
        <is>
          <t>RONNEBY</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30823-2024</t>
        </is>
      </c>
      <c r="B1595" t="inlineStr">
        <is>
          <t>avverkningsanmälan</t>
        </is>
      </c>
      <c r="C1595" t="inlineStr">
        <is>
          <t>Avverkning för annat ändamål</t>
        </is>
      </c>
      <c r="D1595" s="1" t="n">
        <v>45497</v>
      </c>
      <c r="E1595" s="1" t="n">
        <v>46248</v>
      </c>
      <c r="F1595" t="inlineStr">
        <is>
          <t>BLEKINGE LÄN</t>
        </is>
      </c>
      <c r="G1595" t="inlineStr">
        <is>
          <t>OLOFSTRÖM</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47848-2021</t>
        </is>
      </c>
      <c r="B1596" t="inlineStr">
        <is>
          <t>avverkningsanmälan</t>
        </is>
      </c>
      <c r="C1596" t="inlineStr">
        <is>
          <t>Föryngringsavverkning</t>
        </is>
      </c>
      <c r="D1596" s="1" t="n">
        <v>44448</v>
      </c>
      <c r="E1596" s="1" t="n">
        <v>46248</v>
      </c>
      <c r="F1596" t="inlineStr">
        <is>
          <t>BLEKINGE LÄN</t>
        </is>
      </c>
      <c r="G1596" t="inlineStr">
        <is>
          <t>KARLSHAMN</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42613-2024</t>
        </is>
      </c>
      <c r="B1597" t="inlineStr">
        <is>
          <t>avverkningsanmälan</t>
        </is>
      </c>
      <c r="C1597" t="inlineStr">
        <is>
          <t>Föryngringsavverkning</t>
        </is>
      </c>
      <c r="D1597" s="1" t="n">
        <v>45565</v>
      </c>
      <c r="E1597" s="1" t="n">
        <v>46248</v>
      </c>
      <c r="F1597" t="inlineStr">
        <is>
          <t>BLEKINGE LÄN</t>
        </is>
      </c>
      <c r="G1597" t="inlineStr">
        <is>
          <t>KARLSKRONA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20544-2026</t>
        </is>
      </c>
      <c r="B1598" t="inlineStr">
        <is>
          <t>avverkningsanmälan</t>
        </is>
      </c>
      <c r="C1598" t="inlineStr">
        <is>
          <t>Föryngringsavverkning</t>
        </is>
      </c>
      <c r="D1598" s="1" t="n">
        <v>46140</v>
      </c>
      <c r="E1598" s="1" t="n">
        <v>46248</v>
      </c>
      <c r="F1598" t="inlineStr">
        <is>
          <t>BLEKINGE LÄN</t>
        </is>
      </c>
      <c r="G1598" t="inlineStr">
        <is>
          <t>RONNEBY</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7246-2024</t>
        </is>
      </c>
      <c r="B1599" t="inlineStr">
        <is>
          <t>avverkningsanmälan</t>
        </is>
      </c>
      <c r="C1599" t="inlineStr">
        <is>
          <t>Föryngringsavverkning</t>
        </is>
      </c>
      <c r="D1599" s="1" t="n">
        <v>45344</v>
      </c>
      <c r="E1599" s="1" t="n">
        <v>46248</v>
      </c>
      <c r="F1599" t="inlineStr">
        <is>
          <t>BLEKINGE LÄN</t>
        </is>
      </c>
      <c r="G1599" t="inlineStr">
        <is>
          <t>KARLSHAMN</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23858-2022</t>
        </is>
      </c>
      <c r="B1600" t="inlineStr">
        <is>
          <t>avverkningsanmälan</t>
        </is>
      </c>
      <c r="C1600" t="inlineStr">
        <is>
          <t>Föryngringsavverkning</t>
        </is>
      </c>
      <c r="D1600" s="1" t="n">
        <v>44722</v>
      </c>
      <c r="E1600" s="1" t="n">
        <v>46248</v>
      </c>
      <c r="F1600" t="inlineStr">
        <is>
          <t>BLEKINGE LÄN</t>
        </is>
      </c>
      <c r="G1600" t="inlineStr">
        <is>
          <t>KARLSKRONA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9602-2023</t>
        </is>
      </c>
      <c r="B1601" t="inlineStr">
        <is>
          <t>avverkningsanmälan</t>
        </is>
      </c>
      <c r="C1601" t="inlineStr">
        <is>
          <t>Föryngringsavverkning</t>
        </is>
      </c>
      <c r="D1601" s="1" t="n">
        <v>44983</v>
      </c>
      <c r="E1601" s="1" t="n">
        <v>46248</v>
      </c>
      <c r="F1601" t="inlineStr">
        <is>
          <t>BLEKINGE LÄN</t>
        </is>
      </c>
      <c r="G1601" t="inlineStr">
        <is>
          <t>SÖLVESBORG</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23782-2025</t>
        </is>
      </c>
      <c r="B1602" t="inlineStr">
        <is>
          <t>avverkningsanmälan</t>
        </is>
      </c>
      <c r="C1602" t="inlineStr">
        <is>
          <t>Föryngringsavverkning</t>
        </is>
      </c>
      <c r="D1602" s="1" t="n">
        <v>45793</v>
      </c>
      <c r="E1602" s="1" t="n">
        <v>46248</v>
      </c>
      <c r="F1602" t="inlineStr">
        <is>
          <t>BLEKINGE LÄN</t>
        </is>
      </c>
      <c r="G1602" t="inlineStr">
        <is>
          <t>OLOFSTRÖM</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16297-2022</t>
        </is>
      </c>
      <c r="B1603" t="inlineStr">
        <is>
          <t>avverkningsanmälan</t>
        </is>
      </c>
      <c r="C1603" t="inlineStr">
        <is>
          <t>Föryngringsavverkning</t>
        </is>
      </c>
      <c r="D1603" s="1" t="n">
        <v>44670</v>
      </c>
      <c r="E1603" s="1" t="n">
        <v>46248</v>
      </c>
      <c r="F1603" t="inlineStr">
        <is>
          <t>BLEKINGE LÄN</t>
        </is>
      </c>
      <c r="G1603" t="inlineStr">
        <is>
          <t>SÖLVESBORG</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35442-2025</t>
        </is>
      </c>
      <c r="B1604" t="inlineStr">
        <is>
          <t>avverkningsanmälan</t>
        </is>
      </c>
      <c r="C1604" t="inlineStr">
        <is>
          <t>Föryngringsavverkning</t>
        </is>
      </c>
      <c r="D1604" s="1" t="n">
        <v>45855</v>
      </c>
      <c r="E1604" s="1" t="n">
        <v>46248</v>
      </c>
      <c r="F1604" t="inlineStr">
        <is>
          <t>BLEKINGE LÄN</t>
        </is>
      </c>
      <c r="G1604" t="inlineStr">
        <is>
          <t>KARLSHAMN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58804-2022</t>
        </is>
      </c>
      <c r="B1605" t="inlineStr">
        <is>
          <t>avverkningsanmälan</t>
        </is>
      </c>
      <c r="C1605" t="inlineStr">
        <is>
          <t>Föryngringsavverkning</t>
        </is>
      </c>
      <c r="D1605" s="1" t="n">
        <v>44903</v>
      </c>
      <c r="E1605" s="1" t="n">
        <v>46248</v>
      </c>
      <c r="F1605" t="inlineStr">
        <is>
          <t>BLEKINGE LÄN</t>
        </is>
      </c>
      <c r="G1605" t="inlineStr">
        <is>
          <t>KARLSKRONA</t>
        </is>
      </c>
      <c r="I1605" t="n">
        <v>7.7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15361-2024</t>
        </is>
      </c>
      <c r="B1606" t="inlineStr">
        <is>
          <t>avverkningsanmälan</t>
        </is>
      </c>
      <c r="C1606" t="inlineStr">
        <is>
          <t>Föryngringsavverkning</t>
        </is>
      </c>
      <c r="D1606" s="1" t="n">
        <v>45400</v>
      </c>
      <c r="E1606" s="1" t="n">
        <v>46248</v>
      </c>
      <c r="F1606" t="inlineStr">
        <is>
          <t>BLEKINGE LÄN</t>
        </is>
      </c>
      <c r="G1606" t="inlineStr">
        <is>
          <t>KARLSHAMN</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28249-2025</t>
        </is>
      </c>
      <c r="B1607" t="inlineStr">
        <is>
          <t>avverkningsanmälan</t>
        </is>
      </c>
      <c r="C1607" t="inlineStr">
        <is>
          <t>Föryngringsavverkning</t>
        </is>
      </c>
      <c r="D1607" s="1" t="n">
        <v>45818</v>
      </c>
      <c r="E1607" s="1" t="n">
        <v>46248</v>
      </c>
      <c r="F1607" t="inlineStr">
        <is>
          <t>BLEKINGE LÄN</t>
        </is>
      </c>
      <c r="G1607" t="inlineStr">
        <is>
          <t>OLOFSTRÖM</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35580-2025</t>
        </is>
      </c>
      <c r="B1608" t="inlineStr">
        <is>
          <t>avverkningsanmälan</t>
        </is>
      </c>
      <c r="C1608" t="inlineStr">
        <is>
          <t>Föryngringsavverkning</t>
        </is>
      </c>
      <c r="D1608" s="1" t="n">
        <v>45856</v>
      </c>
      <c r="E1608" s="1" t="n">
        <v>46248</v>
      </c>
      <c r="F1608" t="inlineStr">
        <is>
          <t>BLEKINGE LÄN</t>
        </is>
      </c>
      <c r="G1608" t="inlineStr">
        <is>
          <t>RONNEBY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16787-2023</t>
        </is>
      </c>
      <c r="B1609" t="inlineStr">
        <is>
          <t>avverkningsanmälan</t>
        </is>
      </c>
      <c r="C1609" t="inlineStr">
        <is>
          <t>Avverkning för annat ändamål</t>
        </is>
      </c>
      <c r="D1609" s="1" t="n">
        <v>45032</v>
      </c>
      <c r="E1609" s="1" t="n">
        <v>46248</v>
      </c>
      <c r="F1609" t="inlineStr">
        <is>
          <t>BLEKINGE LÄN</t>
        </is>
      </c>
      <c r="G1609" t="inlineStr">
        <is>
          <t>OLOFSTRÖM</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36966-2023</t>
        </is>
      </c>
      <c r="B1610" t="inlineStr">
        <is>
          <t>avverkningsanmälan</t>
        </is>
      </c>
      <c r="C1610" t="inlineStr">
        <is>
          <t>Föryngringsavverkning</t>
        </is>
      </c>
      <c r="D1610" s="1" t="n">
        <v>45154</v>
      </c>
      <c r="E1610" s="1" t="n">
        <v>46248</v>
      </c>
      <c r="F1610" t="inlineStr">
        <is>
          <t>BLEKINGE LÄN</t>
        </is>
      </c>
      <c r="G1610" t="inlineStr">
        <is>
          <t>KARLSKRONA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8046-2025</t>
        </is>
      </c>
      <c r="B1611" t="inlineStr">
        <is>
          <t>avverkningsanmälan</t>
        </is>
      </c>
      <c r="C1611" t="inlineStr">
        <is>
          <t>Föryngringsavverkning</t>
        </is>
      </c>
      <c r="D1611" s="1" t="n">
        <v>45706</v>
      </c>
      <c r="E1611" s="1" t="n">
        <v>46248</v>
      </c>
      <c r="F1611" t="inlineStr">
        <is>
          <t>BLEKINGE LÄN</t>
        </is>
      </c>
      <c r="G1611" t="inlineStr">
        <is>
          <t>RONNEBY</t>
        </is>
      </c>
      <c r="I1611" t="n">
        <v>5.7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3477-2024</t>
        </is>
      </c>
      <c r="B1612" t="inlineStr">
        <is>
          <t>avverkningsanmälan</t>
        </is>
      </c>
      <c r="C1612" t="inlineStr">
        <is>
          <t>Föryngringsavverkning</t>
        </is>
      </c>
      <c r="D1612" s="1" t="n">
        <v>45320</v>
      </c>
      <c r="E1612" s="1" t="n">
        <v>46248</v>
      </c>
      <c r="F1612" t="inlineStr">
        <is>
          <t>BLEKINGE LÄN</t>
        </is>
      </c>
      <c r="G1612" t="inlineStr">
        <is>
          <t>OLOFSTRÖM</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48933-2024</t>
        </is>
      </c>
      <c r="B1613" t="inlineStr">
        <is>
          <t>avverkningsanmälan</t>
        </is>
      </c>
      <c r="C1613" t="inlineStr">
        <is>
          <t>Föryngringsavverkning</t>
        </is>
      </c>
      <c r="D1613" s="1" t="n">
        <v>45594</v>
      </c>
      <c r="E1613" s="1" t="n">
        <v>46248</v>
      </c>
      <c r="F1613" t="inlineStr">
        <is>
          <t>BLEKINGE LÄN</t>
        </is>
      </c>
      <c r="G1613" t="inlineStr">
        <is>
          <t>OLOFSTRÖM</t>
        </is>
      </c>
      <c r="I1613" t="n">
        <v>8.300000000000001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41748-2025</t>
        </is>
      </c>
      <c r="B1614" t="inlineStr">
        <is>
          <t>avverkningsanmälan</t>
        </is>
      </c>
      <c r="C1614" t="inlineStr">
        <is>
          <t>Föryngringsavverkning</t>
        </is>
      </c>
      <c r="D1614" s="1" t="n">
        <v>45902</v>
      </c>
      <c r="E1614" s="1" t="n">
        <v>46248</v>
      </c>
      <c r="F1614" t="inlineStr">
        <is>
          <t>BLEKINGE LÄN</t>
        </is>
      </c>
      <c r="G1614" t="inlineStr">
        <is>
          <t>OLOFSTRÖM</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41752-2025</t>
        </is>
      </c>
      <c r="B1615" t="inlineStr">
        <is>
          <t>avverkningsanmälan</t>
        </is>
      </c>
      <c r="C1615" t="inlineStr">
        <is>
          <t>Föryngringsavverkning</t>
        </is>
      </c>
      <c r="D1615" s="1" t="n">
        <v>45902</v>
      </c>
      <c r="E1615" s="1" t="n">
        <v>46248</v>
      </c>
      <c r="F1615" t="inlineStr">
        <is>
          <t>BLEKINGE LÄN</t>
        </is>
      </c>
      <c r="G1615" t="inlineStr">
        <is>
          <t>OLOFSTRÖM</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3099-2023</t>
        </is>
      </c>
      <c r="B1616" t="inlineStr">
        <is>
          <t>avverkningsanmälan</t>
        </is>
      </c>
      <c r="C1616" t="inlineStr">
        <is>
          <t>Föryngringsavverkning</t>
        </is>
      </c>
      <c r="D1616" s="1" t="n">
        <v>44946</v>
      </c>
      <c r="E1616" s="1" t="n">
        <v>46248</v>
      </c>
      <c r="F1616" t="inlineStr">
        <is>
          <t>BLEKINGE LÄN</t>
        </is>
      </c>
      <c r="G1616" t="inlineStr">
        <is>
          <t>KARLSHAMN</t>
        </is>
      </c>
      <c r="I1616" t="n">
        <v>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21997-2022</t>
        </is>
      </c>
      <c r="B1617" t="inlineStr">
        <is>
          <t>avverkningsanmälan</t>
        </is>
      </c>
      <c r="C1617" t="inlineStr">
        <is>
          <t>Föryngringsavverkning</t>
        </is>
      </c>
      <c r="D1617" s="1" t="n">
        <v>44711</v>
      </c>
      <c r="E1617" s="1" t="n">
        <v>46248</v>
      </c>
      <c r="F1617" t="inlineStr">
        <is>
          <t>BLEKINGE LÄN</t>
        </is>
      </c>
      <c r="G1617" t="inlineStr">
        <is>
          <t>KARLSKRONA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36597-2025</t>
        </is>
      </c>
      <c r="B1618" t="inlineStr">
        <is>
          <t>avverkningsanmälan</t>
        </is>
      </c>
      <c r="C1618" t="inlineStr">
        <is>
          <t>Föryngringsavverkning</t>
        </is>
      </c>
      <c r="D1618" s="1" t="n">
        <v>45870</v>
      </c>
      <c r="E1618" s="1" t="n">
        <v>46248</v>
      </c>
      <c r="F1618" t="inlineStr">
        <is>
          <t>BLEKINGE LÄN</t>
        </is>
      </c>
      <c r="G1618" t="inlineStr">
        <is>
          <t>KARLSHAMN</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19515-2022</t>
        </is>
      </c>
      <c r="B1619" t="inlineStr">
        <is>
          <t>avverkningsanmälan</t>
        </is>
      </c>
      <c r="C1619" t="inlineStr">
        <is>
          <t>Föryngringsavverkning</t>
        </is>
      </c>
      <c r="D1619" s="1" t="n">
        <v>44693</v>
      </c>
      <c r="E1619" s="1" t="n">
        <v>46248</v>
      </c>
      <c r="F1619" t="inlineStr">
        <is>
          <t>BLEKINGE LÄN</t>
        </is>
      </c>
      <c r="G1619" t="inlineStr">
        <is>
          <t>KARLSKRONA</t>
        </is>
      </c>
      <c r="I1619" t="n">
        <v>5.1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50831-2024</t>
        </is>
      </c>
      <c r="B1620" t="inlineStr">
        <is>
          <t>avverkningsanmälan</t>
        </is>
      </c>
      <c r="C1620" t="inlineStr">
        <is>
          <t>Föryngringsavverkning</t>
        </is>
      </c>
      <c r="D1620" s="1" t="n">
        <v>45602</v>
      </c>
      <c r="E1620" s="1" t="n">
        <v>46248</v>
      </c>
      <c r="F1620" t="inlineStr">
        <is>
          <t>BLEKINGE LÄN</t>
        </is>
      </c>
      <c r="G1620" t="inlineStr">
        <is>
          <t>KARLSKRONA</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50846-2024</t>
        </is>
      </c>
      <c r="B1621" t="inlineStr">
        <is>
          <t>avverkningsanmälan</t>
        </is>
      </c>
      <c r="C1621" t="inlineStr">
        <is>
          <t>Föryngringsavverkning</t>
        </is>
      </c>
      <c r="D1621" s="1" t="n">
        <v>45602</v>
      </c>
      <c r="E1621" s="1" t="n">
        <v>46248</v>
      </c>
      <c r="F1621" t="inlineStr">
        <is>
          <t>BLEKINGE LÄN</t>
        </is>
      </c>
      <c r="G1621" t="inlineStr">
        <is>
          <t>KARLSKRONA</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13411-2025</t>
        </is>
      </c>
      <c r="B1622" t="inlineStr">
        <is>
          <t>avverkningsanmälan</t>
        </is>
      </c>
      <c r="C1622" t="inlineStr">
        <is>
          <t>Föryngringsavverkning</t>
        </is>
      </c>
      <c r="D1622" s="1" t="n">
        <v>45735</v>
      </c>
      <c r="E1622" s="1" t="n">
        <v>46248</v>
      </c>
      <c r="F1622" t="inlineStr">
        <is>
          <t>BLEKINGE LÄN</t>
        </is>
      </c>
      <c r="G1622" t="inlineStr">
        <is>
          <t>KARLSKRONA</t>
        </is>
      </c>
      <c r="I1622" t="n">
        <v>11.8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3024-2022</t>
        </is>
      </c>
      <c r="B1623" t="inlineStr">
        <is>
          <t>avverkningsanmälan</t>
        </is>
      </c>
      <c r="C1623" t="inlineStr">
        <is>
          <t>Föryngringsavverkning</t>
        </is>
      </c>
      <c r="D1623" s="1" t="n">
        <v>44581</v>
      </c>
      <c r="E1623" s="1" t="n">
        <v>46248</v>
      </c>
      <c r="F1623" t="inlineStr">
        <is>
          <t>BLEKINGE LÄN</t>
        </is>
      </c>
      <c r="G1623" t="inlineStr">
        <is>
          <t>KARLSKRONA</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22643-2025</t>
        </is>
      </c>
      <c r="B1624" t="inlineStr">
        <is>
          <t>avverkningsanmälan</t>
        </is>
      </c>
      <c r="C1624" t="inlineStr">
        <is>
          <t>Föryngringsavverkning</t>
        </is>
      </c>
      <c r="D1624" s="1" t="n">
        <v>45789</v>
      </c>
      <c r="E1624" s="1" t="n">
        <v>46248</v>
      </c>
      <c r="F1624" t="inlineStr">
        <is>
          <t>BLEKINGE LÄN</t>
        </is>
      </c>
      <c r="G1624" t="inlineStr">
        <is>
          <t>KARLSKRONA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50709-2024</t>
        </is>
      </c>
      <c r="B1625" t="inlineStr">
        <is>
          <t>avverkningsanmälan</t>
        </is>
      </c>
      <c r="C1625" t="inlineStr">
        <is>
          <t>Föryngringsavverkning</t>
        </is>
      </c>
      <c r="D1625" s="1" t="n">
        <v>45602</v>
      </c>
      <c r="E1625" s="1" t="n">
        <v>46248</v>
      </c>
      <c r="F1625" t="inlineStr">
        <is>
          <t>BLEKINGE LÄN</t>
        </is>
      </c>
      <c r="G1625" t="inlineStr">
        <is>
          <t>OLOFSTRÖM</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23099-2023</t>
        </is>
      </c>
      <c r="B1626" t="inlineStr">
        <is>
          <t>avverkningsanmälan</t>
        </is>
      </c>
      <c r="C1626" t="inlineStr">
        <is>
          <t>Föryngringsavverkning</t>
        </is>
      </c>
      <c r="D1626" s="1" t="n">
        <v>45075</v>
      </c>
      <c r="E1626" s="1" t="n">
        <v>46248</v>
      </c>
      <c r="F1626" t="inlineStr">
        <is>
          <t>BLEKINGE LÄN</t>
        </is>
      </c>
      <c r="G1626" t="inlineStr">
        <is>
          <t>KARLSKRONA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26406-2025</t>
        </is>
      </c>
      <c r="B1627" t="inlineStr">
        <is>
          <t>avverkningsanmälan</t>
        </is>
      </c>
      <c r="C1627" t="inlineStr">
        <is>
          <t>Föryngringsavverkning</t>
        </is>
      </c>
      <c r="D1627" s="1" t="n">
        <v>45807</v>
      </c>
      <c r="E1627" s="1" t="n">
        <v>46248</v>
      </c>
      <c r="F1627" t="inlineStr">
        <is>
          <t>BLEKINGE LÄN</t>
        </is>
      </c>
      <c r="G1627" t="inlineStr">
        <is>
          <t>RONNEBY</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53994-2024</t>
        </is>
      </c>
      <c r="B1628" t="inlineStr">
        <is>
          <t>avverkningsanmälan</t>
        </is>
      </c>
      <c r="C1628" t="inlineStr">
        <is>
          <t>Föryngringsavverkning</t>
        </is>
      </c>
      <c r="D1628" s="1" t="n">
        <v>45616</v>
      </c>
      <c r="E1628" s="1" t="n">
        <v>46248</v>
      </c>
      <c r="F1628" t="inlineStr">
        <is>
          <t>BLEKINGE LÄN</t>
        </is>
      </c>
      <c r="G1628" t="inlineStr">
        <is>
          <t>KARLSKRONA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5552-2025</t>
        </is>
      </c>
      <c r="B1629" t="inlineStr">
        <is>
          <t>avverkningsanmälan</t>
        </is>
      </c>
      <c r="C1629" t="inlineStr">
        <is>
          <t>Föryngringsavverkning</t>
        </is>
      </c>
      <c r="D1629" s="1" t="n">
        <v>45693</v>
      </c>
      <c r="E1629" s="1" t="n">
        <v>46248</v>
      </c>
      <c r="F1629" t="inlineStr">
        <is>
          <t>BLEKINGE LÄN</t>
        </is>
      </c>
      <c r="G1629" t="inlineStr">
        <is>
          <t>OLOFSTRÖM</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21150-2023</t>
        </is>
      </c>
      <c r="B1630" t="inlineStr">
        <is>
          <t>avverkningsanmälan</t>
        </is>
      </c>
      <c r="C1630" t="inlineStr">
        <is>
          <t>Föryngringsavverkning</t>
        </is>
      </c>
      <c r="D1630" s="1" t="n">
        <v>45062</v>
      </c>
      <c r="E1630" s="1" t="n">
        <v>46248</v>
      </c>
      <c r="F1630" t="inlineStr">
        <is>
          <t>BLEKINGE LÄN</t>
        </is>
      </c>
      <c r="G1630" t="inlineStr">
        <is>
          <t>KARLSKRONA</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33742-2024</t>
        </is>
      </c>
      <c r="B1631" t="inlineStr">
        <is>
          <t>avverkningsanmälan</t>
        </is>
      </c>
      <c r="C1631" t="inlineStr">
        <is>
          <t>Föryngringsavverkning</t>
        </is>
      </c>
      <c r="D1631" s="1" t="n">
        <v>45520</v>
      </c>
      <c r="E1631" s="1" t="n">
        <v>46248</v>
      </c>
      <c r="F1631" t="inlineStr">
        <is>
          <t>BLEKINGE LÄN</t>
        </is>
      </c>
      <c r="G1631" t="inlineStr">
        <is>
          <t>SÖLVESBORG</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13867-2025</t>
        </is>
      </c>
      <c r="B1632" t="inlineStr">
        <is>
          <t>avverkningsanmälan</t>
        </is>
      </c>
      <c r="C1632" t="inlineStr">
        <is>
          <t>Föryngringsavverkning</t>
        </is>
      </c>
      <c r="D1632" s="1" t="n">
        <v>45737</v>
      </c>
      <c r="E1632" s="1" t="n">
        <v>46248</v>
      </c>
      <c r="F1632" t="inlineStr">
        <is>
          <t>BLEKINGE LÄN</t>
        </is>
      </c>
      <c r="G1632" t="inlineStr">
        <is>
          <t>KARLSHAMN</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61934-2025</t>
        </is>
      </c>
      <c r="B1633" t="inlineStr">
        <is>
          <t>avverkningsanmälan</t>
        </is>
      </c>
      <c r="C1633" t="inlineStr">
        <is>
          <t>Föryngringsavverkning</t>
        </is>
      </c>
      <c r="D1633" s="1" t="n">
        <v>46003</v>
      </c>
      <c r="E1633" s="1" t="n">
        <v>46248</v>
      </c>
      <c r="F1633" t="inlineStr">
        <is>
          <t>BLEKINGE LÄN</t>
        </is>
      </c>
      <c r="G1633" t="inlineStr">
        <is>
          <t>OLOFSTRÖM</t>
        </is>
      </c>
      <c r="I1633" t="n">
        <v>8.9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36427-2025</t>
        </is>
      </c>
      <c r="B1634" t="inlineStr">
        <is>
          <t>avverkningsanmälan</t>
        </is>
      </c>
      <c r="C1634" t="inlineStr">
        <is>
          <t>Föryngringsavverkning</t>
        </is>
      </c>
      <c r="D1634" s="1" t="n">
        <v>45868</v>
      </c>
      <c r="E1634" s="1" t="n">
        <v>46248</v>
      </c>
      <c r="F1634" t="inlineStr">
        <is>
          <t>BLEKINGE LÄN</t>
        </is>
      </c>
      <c r="G1634" t="inlineStr">
        <is>
          <t>OLOFSTRÖM</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56612-2025</t>
        </is>
      </c>
      <c r="B1635" t="inlineStr">
        <is>
          <t>avverkningsanmälan</t>
        </is>
      </c>
      <c r="C1635" t="inlineStr">
        <is>
          <t>Föryngringsavverkning</t>
        </is>
      </c>
      <c r="D1635" s="1" t="n">
        <v>45975</v>
      </c>
      <c r="E1635" s="1" t="n">
        <v>46248</v>
      </c>
      <c r="F1635" t="inlineStr">
        <is>
          <t>BLEKINGE LÄN</t>
        </is>
      </c>
      <c r="G1635" t="inlineStr">
        <is>
          <t>OLOFSTRÖM</t>
        </is>
      </c>
      <c r="I1635" t="n">
        <v>11.7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61956-2023</t>
        </is>
      </c>
      <c r="B1636" t="inlineStr">
        <is>
          <t>avverkningsanmälan</t>
        </is>
      </c>
      <c r="C1636" t="inlineStr">
        <is>
          <t>Föryngringsavverkning</t>
        </is>
      </c>
      <c r="D1636" s="1" t="n">
        <v>45266</v>
      </c>
      <c r="E1636" s="1" t="n">
        <v>46248</v>
      </c>
      <c r="F1636" t="inlineStr">
        <is>
          <t>BLEKINGE LÄN</t>
        </is>
      </c>
      <c r="G1636" t="inlineStr">
        <is>
          <t>KARLSHAMN</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21013-2026</t>
        </is>
      </c>
      <c r="B1637" t="inlineStr">
        <is>
          <t>avverkningsanmälan</t>
        </is>
      </c>
      <c r="C1637" t="inlineStr">
        <is>
          <t>Föryngringsavverkning</t>
        </is>
      </c>
      <c r="D1637" s="1" t="n">
        <v>46143</v>
      </c>
      <c r="E1637" s="1" t="n">
        <v>46248</v>
      </c>
      <c r="F1637" t="inlineStr">
        <is>
          <t>BLEKINGE LÄN</t>
        </is>
      </c>
      <c r="G1637" t="inlineStr">
        <is>
          <t>OLOFSTRÖM</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20408-2025</t>
        </is>
      </c>
      <c r="B1638" t="inlineStr">
        <is>
          <t>avverkningsanmälan</t>
        </is>
      </c>
      <c r="C1638" t="inlineStr">
        <is>
          <t>Föryngringsavverkning</t>
        </is>
      </c>
      <c r="D1638" s="1" t="n">
        <v>45775</v>
      </c>
      <c r="E1638" s="1" t="n">
        <v>46248</v>
      </c>
      <c r="F1638" t="inlineStr">
        <is>
          <t>BLEKINGE LÄN</t>
        </is>
      </c>
      <c r="G1638" t="inlineStr">
        <is>
          <t>OLOFSTRÖM</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38341-2024</t>
        </is>
      </c>
      <c r="B1639" t="inlineStr">
        <is>
          <t>avverkningsanmälan</t>
        </is>
      </c>
      <c r="C1639" t="inlineStr">
        <is>
          <t>Föryngringsavverkning</t>
        </is>
      </c>
      <c r="D1639" s="1" t="n">
        <v>45545</v>
      </c>
      <c r="E1639" s="1" t="n">
        <v>46248</v>
      </c>
      <c r="F1639" t="inlineStr">
        <is>
          <t>BLEKINGE LÄN</t>
        </is>
      </c>
      <c r="G1639" t="inlineStr">
        <is>
          <t>RONNEBY</t>
        </is>
      </c>
      <c r="H1639" t="inlineStr">
        <is>
          <t>Övriga Aktiebolag</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30740-2023</t>
        </is>
      </c>
      <c r="B1640" t="inlineStr">
        <is>
          <t>avverkningsanmälan</t>
        </is>
      </c>
      <c r="C1640" t="inlineStr">
        <is>
          <t>Föryngringsavverkning</t>
        </is>
      </c>
      <c r="D1640" s="1" t="n">
        <v>45112</v>
      </c>
      <c r="E1640" s="1" t="n">
        <v>46248</v>
      </c>
      <c r="F1640" t="inlineStr">
        <is>
          <t>BLEKINGE LÄN</t>
        </is>
      </c>
      <c r="G1640" t="inlineStr">
        <is>
          <t>OLOFSTRÖM</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30954-2023</t>
        </is>
      </c>
      <c r="B1641" t="inlineStr">
        <is>
          <t>avverkningsanmälan</t>
        </is>
      </c>
      <c r="C1641" t="inlineStr">
        <is>
          <t>Föryngringsavverkning</t>
        </is>
      </c>
      <c r="D1641" s="1" t="n">
        <v>45113</v>
      </c>
      <c r="E1641" s="1" t="n">
        <v>46248</v>
      </c>
      <c r="F1641" t="inlineStr">
        <is>
          <t>BLEKINGE LÄN</t>
        </is>
      </c>
      <c r="G1641" t="inlineStr">
        <is>
          <t>KARLSKRONA</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10630-2023</t>
        </is>
      </c>
      <c r="B1642" t="inlineStr">
        <is>
          <t>avverkningsanmälan</t>
        </is>
      </c>
      <c r="C1642" t="inlineStr">
        <is>
          <t>Föryngringsavverkning</t>
        </is>
      </c>
      <c r="D1642" s="1" t="n">
        <v>44984</v>
      </c>
      <c r="E1642" s="1" t="n">
        <v>46248</v>
      </c>
      <c r="F1642" t="inlineStr">
        <is>
          <t>BLEKINGE LÄN</t>
        </is>
      </c>
      <c r="G1642" t="inlineStr">
        <is>
          <t>OLOFSTRÖM</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16060-2025</t>
        </is>
      </c>
      <c r="B1643" t="inlineStr">
        <is>
          <t>avverkningsanmälan</t>
        </is>
      </c>
      <c r="C1643" t="inlineStr">
        <is>
          <t>Föryngringsavverkning</t>
        </is>
      </c>
      <c r="D1643" s="1" t="n">
        <v>45749</v>
      </c>
      <c r="E1643" s="1" t="n">
        <v>46248</v>
      </c>
      <c r="F1643" t="inlineStr">
        <is>
          <t>BLEKINGE LÄN</t>
        </is>
      </c>
      <c r="G1643" t="inlineStr">
        <is>
          <t>KARLSKRONA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36765-2025</t>
        </is>
      </c>
      <c r="B1644" t="inlineStr">
        <is>
          <t>avverkningsanmälan</t>
        </is>
      </c>
      <c r="C1644" t="inlineStr">
        <is>
          <t>Föryngringsavverkning</t>
        </is>
      </c>
      <c r="D1644" s="1" t="n">
        <v>45873</v>
      </c>
      <c r="E1644" s="1" t="n">
        <v>46248</v>
      </c>
      <c r="F1644" t="inlineStr">
        <is>
          <t>BLEKINGE LÄN</t>
        </is>
      </c>
      <c r="G1644" t="inlineStr">
        <is>
          <t>KARLSKRONA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2133-2025</t>
        </is>
      </c>
      <c r="B1645" t="inlineStr">
        <is>
          <t>avverkningsanmälan</t>
        </is>
      </c>
      <c r="C1645" t="inlineStr">
        <is>
          <t>Föryngringsavverkning</t>
        </is>
      </c>
      <c r="D1645" s="1" t="n">
        <v>45672</v>
      </c>
      <c r="E1645" s="1" t="n">
        <v>46248</v>
      </c>
      <c r="F1645" t="inlineStr">
        <is>
          <t>BLEKINGE LÄN</t>
        </is>
      </c>
      <c r="G1645" t="inlineStr">
        <is>
          <t>KARLSKRONA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42091-2025</t>
        </is>
      </c>
      <c r="B1646" t="inlineStr">
        <is>
          <t>avverkningsanmälan</t>
        </is>
      </c>
      <c r="C1646" t="inlineStr">
        <is>
          <t>Föryngringsavverkning</t>
        </is>
      </c>
      <c r="D1646" s="1" t="n">
        <v>45903</v>
      </c>
      <c r="E1646" s="1" t="n">
        <v>46248</v>
      </c>
      <c r="F1646" t="inlineStr">
        <is>
          <t>BLEKINGE LÄN</t>
        </is>
      </c>
      <c r="G1646" t="inlineStr">
        <is>
          <t>OLOFSTRÖM</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65035-2023</t>
        </is>
      </c>
      <c r="B1647" t="inlineStr">
        <is>
          <t>avverkningsanmälan</t>
        </is>
      </c>
      <c r="C1647" t="inlineStr">
        <is>
          <t>Föryngringsavverkning</t>
        </is>
      </c>
      <c r="D1647" s="1" t="n">
        <v>45282</v>
      </c>
      <c r="E1647" s="1" t="n">
        <v>46248</v>
      </c>
      <c r="F1647" t="inlineStr">
        <is>
          <t>BLEKINGE LÄN</t>
        </is>
      </c>
      <c r="G1647" t="inlineStr">
        <is>
          <t>OLOFSTRÖM</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972-2024</t>
        </is>
      </c>
      <c r="B1648" t="inlineStr">
        <is>
          <t>avverkningsanmälan</t>
        </is>
      </c>
      <c r="C1648" t="inlineStr">
        <is>
          <t>Föryngringsavverkning</t>
        </is>
      </c>
      <c r="D1648" s="1" t="n">
        <v>45301</v>
      </c>
      <c r="E1648" s="1" t="n">
        <v>46248</v>
      </c>
      <c r="F1648" t="inlineStr">
        <is>
          <t>BLEKINGE LÄN</t>
        </is>
      </c>
      <c r="G1648" t="inlineStr">
        <is>
          <t>KARLSKRONA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33715-2025</t>
        </is>
      </c>
      <c r="B1649" t="inlineStr">
        <is>
          <t>avverkningsanmälan</t>
        </is>
      </c>
      <c r="C1649" t="inlineStr">
        <is>
          <t>Föryngringsavverkning</t>
        </is>
      </c>
      <c r="D1649" s="1" t="n">
        <v>45841</v>
      </c>
      <c r="E1649" s="1" t="n">
        <v>46248</v>
      </c>
      <c r="F1649" t="inlineStr">
        <is>
          <t>BLEKINGE LÄN</t>
        </is>
      </c>
      <c r="G1649" t="inlineStr">
        <is>
          <t>KARLSHAMN</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32008-2023</t>
        </is>
      </c>
      <c r="B1650" t="inlineStr">
        <is>
          <t>avverkningsanmälan</t>
        </is>
      </c>
      <c r="C1650" t="inlineStr">
        <is>
          <t>Föryngringsavverkning</t>
        </is>
      </c>
      <c r="D1650" s="1" t="n">
        <v>45107</v>
      </c>
      <c r="E1650" s="1" t="n">
        <v>46248</v>
      </c>
      <c r="F1650" t="inlineStr">
        <is>
          <t>BLEKINGE LÄN</t>
        </is>
      </c>
      <c r="G1650" t="inlineStr">
        <is>
          <t>OLOFSTRÖM</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6421-2024</t>
        </is>
      </c>
      <c r="B1651" t="inlineStr">
        <is>
          <t>avverkningsanmälan</t>
        </is>
      </c>
      <c r="C1651" t="inlineStr">
        <is>
          <t>Föryngringsavverkning</t>
        </is>
      </c>
      <c r="D1651" s="1" t="n">
        <v>45338</v>
      </c>
      <c r="E1651" s="1" t="n">
        <v>46248</v>
      </c>
      <c r="F1651" t="inlineStr">
        <is>
          <t>BLEKINGE LÄN</t>
        </is>
      </c>
      <c r="G1651" t="inlineStr">
        <is>
          <t>OLOFSTRÖM</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53188-2023</t>
        </is>
      </c>
      <c r="B1652" t="inlineStr">
        <is>
          <t>avverkningsanmälan</t>
        </is>
      </c>
      <c r="C1652" t="inlineStr">
        <is>
          <t>Föryngringsavverkning</t>
        </is>
      </c>
      <c r="D1652" s="1" t="n">
        <v>45229</v>
      </c>
      <c r="E1652" s="1" t="n">
        <v>46248</v>
      </c>
      <c r="F1652" t="inlineStr">
        <is>
          <t>BLEKINGE LÄN</t>
        </is>
      </c>
      <c r="G1652" t="inlineStr">
        <is>
          <t>RONNEBY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17170-2023</t>
        </is>
      </c>
      <c r="B1653" t="inlineStr">
        <is>
          <t>avverkningsanmälan</t>
        </is>
      </c>
      <c r="C1653" t="inlineStr">
        <is>
          <t>Föryngringsavverkning</t>
        </is>
      </c>
      <c r="D1653" s="1" t="n">
        <v>45030</v>
      </c>
      <c r="E1653" s="1" t="n">
        <v>46248</v>
      </c>
      <c r="F1653" t="inlineStr">
        <is>
          <t>BLEKINGE LÄN</t>
        </is>
      </c>
      <c r="G1653" t="inlineStr">
        <is>
          <t>KARLSKRONA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7596-2024</t>
        </is>
      </c>
      <c r="B1654" t="inlineStr">
        <is>
          <t>avverkningsanmälan</t>
        </is>
      </c>
      <c r="C1654" t="inlineStr">
        <is>
          <t>Föryngringsavverkning</t>
        </is>
      </c>
      <c r="D1654" s="1" t="n">
        <v>45348</v>
      </c>
      <c r="E1654" s="1" t="n">
        <v>46248</v>
      </c>
      <c r="F1654" t="inlineStr">
        <is>
          <t>BLEKINGE LÄN</t>
        </is>
      </c>
      <c r="G1654" t="inlineStr">
        <is>
          <t>KARLSKRONA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28615-2022</t>
        </is>
      </c>
      <c r="B1655" t="inlineStr">
        <is>
          <t>avverkningsanmälan</t>
        </is>
      </c>
      <c r="C1655" t="inlineStr">
        <is>
          <t>Föryngringsavverkning</t>
        </is>
      </c>
      <c r="D1655" s="1" t="n">
        <v>44748</v>
      </c>
      <c r="E1655" s="1" t="n">
        <v>46248</v>
      </c>
      <c r="F1655" t="inlineStr">
        <is>
          <t>BLEKINGE LÄN</t>
        </is>
      </c>
      <c r="G1655" t="inlineStr">
        <is>
          <t>KARLSKRONA</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20516-2025</t>
        </is>
      </c>
      <c r="B1656" t="inlineStr">
        <is>
          <t>avverkningsanmälan</t>
        </is>
      </c>
      <c r="C1656" t="inlineStr">
        <is>
          <t>Föryngringsavverkning</t>
        </is>
      </c>
      <c r="D1656" s="1" t="n">
        <v>45775</v>
      </c>
      <c r="E1656" s="1" t="n">
        <v>46248</v>
      </c>
      <c r="F1656" t="inlineStr">
        <is>
          <t>BLEKINGE LÄN</t>
        </is>
      </c>
      <c r="G1656" t="inlineStr">
        <is>
          <t>KARLSKRONA</t>
        </is>
      </c>
      <c r="I1656" t="n">
        <v>9.6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1183-2025</t>
        </is>
      </c>
      <c r="B1657" t="inlineStr">
        <is>
          <t>avverkningsanmälan</t>
        </is>
      </c>
      <c r="C1657" t="inlineStr">
        <is>
          <t>Avverkning för annat ändamål</t>
        </is>
      </c>
      <c r="D1657" s="1" t="n">
        <v>45653</v>
      </c>
      <c r="E1657" s="1" t="n">
        <v>46248</v>
      </c>
      <c r="F1657" t="inlineStr">
        <is>
          <t>BLEKINGE LÄN</t>
        </is>
      </c>
      <c r="G1657" t="inlineStr">
        <is>
          <t>RONNEBY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37196-2025</t>
        </is>
      </c>
      <c r="B1658" t="inlineStr">
        <is>
          <t>avverkningsanmälan</t>
        </is>
      </c>
      <c r="C1658" t="inlineStr">
        <is>
          <t>Föryngringsavverkning</t>
        </is>
      </c>
      <c r="D1658" s="1" t="n">
        <v>45875</v>
      </c>
      <c r="E1658" s="1" t="n">
        <v>46248</v>
      </c>
      <c r="F1658" t="inlineStr">
        <is>
          <t>BLEKINGE LÄN</t>
        </is>
      </c>
      <c r="G1658" t="inlineStr">
        <is>
          <t>KARLSKRONA</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37024-2025</t>
        </is>
      </c>
      <c r="B1659" t="inlineStr">
        <is>
          <t>avverkningsanmälan</t>
        </is>
      </c>
      <c r="C1659" t="inlineStr">
        <is>
          <t>Föryngringsavverkning</t>
        </is>
      </c>
      <c r="D1659" s="1" t="n">
        <v>45874</v>
      </c>
      <c r="E1659" s="1" t="n">
        <v>46248</v>
      </c>
      <c r="F1659" t="inlineStr">
        <is>
          <t>BLEKINGE LÄN</t>
        </is>
      </c>
      <c r="G1659" t="inlineStr">
        <is>
          <t>KARLSHAMN</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19108-2023</t>
        </is>
      </c>
      <c r="B1660" t="inlineStr">
        <is>
          <t>avverkningsanmälan</t>
        </is>
      </c>
      <c r="C1660" t="inlineStr">
        <is>
          <t>Föryngringsavverkning</t>
        </is>
      </c>
      <c r="D1660" s="1" t="n">
        <v>45048</v>
      </c>
      <c r="E1660" s="1" t="n">
        <v>46248</v>
      </c>
      <c r="F1660" t="inlineStr">
        <is>
          <t>BLEKINGE LÄN</t>
        </is>
      </c>
      <c r="G1660" t="inlineStr">
        <is>
          <t>KARLSKRONA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21272-2026</t>
        </is>
      </c>
      <c r="B1661" t="inlineStr">
        <is>
          <t>avverkningsanmälan</t>
        </is>
      </c>
      <c r="C1661" t="inlineStr">
        <is>
          <t>Föryngringsavverkning</t>
        </is>
      </c>
      <c r="D1661" s="1" t="n">
        <v>46147</v>
      </c>
      <c r="E1661" s="1" t="n">
        <v>46248</v>
      </c>
      <c r="F1661" t="inlineStr">
        <is>
          <t>BLEKINGE LÄN</t>
        </is>
      </c>
      <c r="G1661" t="inlineStr">
        <is>
          <t>RONNEBY</t>
        </is>
      </c>
      <c r="I1661" t="n">
        <v>5.9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37179-2025</t>
        </is>
      </c>
      <c r="B1662" t="inlineStr">
        <is>
          <t>avverkningsanmälan</t>
        </is>
      </c>
      <c r="C1662" t="inlineStr">
        <is>
          <t>Föryngringsavverkning</t>
        </is>
      </c>
      <c r="D1662" s="1" t="n">
        <v>45875</v>
      </c>
      <c r="E1662" s="1" t="n">
        <v>46248</v>
      </c>
      <c r="F1662" t="inlineStr">
        <is>
          <t>BLEKINGE LÄN</t>
        </is>
      </c>
      <c r="G1662" t="inlineStr">
        <is>
          <t>KARLSKRONA</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5736-2026</t>
        </is>
      </c>
      <c r="B1663" t="inlineStr">
        <is>
          <t>avverkningsanmälan</t>
        </is>
      </c>
      <c r="C1663" t="inlineStr">
        <is>
          <t>Föryngringsavverkning</t>
        </is>
      </c>
      <c r="D1663" s="1" t="n">
        <v>46051</v>
      </c>
      <c r="E1663" s="1" t="n">
        <v>46248</v>
      </c>
      <c r="F1663" t="inlineStr">
        <is>
          <t>BLEKINGE LÄN</t>
        </is>
      </c>
      <c r="G1663" t="inlineStr">
        <is>
          <t>KARLSHAMN</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29015-2023</t>
        </is>
      </c>
      <c r="B1664" t="inlineStr">
        <is>
          <t>avverkningsanmälan</t>
        </is>
      </c>
      <c r="C1664" t="inlineStr">
        <is>
          <t>Föryngringsavverkning</t>
        </is>
      </c>
      <c r="D1664" s="1" t="n">
        <v>45104</v>
      </c>
      <c r="E1664" s="1" t="n">
        <v>46248</v>
      </c>
      <c r="F1664" t="inlineStr">
        <is>
          <t>BLEKINGE LÄN</t>
        </is>
      </c>
      <c r="G1664" t="inlineStr">
        <is>
          <t>RONNEBY</t>
        </is>
      </c>
      <c r="H1664" t="inlineStr">
        <is>
          <t>Övriga Aktiebolag</t>
        </is>
      </c>
      <c r="I1664" t="n">
        <v>10.9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16292-2023</t>
        </is>
      </c>
      <c r="B1665" t="inlineStr">
        <is>
          <t>avverkningsanmälan</t>
        </is>
      </c>
      <c r="C1665" t="inlineStr">
        <is>
          <t>Föryngringsavverkning</t>
        </is>
      </c>
      <c r="D1665" s="1" t="n">
        <v>45028</v>
      </c>
      <c r="E1665" s="1" t="n">
        <v>46248</v>
      </c>
      <c r="F1665" t="inlineStr">
        <is>
          <t>BLEKINGE LÄN</t>
        </is>
      </c>
      <c r="G1665" t="inlineStr">
        <is>
          <t>KARLSKRONA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29024-2023</t>
        </is>
      </c>
      <c r="B1666" t="inlineStr">
        <is>
          <t>avverkningsanmälan</t>
        </is>
      </c>
      <c r="C1666" t="inlineStr">
        <is>
          <t>Föryngringsavverkning</t>
        </is>
      </c>
      <c r="D1666" s="1" t="n">
        <v>45104</v>
      </c>
      <c r="E1666" s="1" t="n">
        <v>46248</v>
      </c>
      <c r="F1666" t="inlineStr">
        <is>
          <t>BLEKINGE LÄN</t>
        </is>
      </c>
      <c r="G1666" t="inlineStr">
        <is>
          <t>RONNEBY</t>
        </is>
      </c>
      <c r="H1666" t="inlineStr">
        <is>
          <t>Övriga Aktiebolag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44452-2024</t>
        </is>
      </c>
      <c r="B1667" t="inlineStr">
        <is>
          <t>avverkningsanmälan</t>
        </is>
      </c>
      <c r="C1667" t="inlineStr">
        <is>
          <t>Föryngringsavverkning</t>
        </is>
      </c>
      <c r="D1667" s="1" t="n">
        <v>45574</v>
      </c>
      <c r="E1667" s="1" t="n">
        <v>46248</v>
      </c>
      <c r="F1667" t="inlineStr">
        <is>
          <t>BLEKINGE LÄN</t>
        </is>
      </c>
      <c r="G1667" t="inlineStr">
        <is>
          <t>RONNEBY</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23110-2023</t>
        </is>
      </c>
      <c r="B1668" t="inlineStr">
        <is>
          <t>avverkningsanmälan</t>
        </is>
      </c>
      <c r="C1668" t="inlineStr">
        <is>
          <t>Föryngringsavverkning</t>
        </is>
      </c>
      <c r="D1668" s="1" t="n">
        <v>45075</v>
      </c>
      <c r="E1668" s="1" t="n">
        <v>46248</v>
      </c>
      <c r="F1668" t="inlineStr">
        <is>
          <t>BLEKINGE LÄN</t>
        </is>
      </c>
      <c r="G1668" t="inlineStr">
        <is>
          <t>KARLSKRONA</t>
        </is>
      </c>
      <c r="I1668" t="n">
        <v>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34888-2024</t>
        </is>
      </c>
      <c r="B1669" t="inlineStr">
        <is>
          <t>avverkningsanmälan</t>
        </is>
      </c>
      <c r="C1669" t="inlineStr">
        <is>
          <t>Föryngringsavverkning</t>
        </is>
      </c>
      <c r="D1669" s="1" t="n">
        <v>45527</v>
      </c>
      <c r="E1669" s="1" t="n">
        <v>46248</v>
      </c>
      <c r="F1669" t="inlineStr">
        <is>
          <t>BLEKINGE LÄN</t>
        </is>
      </c>
      <c r="G1669" t="inlineStr">
        <is>
          <t>RONNEBY</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51419-2024</t>
        </is>
      </c>
      <c r="B1670" t="inlineStr">
        <is>
          <t>avverkningsanmälan</t>
        </is>
      </c>
      <c r="C1670" t="inlineStr">
        <is>
          <t>Föryngringsavverkning</t>
        </is>
      </c>
      <c r="D1670" s="1" t="n">
        <v>45604</v>
      </c>
      <c r="E1670" s="1" t="n">
        <v>46248</v>
      </c>
      <c r="F1670" t="inlineStr">
        <is>
          <t>BLEKINGE LÄN</t>
        </is>
      </c>
      <c r="G1670" t="inlineStr">
        <is>
          <t>KARLSKRONA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30660-2024</t>
        </is>
      </c>
      <c r="B1671" t="inlineStr">
        <is>
          <t>avverkningsanmälan</t>
        </is>
      </c>
      <c r="C1671" t="inlineStr">
        <is>
          <t>Föryngringsavverkning</t>
        </is>
      </c>
      <c r="D1671" s="1" t="n">
        <v>45495</v>
      </c>
      <c r="E1671" s="1" t="n">
        <v>46248</v>
      </c>
      <c r="F1671" t="inlineStr">
        <is>
          <t>BLEKINGE LÄN</t>
        </is>
      </c>
      <c r="G1671" t="inlineStr">
        <is>
          <t>KARLSKRONA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23104-2023</t>
        </is>
      </c>
      <c r="B1672" t="inlineStr">
        <is>
          <t>avverkningsanmälan</t>
        </is>
      </c>
      <c r="C1672" t="inlineStr">
        <is>
          <t>Föryngringsavverkning</t>
        </is>
      </c>
      <c r="D1672" s="1" t="n">
        <v>45075</v>
      </c>
      <c r="E1672" s="1" t="n">
        <v>46248</v>
      </c>
      <c r="F1672" t="inlineStr">
        <is>
          <t>BLEKINGE LÄN</t>
        </is>
      </c>
      <c r="G1672" t="inlineStr">
        <is>
          <t>KARLSKRONA</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35622-2024</t>
        </is>
      </c>
      <c r="B1673" t="inlineStr">
        <is>
          <t>avverkningsanmälan</t>
        </is>
      </c>
      <c r="C1673" t="inlineStr">
        <is>
          <t>Föryngringsavverkning</t>
        </is>
      </c>
      <c r="D1673" s="1" t="n">
        <v>45531</v>
      </c>
      <c r="E1673" s="1" t="n">
        <v>46248</v>
      </c>
      <c r="F1673" t="inlineStr">
        <is>
          <t>BLEKINGE LÄN</t>
        </is>
      </c>
      <c r="G1673" t="inlineStr">
        <is>
          <t>RONNEBY</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43339-2021</t>
        </is>
      </c>
      <c r="B1674" t="inlineStr">
        <is>
          <t>avverkningsanmälan</t>
        </is>
      </c>
      <c r="C1674" t="inlineStr">
        <is>
          <t>Föryngringsavverkning</t>
        </is>
      </c>
      <c r="D1674" s="1" t="n">
        <v>44432</v>
      </c>
      <c r="E1674" s="1" t="n">
        <v>46248</v>
      </c>
      <c r="F1674" t="inlineStr">
        <is>
          <t>BLEKINGE LÄN</t>
        </is>
      </c>
      <c r="G1674" t="inlineStr">
        <is>
          <t>RONNEBY</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41421-2024</t>
        </is>
      </c>
      <c r="B1675" t="inlineStr">
        <is>
          <t>avverkningsanmälan</t>
        </is>
      </c>
      <c r="C1675" t="inlineStr">
        <is>
          <t>Föryngringsavverkning</t>
        </is>
      </c>
      <c r="D1675" s="1" t="n">
        <v>45560</v>
      </c>
      <c r="E1675" s="1" t="n">
        <v>46248</v>
      </c>
      <c r="F1675" t="inlineStr">
        <is>
          <t>BLEKINGE LÄN</t>
        </is>
      </c>
      <c r="G1675" t="inlineStr">
        <is>
          <t>RONNEBY</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36807-2024</t>
        </is>
      </c>
      <c r="B1676" t="inlineStr">
        <is>
          <t>avverkningsanmälan</t>
        </is>
      </c>
      <c r="C1676" t="inlineStr">
        <is>
          <t>Föryngringsavverkning</t>
        </is>
      </c>
      <c r="D1676" s="1" t="n">
        <v>45538</v>
      </c>
      <c r="E1676" s="1" t="n">
        <v>46248</v>
      </c>
      <c r="F1676" t="inlineStr">
        <is>
          <t>BLEKINGE LÄN</t>
        </is>
      </c>
      <c r="G1676" t="inlineStr">
        <is>
          <t>KARLSKRONA</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21709-2026</t>
        </is>
      </c>
      <c r="B1677" t="inlineStr">
        <is>
          <t>avverkningsanmälan</t>
        </is>
      </c>
      <c r="C1677" t="inlineStr">
        <is>
          <t>Föryngringsavverkning</t>
        </is>
      </c>
      <c r="D1677" s="1" t="n">
        <v>46149</v>
      </c>
      <c r="E1677" s="1" t="n">
        <v>46248</v>
      </c>
      <c r="F1677" t="inlineStr">
        <is>
          <t>BLEKINGE LÄN</t>
        </is>
      </c>
      <c r="G1677" t="inlineStr">
        <is>
          <t>RONNEBY</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48975-2024</t>
        </is>
      </c>
      <c r="B1678" t="inlineStr">
        <is>
          <t>avverkningsanmälan</t>
        </is>
      </c>
      <c r="C1678" t="inlineStr">
        <is>
          <t>Föryngringsavverkning</t>
        </is>
      </c>
      <c r="D1678" s="1" t="n">
        <v>45594</v>
      </c>
      <c r="E1678" s="1" t="n">
        <v>46248</v>
      </c>
      <c r="F1678" t="inlineStr">
        <is>
          <t>BLEKINGE LÄN</t>
        </is>
      </c>
      <c r="G1678" t="inlineStr">
        <is>
          <t>KARLSKRONA</t>
        </is>
      </c>
      <c r="I1678" t="n">
        <v>7.6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40357-2024</t>
        </is>
      </c>
      <c r="B1679" t="inlineStr">
        <is>
          <t>avverkningsanmälan</t>
        </is>
      </c>
      <c r="C1679" t="inlineStr">
        <is>
          <t>Föryngringsavverkning</t>
        </is>
      </c>
      <c r="D1679" s="1" t="n">
        <v>45555</v>
      </c>
      <c r="E1679" s="1" t="n">
        <v>46248</v>
      </c>
      <c r="F1679" t="inlineStr">
        <is>
          <t>BLEKINGE LÄN</t>
        </is>
      </c>
      <c r="G1679" t="inlineStr">
        <is>
          <t>KARLSKRONA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7252-2024</t>
        </is>
      </c>
      <c r="B1680" t="inlineStr">
        <is>
          <t>avverkningsanmälan</t>
        </is>
      </c>
      <c r="C1680" t="inlineStr">
        <is>
          <t>Föryngringsavverkning</t>
        </is>
      </c>
      <c r="D1680" s="1" t="n">
        <v>45344</v>
      </c>
      <c r="E1680" s="1" t="n">
        <v>46248</v>
      </c>
      <c r="F1680" t="inlineStr">
        <is>
          <t>BLEKINGE LÄN</t>
        </is>
      </c>
      <c r="G1680" t="inlineStr">
        <is>
          <t>KARLSKRONA</t>
        </is>
      </c>
      <c r="H1680" t="inlineStr">
        <is>
          <t>Kommuner</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21586-2026</t>
        </is>
      </c>
      <c r="B1681" t="inlineStr">
        <is>
          <t>avverkningsanmälan</t>
        </is>
      </c>
      <c r="C1681" t="inlineStr">
        <is>
          <t>Föryngringsavverkning</t>
        </is>
      </c>
      <c r="D1681" s="1" t="n">
        <v>46149</v>
      </c>
      <c r="E1681" s="1" t="n">
        <v>46248</v>
      </c>
      <c r="F1681" t="inlineStr">
        <is>
          <t>BLEKINGE LÄN</t>
        </is>
      </c>
      <c r="G1681" t="inlineStr">
        <is>
          <t>KARLSHAMN</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5227-2025</t>
        </is>
      </c>
      <c r="B1682" t="inlineStr">
        <is>
          <t>avverkningsanmälan</t>
        </is>
      </c>
      <c r="C1682" t="inlineStr">
        <is>
          <t>Föryngringsavverkning</t>
        </is>
      </c>
      <c r="D1682" s="1" t="n">
        <v>45691</v>
      </c>
      <c r="E1682" s="1" t="n">
        <v>46248</v>
      </c>
      <c r="F1682" t="inlineStr">
        <is>
          <t>BLEKINGE LÄN</t>
        </is>
      </c>
      <c r="G1682" t="inlineStr">
        <is>
          <t>RONNEBY</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5805-2025</t>
        </is>
      </c>
      <c r="B1683" t="inlineStr">
        <is>
          <t>avverkningsanmälan</t>
        </is>
      </c>
      <c r="C1683" t="inlineStr">
        <is>
          <t>Föryngringsavverkning</t>
        </is>
      </c>
      <c r="D1683" s="1" t="n">
        <v>45694</v>
      </c>
      <c r="E1683" s="1" t="n">
        <v>46248</v>
      </c>
      <c r="F1683" t="inlineStr">
        <is>
          <t>BLEKINGE LÄN</t>
        </is>
      </c>
      <c r="G1683" t="inlineStr">
        <is>
          <t>OLOFSTRÖM</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31021-2024</t>
        </is>
      </c>
      <c r="B1684" t="inlineStr">
        <is>
          <t>avverkningsanmälan</t>
        </is>
      </c>
      <c r="C1684" t="inlineStr">
        <is>
          <t>Föryngringsavverkning</t>
        </is>
      </c>
      <c r="D1684" s="1" t="n">
        <v>45499</v>
      </c>
      <c r="E1684" s="1" t="n">
        <v>46248</v>
      </c>
      <c r="F1684" t="inlineStr">
        <is>
          <t>BLEKINGE LÄN</t>
        </is>
      </c>
      <c r="G1684" t="inlineStr">
        <is>
          <t>KARLSKRONA</t>
        </is>
      </c>
      <c r="I1684" t="n">
        <v>6.1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14429-2024</t>
        </is>
      </c>
      <c r="B1685" t="inlineStr">
        <is>
          <t>avverkningsanmälan</t>
        </is>
      </c>
      <c r="C1685" t="inlineStr">
        <is>
          <t>Föryngringsavverkning</t>
        </is>
      </c>
      <c r="D1685" s="1" t="n">
        <v>45394</v>
      </c>
      <c r="E1685" s="1" t="n">
        <v>46248</v>
      </c>
      <c r="F1685" t="inlineStr">
        <is>
          <t>BLEKINGE LÄN</t>
        </is>
      </c>
      <c r="G1685" t="inlineStr">
        <is>
          <t>RONNEBY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52279-2024</t>
        </is>
      </c>
      <c r="B1686" t="inlineStr">
        <is>
          <t>avverkningsanmälan</t>
        </is>
      </c>
      <c r="C1686" t="inlineStr">
        <is>
          <t>Föryngringsavverkning</t>
        </is>
      </c>
      <c r="D1686" s="1" t="n">
        <v>45608</v>
      </c>
      <c r="E1686" s="1" t="n">
        <v>46248</v>
      </c>
      <c r="F1686" t="inlineStr">
        <is>
          <t>BLEKINGE LÄN</t>
        </is>
      </c>
      <c r="G1686" t="inlineStr">
        <is>
          <t>RONNEBY</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6741-2023</t>
        </is>
      </c>
      <c r="B1687" t="inlineStr">
        <is>
          <t>avverkningsanmälan</t>
        </is>
      </c>
      <c r="C1687" t="inlineStr">
        <is>
          <t>Föryngringsavverkning</t>
        </is>
      </c>
      <c r="D1687" s="1" t="n">
        <v>44966</v>
      </c>
      <c r="E1687" s="1" t="n">
        <v>46248</v>
      </c>
      <c r="F1687" t="inlineStr">
        <is>
          <t>BLEKINGE LÄN</t>
        </is>
      </c>
      <c r="G1687" t="inlineStr">
        <is>
          <t>RONNEBY</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21678-2026</t>
        </is>
      </c>
      <c r="B1688" t="inlineStr">
        <is>
          <t>avverkningsanmälan</t>
        </is>
      </c>
      <c r="C1688" t="inlineStr">
        <is>
          <t>Föryngringsavverkning</t>
        </is>
      </c>
      <c r="D1688" s="1" t="n">
        <v>46149</v>
      </c>
      <c r="E1688" s="1" t="n">
        <v>46248</v>
      </c>
      <c r="F1688" t="inlineStr">
        <is>
          <t>BLEKINGE LÄN</t>
        </is>
      </c>
      <c r="G1688" t="inlineStr">
        <is>
          <t>RONNEBY</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11411-2024</t>
        </is>
      </c>
      <c r="B1689" t="inlineStr">
        <is>
          <t>avverkningsanmälan</t>
        </is>
      </c>
      <c r="C1689" t="inlineStr">
        <is>
          <t>Föryngringsavverkning</t>
        </is>
      </c>
      <c r="D1689" s="1" t="n">
        <v>45372</v>
      </c>
      <c r="E1689" s="1" t="n">
        <v>46248</v>
      </c>
      <c r="F1689" t="inlineStr">
        <is>
          <t>BLEKINGE LÄN</t>
        </is>
      </c>
      <c r="G1689" t="inlineStr">
        <is>
          <t>KARLSKRONA</t>
        </is>
      </c>
      <c r="I1689" t="n">
        <v>5.1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29077-2023</t>
        </is>
      </c>
      <c r="B1690" t="inlineStr">
        <is>
          <t>avverkningsanmälan</t>
        </is>
      </c>
      <c r="C1690" t="inlineStr">
        <is>
          <t>Föryngringsavverkning</t>
        </is>
      </c>
      <c r="D1690" s="1" t="n">
        <v>45104</v>
      </c>
      <c r="E1690" s="1" t="n">
        <v>46248</v>
      </c>
      <c r="F1690" t="inlineStr">
        <is>
          <t>BLEKINGE LÄN</t>
        </is>
      </c>
      <c r="G1690" t="inlineStr">
        <is>
          <t>RONNEBY</t>
        </is>
      </c>
      <c r="H1690" t="inlineStr">
        <is>
          <t>Övriga Aktiebolag</t>
        </is>
      </c>
      <c r="I1690" t="n">
        <v>10.2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17073-2024</t>
        </is>
      </c>
      <c r="B1691" t="inlineStr">
        <is>
          <t>avverkningsanmälan</t>
        </is>
      </c>
      <c r="C1691" t="inlineStr">
        <is>
          <t>Föryngringsavverkning</t>
        </is>
      </c>
      <c r="D1691" s="1" t="n">
        <v>45412</v>
      </c>
      <c r="E1691" s="1" t="n">
        <v>46248</v>
      </c>
      <c r="F1691" t="inlineStr">
        <is>
          <t>BLEKINGE LÄN</t>
        </is>
      </c>
      <c r="G1691" t="inlineStr">
        <is>
          <t>KARLSHAMN</t>
        </is>
      </c>
      <c r="H1691" t="inlineStr">
        <is>
          <t>Kyrkan</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21464-2026</t>
        </is>
      </c>
      <c r="B1692" t="inlineStr">
        <is>
          <t>avverkningsanmälan</t>
        </is>
      </c>
      <c r="C1692" t="inlineStr">
        <is>
          <t>Föryngringsavverkning</t>
        </is>
      </c>
      <c r="D1692" s="1" t="n">
        <v>46148</v>
      </c>
      <c r="E1692" s="1" t="n">
        <v>46248</v>
      </c>
      <c r="F1692" t="inlineStr">
        <is>
          <t>BLEKINGE LÄN</t>
        </is>
      </c>
      <c r="G1692" t="inlineStr">
        <is>
          <t>KARLSKRONA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31122-2024</t>
        </is>
      </c>
      <c r="B1693" t="inlineStr">
        <is>
          <t>avverkningsanmälan</t>
        </is>
      </c>
      <c r="C1693" t="inlineStr">
        <is>
          <t>Föryngringsavverkning</t>
        </is>
      </c>
      <c r="D1693" s="1" t="n">
        <v>45502</v>
      </c>
      <c r="E1693" s="1" t="n">
        <v>46248</v>
      </c>
      <c r="F1693" t="inlineStr">
        <is>
          <t>BLEKINGE LÄN</t>
        </is>
      </c>
      <c r="G1693" t="inlineStr">
        <is>
          <t>RONNEBY</t>
        </is>
      </c>
      <c r="I1693" t="n">
        <v>7.4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44425-2024</t>
        </is>
      </c>
      <c r="B1694" t="inlineStr">
        <is>
          <t>avverkningsanmälan</t>
        </is>
      </c>
      <c r="C1694" t="inlineStr">
        <is>
          <t>Föryngringsavverkning</t>
        </is>
      </c>
      <c r="D1694" s="1" t="n">
        <v>45573</v>
      </c>
      <c r="E1694" s="1" t="n">
        <v>46248</v>
      </c>
      <c r="F1694" t="inlineStr">
        <is>
          <t>BLEKINGE LÄN</t>
        </is>
      </c>
      <c r="G1694" t="inlineStr">
        <is>
          <t>KARLSKRONA</t>
        </is>
      </c>
      <c r="I1694" t="n">
        <v>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55270-2024</t>
        </is>
      </c>
      <c r="B1695" t="inlineStr">
        <is>
          <t>avverkningsanmälan</t>
        </is>
      </c>
      <c r="C1695" t="inlineStr">
        <is>
          <t>Föryngringsavverkning</t>
        </is>
      </c>
      <c r="D1695" s="1" t="n">
        <v>45621</v>
      </c>
      <c r="E1695" s="1" t="n">
        <v>46248</v>
      </c>
      <c r="F1695" t="inlineStr">
        <is>
          <t>BLEKINGE LÄN</t>
        </is>
      </c>
      <c r="G1695" t="inlineStr">
        <is>
          <t>KARLSKRONA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21816-2026</t>
        </is>
      </c>
      <c r="B1696" t="inlineStr">
        <is>
          <t>avverkningsanmälan</t>
        </is>
      </c>
      <c r="C1696" t="inlineStr">
        <is>
          <t>Föryngringsavverkning</t>
        </is>
      </c>
      <c r="D1696" s="1" t="n">
        <v>46150</v>
      </c>
      <c r="E1696" s="1" t="n">
        <v>46248</v>
      </c>
      <c r="F1696" t="inlineStr">
        <is>
          <t>BLEKINGE LÄN</t>
        </is>
      </c>
      <c r="G1696" t="inlineStr">
        <is>
          <t>KARLSKRONA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3820-2022</t>
        </is>
      </c>
      <c r="B1697" t="inlineStr">
        <is>
          <t>avverkningsanmälan</t>
        </is>
      </c>
      <c r="C1697" t="inlineStr">
        <is>
          <t>Föryngringsavverkning</t>
        </is>
      </c>
      <c r="D1697" s="1" t="n">
        <v>44586</v>
      </c>
      <c r="E1697" s="1" t="n">
        <v>46248</v>
      </c>
      <c r="F1697" t="inlineStr">
        <is>
          <t>BLEKINGE LÄN</t>
        </is>
      </c>
      <c r="G1697" t="inlineStr">
        <is>
          <t>KARLSHAMN</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38344-2025</t>
        </is>
      </c>
      <c r="B1698" t="inlineStr">
        <is>
          <t>avverkningsanmälan</t>
        </is>
      </c>
      <c r="C1698" t="inlineStr">
        <is>
          <t>Föryngringsavverkning</t>
        </is>
      </c>
      <c r="D1698" s="1" t="n">
        <v>45883</v>
      </c>
      <c r="E1698" s="1" t="n">
        <v>46248</v>
      </c>
      <c r="F1698" t="inlineStr">
        <is>
          <t>BLEKINGE LÄN</t>
        </is>
      </c>
      <c r="G1698" t="inlineStr">
        <is>
          <t>KARLSKRONA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42619-2025</t>
        </is>
      </c>
      <c r="B1699" t="inlineStr">
        <is>
          <t>avverkningsanmälan</t>
        </is>
      </c>
      <c r="C1699" t="inlineStr">
        <is>
          <t>Föryngringsavverkning</t>
        </is>
      </c>
      <c r="D1699" s="1" t="n">
        <v>45905</v>
      </c>
      <c r="E1699" s="1" t="n">
        <v>46248</v>
      </c>
      <c r="F1699" t="inlineStr">
        <is>
          <t>BLEKINGE LÄN</t>
        </is>
      </c>
      <c r="G1699" t="inlineStr">
        <is>
          <t>KARLSHAMN</t>
        </is>
      </c>
      <c r="I1699" t="n">
        <v>20.9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38342-2025</t>
        </is>
      </c>
      <c r="B1700" t="inlineStr">
        <is>
          <t>avverkningsanmälan</t>
        </is>
      </c>
      <c r="C1700" t="inlineStr">
        <is>
          <t>Föryngringsavverkning</t>
        </is>
      </c>
      <c r="D1700" s="1" t="n">
        <v>45883</v>
      </c>
      <c r="E1700" s="1" t="n">
        <v>46248</v>
      </c>
      <c r="F1700" t="inlineStr">
        <is>
          <t>BLEKINGE LÄN</t>
        </is>
      </c>
      <c r="G1700" t="inlineStr">
        <is>
          <t>KARLSKRONA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21399-2025</t>
        </is>
      </c>
      <c r="B1701" t="inlineStr">
        <is>
          <t>avverkningsanmälan</t>
        </is>
      </c>
      <c r="C1701" t="inlineStr">
        <is>
          <t>Avverkning för annat ändamål</t>
        </is>
      </c>
      <c r="D1701" s="1" t="n">
        <v>45782</v>
      </c>
      <c r="E1701" s="1" t="n">
        <v>46248</v>
      </c>
      <c r="F1701" t="inlineStr">
        <is>
          <t>BLEKINGE LÄN</t>
        </is>
      </c>
      <c r="G1701" t="inlineStr">
        <is>
          <t>KARLSHAMN</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38406-2025</t>
        </is>
      </c>
      <c r="B1702" t="inlineStr">
        <is>
          <t>avverkningsanmälan</t>
        </is>
      </c>
      <c r="C1702" t="inlineStr">
        <is>
          <t>Föryngringsavverkning</t>
        </is>
      </c>
      <c r="D1702" s="1" t="n">
        <v>45883</v>
      </c>
      <c r="E1702" s="1" t="n">
        <v>46248</v>
      </c>
      <c r="F1702" t="inlineStr">
        <is>
          <t>BLEKINGE LÄN</t>
        </is>
      </c>
      <c r="G1702" t="inlineStr">
        <is>
          <t>SÖLVESBORG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21464-2025</t>
        </is>
      </c>
      <c r="B1703" t="inlineStr">
        <is>
          <t>avverkningsanmälan</t>
        </is>
      </c>
      <c r="C1703" t="inlineStr">
        <is>
          <t>Föryngringsavverkning</t>
        </is>
      </c>
      <c r="D1703" s="1" t="n">
        <v>45782</v>
      </c>
      <c r="E1703" s="1" t="n">
        <v>46248</v>
      </c>
      <c r="F1703" t="inlineStr">
        <is>
          <t>BLEKINGE LÄN</t>
        </is>
      </c>
      <c r="G1703" t="inlineStr">
        <is>
          <t>SÖLVESBORG</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9637-2025</t>
        </is>
      </c>
      <c r="B1704" t="inlineStr">
        <is>
          <t>avverkningsanmälan</t>
        </is>
      </c>
      <c r="C1704" t="inlineStr">
        <is>
          <t>Föryngringsavverkning</t>
        </is>
      </c>
      <c r="D1704" s="1" t="n">
        <v>45715</v>
      </c>
      <c r="E1704" s="1" t="n">
        <v>46248</v>
      </c>
      <c r="F1704" t="inlineStr">
        <is>
          <t>BLEKINGE LÄN</t>
        </is>
      </c>
      <c r="G1704" t="inlineStr">
        <is>
          <t>RONNEBY</t>
        </is>
      </c>
      <c r="I1704" t="n">
        <v>6.2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21606-2025</t>
        </is>
      </c>
      <c r="B1705" t="inlineStr">
        <is>
          <t>avverkningsanmälan</t>
        </is>
      </c>
      <c r="C1705" t="inlineStr">
        <is>
          <t>Föryngringsavverkning</t>
        </is>
      </c>
      <c r="D1705" s="1" t="n">
        <v>45783</v>
      </c>
      <c r="E1705" s="1" t="n">
        <v>46248</v>
      </c>
      <c r="F1705" t="inlineStr">
        <is>
          <t>BLEKINGE LÄN</t>
        </is>
      </c>
      <c r="G1705" t="inlineStr">
        <is>
          <t>KARLSKRONA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21648-2025</t>
        </is>
      </c>
      <c r="B1706" t="inlineStr">
        <is>
          <t>avverkningsanmälan</t>
        </is>
      </c>
      <c r="C1706" t="inlineStr">
        <is>
          <t>Föryngringsavverkning</t>
        </is>
      </c>
      <c r="D1706" s="1" t="n">
        <v>45783</v>
      </c>
      <c r="E1706" s="1" t="n">
        <v>46248</v>
      </c>
      <c r="F1706" t="inlineStr">
        <is>
          <t>BLEKINGE LÄN</t>
        </is>
      </c>
      <c r="G1706" t="inlineStr">
        <is>
          <t>KARLSKRONA</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13535-2024</t>
        </is>
      </c>
      <c r="B1707" t="inlineStr">
        <is>
          <t>avverkningsanmälan</t>
        </is>
      </c>
      <c r="C1707" t="inlineStr">
        <is>
          <t>Föryngringsavverkning</t>
        </is>
      </c>
      <c r="D1707" s="1" t="n">
        <v>45387</v>
      </c>
      <c r="E1707" s="1" t="n">
        <v>46248</v>
      </c>
      <c r="F1707" t="inlineStr">
        <is>
          <t>BLEKINGE LÄN</t>
        </is>
      </c>
      <c r="G1707" t="inlineStr">
        <is>
          <t>KARLSKRONA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22193-2025</t>
        </is>
      </c>
      <c r="B1708" t="inlineStr">
        <is>
          <t>avverkningsanmälan</t>
        </is>
      </c>
      <c r="C1708" t="inlineStr">
        <is>
          <t>Föryngringsavverkning</t>
        </is>
      </c>
      <c r="D1708" s="1" t="n">
        <v>45785</v>
      </c>
      <c r="E1708" s="1" t="n">
        <v>46248</v>
      </c>
      <c r="F1708" t="inlineStr">
        <is>
          <t>BLEKINGE LÄN</t>
        </is>
      </c>
      <c r="G1708" t="inlineStr">
        <is>
          <t>RONNEBY</t>
        </is>
      </c>
      <c r="H1708" t="inlineStr">
        <is>
          <t>Övriga Aktiebolag</t>
        </is>
      </c>
      <c r="I1708" t="n">
        <v>7.2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33598-2025</t>
        </is>
      </c>
      <c r="B1709" t="inlineStr">
        <is>
          <t>avverkningsanmälan</t>
        </is>
      </c>
      <c r="C1709" t="inlineStr">
        <is>
          <t>Föryngringsavverkning</t>
        </is>
      </c>
      <c r="D1709" s="1" t="n">
        <v>45841</v>
      </c>
      <c r="E1709" s="1" t="n">
        <v>46248</v>
      </c>
      <c r="F1709" t="inlineStr">
        <is>
          <t>BLEKINGE LÄN</t>
        </is>
      </c>
      <c r="G1709" t="inlineStr">
        <is>
          <t>RONNEBY</t>
        </is>
      </c>
      <c r="I1709" t="n">
        <v>9.199999999999999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34318-2025</t>
        </is>
      </c>
      <c r="B1710" t="inlineStr">
        <is>
          <t>avverkningsanmälan</t>
        </is>
      </c>
      <c r="C1710" t="inlineStr">
        <is>
          <t>Föryngringsavverkning</t>
        </is>
      </c>
      <c r="D1710" s="1" t="n">
        <v>45846</v>
      </c>
      <c r="E1710" s="1" t="n">
        <v>46248</v>
      </c>
      <c r="F1710" t="inlineStr">
        <is>
          <t>BLEKINGE LÄN</t>
        </is>
      </c>
      <c r="G1710" t="inlineStr">
        <is>
          <t>KARLSKRONA</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14475-2025</t>
        </is>
      </c>
      <c r="B1711" t="inlineStr">
        <is>
          <t>avverkningsanmälan</t>
        </is>
      </c>
      <c r="C1711" t="inlineStr">
        <is>
          <t>Föryngringsavverkning</t>
        </is>
      </c>
      <c r="D1711" s="1" t="n">
        <v>45741</v>
      </c>
      <c r="E1711" s="1" t="n">
        <v>46248</v>
      </c>
      <c r="F1711" t="inlineStr">
        <is>
          <t>BLEKINGE LÄN</t>
        </is>
      </c>
      <c r="G1711" t="inlineStr">
        <is>
          <t>SÖLVESBORG</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16094-2025</t>
        </is>
      </c>
      <c r="B1712" t="inlineStr">
        <is>
          <t>avverkningsanmälan</t>
        </is>
      </c>
      <c r="C1712" t="inlineStr">
        <is>
          <t>Föryngringsavverkning</t>
        </is>
      </c>
      <c r="D1712" s="1" t="n">
        <v>45749</v>
      </c>
      <c r="E1712" s="1" t="n">
        <v>46248</v>
      </c>
      <c r="F1712" t="inlineStr">
        <is>
          <t>BLEKINGE LÄN</t>
        </is>
      </c>
      <c r="G1712" t="inlineStr">
        <is>
          <t>RONNEBY</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14803-2025</t>
        </is>
      </c>
      <c r="B1713" t="inlineStr">
        <is>
          <t>avverkningsanmälan</t>
        </is>
      </c>
      <c r="C1713" t="inlineStr">
        <is>
          <t>Föryngringsavverkning</t>
        </is>
      </c>
      <c r="D1713" s="1" t="n">
        <v>45743</v>
      </c>
      <c r="E1713" s="1" t="n">
        <v>46248</v>
      </c>
      <c r="F1713" t="inlineStr">
        <is>
          <t>BLEKINGE LÄN</t>
        </is>
      </c>
      <c r="G1713" t="inlineStr">
        <is>
          <t>RONNEBY</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42775-2025</t>
        </is>
      </c>
      <c r="B1714" t="inlineStr">
        <is>
          <t>avverkningsanmälan</t>
        </is>
      </c>
      <c r="C1714" t="inlineStr">
        <is>
          <t>Föryngringsavverkning</t>
        </is>
      </c>
      <c r="D1714" s="1" t="n">
        <v>45908</v>
      </c>
      <c r="E1714" s="1" t="n">
        <v>46248</v>
      </c>
      <c r="F1714" t="inlineStr">
        <is>
          <t>BLEKINGE LÄN</t>
        </is>
      </c>
      <c r="G1714" t="inlineStr">
        <is>
          <t>KARLSHAMN</t>
        </is>
      </c>
      <c r="H1714" t="inlineStr">
        <is>
          <t>Sveaskog</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33716-2025</t>
        </is>
      </c>
      <c r="B1715" t="inlineStr">
        <is>
          <t>avverkningsanmälan</t>
        </is>
      </c>
      <c r="C1715" t="inlineStr">
        <is>
          <t>Föryngringsavverkning</t>
        </is>
      </c>
      <c r="D1715" s="1" t="n">
        <v>45841</v>
      </c>
      <c r="E1715" s="1" t="n">
        <v>46248</v>
      </c>
      <c r="F1715" t="inlineStr">
        <is>
          <t>BLEKINGE LÄN</t>
        </is>
      </c>
      <c r="G1715" t="inlineStr">
        <is>
          <t>KARLSHAMN</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43056-2024</t>
        </is>
      </c>
      <c r="B1716" t="inlineStr">
        <is>
          <t>avverkningsanmälan</t>
        </is>
      </c>
      <c r="C1716" t="inlineStr">
        <is>
          <t>Föryngringsavverkning</t>
        </is>
      </c>
      <c r="D1716" s="1" t="n">
        <v>45567</v>
      </c>
      <c r="E1716" s="1" t="n">
        <v>46248</v>
      </c>
      <c r="F1716" t="inlineStr">
        <is>
          <t>BLEKINGE LÄN</t>
        </is>
      </c>
      <c r="G1716" t="inlineStr">
        <is>
          <t>RONNEBY</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42770-2025</t>
        </is>
      </c>
      <c r="B1717" t="inlineStr">
        <is>
          <t>avverkningsanmälan</t>
        </is>
      </c>
      <c r="C1717" t="inlineStr">
        <is>
          <t>Föryngringsavverkning</t>
        </is>
      </c>
      <c r="D1717" s="1" t="n">
        <v>45908</v>
      </c>
      <c r="E1717" s="1" t="n">
        <v>46248</v>
      </c>
      <c r="F1717" t="inlineStr">
        <is>
          <t>BLEKINGE LÄN</t>
        </is>
      </c>
      <c r="G1717" t="inlineStr">
        <is>
          <t>KARLSHAMN</t>
        </is>
      </c>
      <c r="H1717" t="inlineStr">
        <is>
          <t>Sveaskog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42777-2025</t>
        </is>
      </c>
      <c r="B1718" t="inlineStr">
        <is>
          <t>avverkningsanmälan</t>
        </is>
      </c>
      <c r="C1718" t="inlineStr">
        <is>
          <t>Föryngringsavverkning</t>
        </is>
      </c>
      <c r="D1718" s="1" t="n">
        <v>45908</v>
      </c>
      <c r="E1718" s="1" t="n">
        <v>46248</v>
      </c>
      <c r="F1718" t="inlineStr">
        <is>
          <t>BLEKINGE LÄN</t>
        </is>
      </c>
      <c r="G1718" t="inlineStr">
        <is>
          <t>KARLSKRONA</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55617-2025</t>
        </is>
      </c>
      <c r="B1719" t="inlineStr">
        <is>
          <t>avverkningsanmälan</t>
        </is>
      </c>
      <c r="C1719" t="inlineStr">
        <is>
          <t>Föryngringsavverkning</t>
        </is>
      </c>
      <c r="D1719" s="1" t="n">
        <v>45971</v>
      </c>
      <c r="E1719" s="1" t="n">
        <v>46248</v>
      </c>
      <c r="F1719" t="inlineStr">
        <is>
          <t>BLEKINGE LÄN</t>
        </is>
      </c>
      <c r="G1719" t="inlineStr">
        <is>
          <t>KARLSKRONA</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33989-2025</t>
        </is>
      </c>
      <c r="B1720" t="inlineStr">
        <is>
          <t>avverkningsanmälan</t>
        </is>
      </c>
      <c r="C1720" t="inlineStr">
        <is>
          <t>Föryngringsavverkning</t>
        </is>
      </c>
      <c r="D1720" s="1" t="n">
        <v>45843</v>
      </c>
      <c r="E1720" s="1" t="n">
        <v>46248</v>
      </c>
      <c r="F1720" t="inlineStr">
        <is>
          <t>BLEKINGE LÄN</t>
        </is>
      </c>
      <c r="G1720" t="inlineStr">
        <is>
          <t>RONNEBY</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26405-2025</t>
        </is>
      </c>
      <c r="B1721" t="inlineStr">
        <is>
          <t>avverkningsanmälan</t>
        </is>
      </c>
      <c r="C1721" t="inlineStr">
        <is>
          <t>Föryngringsavverkning</t>
        </is>
      </c>
      <c r="D1721" s="1" t="n">
        <v>45807</v>
      </c>
      <c r="E1721" s="1" t="n">
        <v>46248</v>
      </c>
      <c r="F1721" t="inlineStr">
        <is>
          <t>BLEKINGE LÄN</t>
        </is>
      </c>
      <c r="G1721" t="inlineStr">
        <is>
          <t>RONNEBY</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56340-2024</t>
        </is>
      </c>
      <c r="B1722" t="inlineStr">
        <is>
          <t>avverkningsanmälan</t>
        </is>
      </c>
      <c r="C1722" t="inlineStr">
        <is>
          <t>Föryngringsavverkning</t>
        </is>
      </c>
      <c r="D1722" s="1" t="n">
        <v>45624</v>
      </c>
      <c r="E1722" s="1" t="n">
        <v>46248</v>
      </c>
      <c r="F1722" t="inlineStr">
        <is>
          <t>BLEKINGE LÄN</t>
        </is>
      </c>
      <c r="G1722" t="inlineStr">
        <is>
          <t>KARLSKRONA</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33817-2025</t>
        </is>
      </c>
      <c r="B1723" t="inlineStr">
        <is>
          <t>avverkningsanmälan</t>
        </is>
      </c>
      <c r="C1723" t="inlineStr">
        <is>
          <t>Föryngringsavverkning</t>
        </is>
      </c>
      <c r="D1723" s="1" t="n">
        <v>45842</v>
      </c>
      <c r="E1723" s="1" t="n">
        <v>46248</v>
      </c>
      <c r="F1723" t="inlineStr">
        <is>
          <t>BLEKINGE LÄN</t>
        </is>
      </c>
      <c r="G1723" t="inlineStr">
        <is>
          <t>SÖLVESBORG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7982-2022</t>
        </is>
      </c>
      <c r="B1724" t="inlineStr">
        <is>
          <t>avverkningsanmälan</t>
        </is>
      </c>
      <c r="C1724" t="inlineStr">
        <is>
          <t>Föryngringsavverkning</t>
        </is>
      </c>
      <c r="D1724" s="1" t="n">
        <v>44609</v>
      </c>
      <c r="E1724" s="1" t="n">
        <v>46248</v>
      </c>
      <c r="F1724" t="inlineStr">
        <is>
          <t>BLEKINGE LÄN</t>
        </is>
      </c>
      <c r="G1724" t="inlineStr">
        <is>
          <t>KARLSHAMN</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2416-2025</t>
        </is>
      </c>
      <c r="B1725" t="inlineStr">
        <is>
          <t>avverkningsanmälan</t>
        </is>
      </c>
      <c r="C1725" t="inlineStr">
        <is>
          <t>Föryngringsavverkning</t>
        </is>
      </c>
      <c r="D1725" s="1" t="n">
        <v>45674</v>
      </c>
      <c r="E1725" s="1" t="n">
        <v>46248</v>
      </c>
      <c r="F1725" t="inlineStr">
        <is>
          <t>BLEKINGE LÄN</t>
        </is>
      </c>
      <c r="G1725" t="inlineStr">
        <is>
          <t>KARLSKRONA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34884-2024</t>
        </is>
      </c>
      <c r="B1726" t="inlineStr">
        <is>
          <t>avverkningsanmälan</t>
        </is>
      </c>
      <c r="C1726" t="inlineStr">
        <is>
          <t>Föryngringsavverkning</t>
        </is>
      </c>
      <c r="D1726" s="1" t="n">
        <v>45527</v>
      </c>
      <c r="E1726" s="1" t="n">
        <v>46248</v>
      </c>
      <c r="F1726" t="inlineStr">
        <is>
          <t>BLEKINGE LÄN</t>
        </is>
      </c>
      <c r="G1726" t="inlineStr">
        <is>
          <t>RONNEBY</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28458-2022</t>
        </is>
      </c>
      <c r="B1727" t="inlineStr">
        <is>
          <t>avverkningsanmälan</t>
        </is>
      </c>
      <c r="C1727" t="inlineStr">
        <is>
          <t>Föryngringsavverkning</t>
        </is>
      </c>
      <c r="D1727" s="1" t="n">
        <v>44747</v>
      </c>
      <c r="E1727" s="1" t="n">
        <v>46248</v>
      </c>
      <c r="F1727" t="inlineStr">
        <is>
          <t>BLEKINGE LÄN</t>
        </is>
      </c>
      <c r="G1727" t="inlineStr">
        <is>
          <t>KARLSKRONA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9349-2025</t>
        </is>
      </c>
      <c r="B1728" t="inlineStr">
        <is>
          <t>avverkningsanmälan</t>
        </is>
      </c>
      <c r="C1728" t="inlineStr">
        <is>
          <t>Föryngringsavverkning</t>
        </is>
      </c>
      <c r="D1728" s="1" t="n">
        <v>45714</v>
      </c>
      <c r="E1728" s="1" t="n">
        <v>46248</v>
      </c>
      <c r="F1728" t="inlineStr">
        <is>
          <t>BLEKINGE LÄN</t>
        </is>
      </c>
      <c r="G1728" t="inlineStr">
        <is>
          <t>KARLSKRONA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34423-2025</t>
        </is>
      </c>
      <c r="B1729" t="inlineStr">
        <is>
          <t>avverkningsanmälan</t>
        </is>
      </c>
      <c r="C1729" t="inlineStr">
        <is>
          <t>Föryngringsavverkning</t>
        </is>
      </c>
      <c r="D1729" s="1" t="n">
        <v>45846</v>
      </c>
      <c r="E1729" s="1" t="n">
        <v>46248</v>
      </c>
      <c r="F1729" t="inlineStr">
        <is>
          <t>BLEKINGE LÄN</t>
        </is>
      </c>
      <c r="G1729" t="inlineStr">
        <is>
          <t>KARLSHAMN</t>
        </is>
      </c>
      <c r="I1729" t="n">
        <v>8.300000000000001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56669-2023</t>
        </is>
      </c>
      <c r="B1730" t="inlineStr">
        <is>
          <t>avverkningsanmälan</t>
        </is>
      </c>
      <c r="C1730" t="inlineStr">
        <is>
          <t>Föryngringsavverkning</t>
        </is>
      </c>
      <c r="D1730" s="1" t="n">
        <v>45243</v>
      </c>
      <c r="E1730" s="1" t="n">
        <v>46248</v>
      </c>
      <c r="F1730" t="inlineStr">
        <is>
          <t>BLEKINGE LÄN</t>
        </is>
      </c>
      <c r="G1730" t="inlineStr">
        <is>
          <t>KARLSHAMN</t>
        </is>
      </c>
      <c r="I1730" t="n">
        <v>11.4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445-2024</t>
        </is>
      </c>
      <c r="B1731" t="inlineStr">
        <is>
          <t>avverkningsanmälan</t>
        </is>
      </c>
      <c r="C1731" t="inlineStr">
        <is>
          <t>Föryngringsavverkning</t>
        </is>
      </c>
      <c r="D1731" s="1" t="n">
        <v>45296</v>
      </c>
      <c r="E1731" s="1" t="n">
        <v>46248</v>
      </c>
      <c r="F1731" t="inlineStr">
        <is>
          <t>BLEKINGE LÄN</t>
        </is>
      </c>
      <c r="G1731" t="inlineStr">
        <is>
          <t>SÖLVESBORG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57830-2024</t>
        </is>
      </c>
      <c r="B1732" t="inlineStr">
        <is>
          <t>avverkningsanmälan</t>
        </is>
      </c>
      <c r="C1732" t="inlineStr">
        <is>
          <t>Föryngringsavverkning</t>
        </is>
      </c>
      <c r="D1732" s="1" t="n">
        <v>45631</v>
      </c>
      <c r="E1732" s="1" t="n">
        <v>46248</v>
      </c>
      <c r="F1732" t="inlineStr">
        <is>
          <t>BLEKINGE LÄN</t>
        </is>
      </c>
      <c r="G1732" t="inlineStr">
        <is>
          <t>KARLSKRONA</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38463-2024</t>
        </is>
      </c>
      <c r="B1733" t="inlineStr">
        <is>
          <t>avverkningsanmälan</t>
        </is>
      </c>
      <c r="C1733" t="inlineStr">
        <is>
          <t>Föryngringsavverkning</t>
        </is>
      </c>
      <c r="D1733" s="1" t="n">
        <v>45546</v>
      </c>
      <c r="E1733" s="1" t="n">
        <v>46248</v>
      </c>
      <c r="F1733" t="inlineStr">
        <is>
          <t>BLEKINGE LÄN</t>
        </is>
      </c>
      <c r="G1733" t="inlineStr">
        <is>
          <t>RONNEBY</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22262-2025</t>
        </is>
      </c>
      <c r="B1734" t="inlineStr">
        <is>
          <t>avverkningsanmälan</t>
        </is>
      </c>
      <c r="C1734" t="inlineStr">
        <is>
          <t>Föryngringsavverkning</t>
        </is>
      </c>
      <c r="D1734" s="1" t="n">
        <v>45785</v>
      </c>
      <c r="E1734" s="1" t="n">
        <v>46248</v>
      </c>
      <c r="F1734" t="inlineStr">
        <is>
          <t>BLEKINGE LÄN</t>
        </is>
      </c>
      <c r="G1734" t="inlineStr">
        <is>
          <t>KARLSKRONA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43212-2025</t>
        </is>
      </c>
      <c r="B1735" t="inlineStr">
        <is>
          <t>avverkningsanmälan</t>
        </is>
      </c>
      <c r="C1735" t="inlineStr">
        <is>
          <t>Föryngringsavverkning</t>
        </is>
      </c>
      <c r="D1735" s="1" t="n">
        <v>45910</v>
      </c>
      <c r="E1735" s="1" t="n">
        <v>46248</v>
      </c>
      <c r="F1735" t="inlineStr">
        <is>
          <t>BLEKINGE LÄN</t>
        </is>
      </c>
      <c r="G1735" t="inlineStr">
        <is>
          <t>OLOFSTRÖM</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13694-2026</t>
        </is>
      </c>
      <c r="B1736" t="inlineStr">
        <is>
          <t>avverkningsanmälan</t>
        </is>
      </c>
      <c r="C1736" t="inlineStr">
        <is>
          <t>Föryngringsavverkning</t>
        </is>
      </c>
      <c r="D1736" s="1" t="n">
        <v>46097</v>
      </c>
      <c r="E1736" s="1" t="n">
        <v>46248</v>
      </c>
      <c r="F1736" t="inlineStr">
        <is>
          <t>BLEKINGE LÄN</t>
        </is>
      </c>
      <c r="G1736" t="inlineStr">
        <is>
          <t>KARLSKRONA</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11168-2025</t>
        </is>
      </c>
      <c r="B1737" t="inlineStr">
        <is>
          <t>avverkningsanmälan</t>
        </is>
      </c>
      <c r="C1737" t="inlineStr">
        <is>
          <t>Föryngringsavverkning</t>
        </is>
      </c>
      <c r="D1737" s="1" t="n">
        <v>45724</v>
      </c>
      <c r="E1737" s="1" t="n">
        <v>46248</v>
      </c>
      <c r="F1737" t="inlineStr">
        <is>
          <t>BLEKINGE LÄN</t>
        </is>
      </c>
      <c r="G1737" t="inlineStr">
        <is>
          <t>RONNEBY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45642-2024</t>
        </is>
      </c>
      <c r="B1738" t="inlineStr">
        <is>
          <t>avverkningsanmälan</t>
        </is>
      </c>
      <c r="C1738" t="inlineStr">
        <is>
          <t>Föryngringsavverkning</t>
        </is>
      </c>
      <c r="D1738" s="1" t="n">
        <v>45579</v>
      </c>
      <c r="E1738" s="1" t="n">
        <v>46248</v>
      </c>
      <c r="F1738" t="inlineStr">
        <is>
          <t>BLEKINGE LÄN</t>
        </is>
      </c>
      <c r="G1738" t="inlineStr">
        <is>
          <t>RONNEBY</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31244-2025</t>
        </is>
      </c>
      <c r="B1739" t="inlineStr">
        <is>
          <t>avverkningsanmälan</t>
        </is>
      </c>
      <c r="C1739" t="inlineStr">
        <is>
          <t>Föryngringsavverkning</t>
        </is>
      </c>
      <c r="D1739" s="1" t="n">
        <v>45832</v>
      </c>
      <c r="E1739" s="1" t="n">
        <v>46248</v>
      </c>
      <c r="F1739" t="inlineStr">
        <is>
          <t>BLEKINGE LÄN</t>
        </is>
      </c>
      <c r="G1739" t="inlineStr">
        <is>
          <t>KARLSKRONA</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60538-2021</t>
        </is>
      </c>
      <c r="B1740" t="inlineStr">
        <is>
          <t>avverkningsanmälan</t>
        </is>
      </c>
      <c r="C1740" t="inlineStr">
        <is>
          <t>Föryngringsavverkning</t>
        </is>
      </c>
      <c r="D1740" s="1" t="n">
        <v>44496</v>
      </c>
      <c r="E1740" s="1" t="n">
        <v>46248</v>
      </c>
      <c r="F1740" t="inlineStr">
        <is>
          <t>BLEKINGE LÄN</t>
        </is>
      </c>
      <c r="G1740" t="inlineStr">
        <is>
          <t>KARLSKRONA</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43875-2021</t>
        </is>
      </c>
      <c r="B1741" t="inlineStr">
        <is>
          <t>avverkningsanmälan</t>
        </is>
      </c>
      <c r="C1741" t="inlineStr">
        <is>
          <t>Föryngringsavverkning</t>
        </is>
      </c>
      <c r="D1741" s="1" t="n">
        <v>44434</v>
      </c>
      <c r="E1741" s="1" t="n">
        <v>46248</v>
      </c>
      <c r="F1741" t="inlineStr">
        <is>
          <t>BLEKINGE LÄN</t>
        </is>
      </c>
      <c r="G1741" t="inlineStr">
        <is>
          <t>RONNEBY</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11305-2025</t>
        </is>
      </c>
      <c r="B1742" t="inlineStr">
        <is>
          <t>avverkningsanmälan</t>
        </is>
      </c>
      <c r="C1742" t="inlineStr">
        <is>
          <t>Föryngringsavverkning</t>
        </is>
      </c>
      <c r="D1742" s="1" t="n">
        <v>45726</v>
      </c>
      <c r="E1742" s="1" t="n">
        <v>46248</v>
      </c>
      <c r="F1742" t="inlineStr">
        <is>
          <t>BLEKINGE LÄN</t>
        </is>
      </c>
      <c r="G1742" t="inlineStr">
        <is>
          <t>OLOFSTRÖM</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43143-2025</t>
        </is>
      </c>
      <c r="B1743" t="inlineStr">
        <is>
          <t>avverkningsanmälan</t>
        </is>
      </c>
      <c r="C1743" t="inlineStr">
        <is>
          <t>Föryngringsavverkning</t>
        </is>
      </c>
      <c r="D1743" s="1" t="n">
        <v>45910</v>
      </c>
      <c r="E1743" s="1" t="n">
        <v>46248</v>
      </c>
      <c r="F1743" t="inlineStr">
        <is>
          <t>BLEKINGE LÄN</t>
        </is>
      </c>
      <c r="G1743" t="inlineStr">
        <is>
          <t>RONNEBY</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35245-2024</t>
        </is>
      </c>
      <c r="B1744" t="inlineStr">
        <is>
          <t>avverkningsanmälan</t>
        </is>
      </c>
      <c r="C1744" t="inlineStr">
        <is>
          <t>Föryngringsavverkning</t>
        </is>
      </c>
      <c r="D1744" s="1" t="n">
        <v>45530</v>
      </c>
      <c r="E1744" s="1" t="n">
        <v>46248</v>
      </c>
      <c r="F1744" t="inlineStr">
        <is>
          <t>BLEKINGE LÄN</t>
        </is>
      </c>
      <c r="G1744" t="inlineStr">
        <is>
          <t>RONNEBY</t>
        </is>
      </c>
      <c r="I1744" t="n">
        <v>11.2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33855-2023</t>
        </is>
      </c>
      <c r="B1745" t="inlineStr">
        <is>
          <t>avverkningsanmälan</t>
        </is>
      </c>
      <c r="C1745" t="inlineStr">
        <is>
          <t>Föryngringsavverkning</t>
        </is>
      </c>
      <c r="D1745" s="1" t="n">
        <v>45133</v>
      </c>
      <c r="E1745" s="1" t="n">
        <v>46248</v>
      </c>
      <c r="F1745" t="inlineStr">
        <is>
          <t>BLEKINGE LÄN</t>
        </is>
      </c>
      <c r="G1745" t="inlineStr">
        <is>
          <t>KARLSKRONA</t>
        </is>
      </c>
      <c r="I1745" t="n">
        <v>7.3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61309-2024</t>
        </is>
      </c>
      <c r="B1746" t="inlineStr">
        <is>
          <t>avverkningsanmälan</t>
        </is>
      </c>
      <c r="C1746" t="inlineStr">
        <is>
          <t>Föryngringsavverkning</t>
        </is>
      </c>
      <c r="D1746" s="1" t="n">
        <v>45646</v>
      </c>
      <c r="E1746" s="1" t="n">
        <v>46248</v>
      </c>
      <c r="F1746" t="inlineStr">
        <is>
          <t>BLEKINGE LÄN</t>
        </is>
      </c>
      <c r="G1746" t="inlineStr">
        <is>
          <t>RONNEBY</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42212-2024</t>
        </is>
      </c>
      <c r="B1747" t="inlineStr">
        <is>
          <t>avverkningsanmälan</t>
        </is>
      </c>
      <c r="C1747" t="inlineStr">
        <is>
          <t>Föryngringsavverkning</t>
        </is>
      </c>
      <c r="D1747" s="1" t="n">
        <v>45562</v>
      </c>
      <c r="E1747" s="1" t="n">
        <v>46248</v>
      </c>
      <c r="F1747" t="inlineStr">
        <is>
          <t>BLEKINGE LÄN</t>
        </is>
      </c>
      <c r="G1747" t="inlineStr">
        <is>
          <t>RONNEBY</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10621-2026</t>
        </is>
      </c>
      <c r="B1748" t="inlineStr">
        <is>
          <t>avverkningsanmälan</t>
        </is>
      </c>
      <c r="C1748" t="inlineStr">
        <is>
          <t>Föryngringsavverkning</t>
        </is>
      </c>
      <c r="D1748" s="1" t="n">
        <v>46077</v>
      </c>
      <c r="E1748" s="1" t="n">
        <v>46248</v>
      </c>
      <c r="F1748" t="inlineStr">
        <is>
          <t>BLEKINGE LÄN</t>
        </is>
      </c>
      <c r="G1748" t="inlineStr">
        <is>
          <t>KARLSKRONA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62025-2024</t>
        </is>
      </c>
      <c r="B1749" t="inlineStr">
        <is>
          <t>avverkningsanmälan</t>
        </is>
      </c>
      <c r="C1749" t="inlineStr">
        <is>
          <t>Föryngringsavverkning</t>
        </is>
      </c>
      <c r="D1749" s="1" t="n">
        <v>45656</v>
      </c>
      <c r="E1749" s="1" t="n">
        <v>46248</v>
      </c>
      <c r="F1749" t="inlineStr">
        <is>
          <t>BLEKINGE LÄN</t>
        </is>
      </c>
      <c r="G1749" t="inlineStr">
        <is>
          <t>KARLSKRONA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23464-2024</t>
        </is>
      </c>
      <c r="B1750" t="inlineStr">
        <is>
          <t>avverkningsanmälan</t>
        </is>
      </c>
      <c r="C1750" t="inlineStr">
        <is>
          <t>Föryngringsavverkning</t>
        </is>
      </c>
      <c r="D1750" s="1" t="n">
        <v>45453</v>
      </c>
      <c r="E1750" s="1" t="n">
        <v>46248</v>
      </c>
      <c r="F1750" t="inlineStr">
        <is>
          <t>BLEKINGE LÄN</t>
        </is>
      </c>
      <c r="G1750" t="inlineStr">
        <is>
          <t>KARLSKRONA</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43360-2025</t>
        </is>
      </c>
      <c r="B1751" t="inlineStr">
        <is>
          <t>avverkningsanmälan</t>
        </is>
      </c>
      <c r="C1751" t="inlineStr">
        <is>
          <t>Föryngringsavverkning</t>
        </is>
      </c>
      <c r="D1751" s="1" t="n">
        <v>45911</v>
      </c>
      <c r="E1751" s="1" t="n">
        <v>46248</v>
      </c>
      <c r="F1751" t="inlineStr">
        <is>
          <t>BLEKINGE LÄN</t>
        </is>
      </c>
      <c r="G1751" t="inlineStr">
        <is>
          <t>KARLSHAMN</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16638-2025</t>
        </is>
      </c>
      <c r="B1752" t="inlineStr">
        <is>
          <t>avverkningsanmälan</t>
        </is>
      </c>
      <c r="C1752" t="inlineStr">
        <is>
          <t>Föryngringsavverkning</t>
        </is>
      </c>
      <c r="D1752" s="1" t="n">
        <v>45754</v>
      </c>
      <c r="E1752" s="1" t="n">
        <v>46248</v>
      </c>
      <c r="F1752" t="inlineStr">
        <is>
          <t>BLEKINGE LÄN</t>
        </is>
      </c>
      <c r="G1752" t="inlineStr">
        <is>
          <t>KARLSKRONA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46920-2024</t>
        </is>
      </c>
      <c r="B1753" t="inlineStr">
        <is>
          <t>avverkningsanmälan</t>
        </is>
      </c>
      <c r="C1753" t="inlineStr">
        <is>
          <t>Föryngringsavverkning</t>
        </is>
      </c>
      <c r="D1753" s="1" t="n">
        <v>45583</v>
      </c>
      <c r="E1753" s="1" t="n">
        <v>46248</v>
      </c>
      <c r="F1753" t="inlineStr">
        <is>
          <t>BLEKINGE LÄN</t>
        </is>
      </c>
      <c r="G1753" t="inlineStr">
        <is>
          <t>OLOFSTRÖM</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39564-2024</t>
        </is>
      </c>
      <c r="B1754" t="inlineStr">
        <is>
          <t>avverkningsanmälan</t>
        </is>
      </c>
      <c r="C1754" t="inlineStr">
        <is>
          <t>Föryngringsavverkning</t>
        </is>
      </c>
      <c r="D1754" s="1" t="n">
        <v>45551</v>
      </c>
      <c r="E1754" s="1" t="n">
        <v>46248</v>
      </c>
      <c r="F1754" t="inlineStr">
        <is>
          <t>BLEKINGE LÄN</t>
        </is>
      </c>
      <c r="G1754" t="inlineStr">
        <is>
          <t>RONNEBY</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6442-2024</t>
        </is>
      </c>
      <c r="B1755" t="inlineStr">
        <is>
          <t>avverkningsanmälan</t>
        </is>
      </c>
      <c r="C1755" t="inlineStr">
        <is>
          <t>Föryngringsavverkning</t>
        </is>
      </c>
      <c r="D1755" s="1" t="n">
        <v>45338</v>
      </c>
      <c r="E1755" s="1" t="n">
        <v>46248</v>
      </c>
      <c r="F1755" t="inlineStr">
        <is>
          <t>BLEKINGE LÄN</t>
        </is>
      </c>
      <c r="G1755" t="inlineStr">
        <is>
          <t>OLOFSTRÖM</t>
        </is>
      </c>
      <c r="H1755" t="inlineStr">
        <is>
          <t>Övriga Aktiebolag</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5218-2025</t>
        </is>
      </c>
      <c r="B1756" t="inlineStr">
        <is>
          <t>avverkningsanmälan</t>
        </is>
      </c>
      <c r="C1756" t="inlineStr">
        <is>
          <t>Föryngringsavverkning</t>
        </is>
      </c>
      <c r="D1756" s="1" t="n">
        <v>45691</v>
      </c>
      <c r="E1756" s="1" t="n">
        <v>46248</v>
      </c>
      <c r="F1756" t="inlineStr">
        <is>
          <t>BLEKINGE LÄN</t>
        </is>
      </c>
      <c r="G1756" t="inlineStr">
        <is>
          <t>KARLSKRONA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35694-2024</t>
        </is>
      </c>
      <c r="B1757" t="inlineStr">
        <is>
          <t>avverkningsanmälan</t>
        </is>
      </c>
      <c r="C1757" t="inlineStr">
        <is>
          <t>Föryngringsavverkning</t>
        </is>
      </c>
      <c r="D1757" s="1" t="n">
        <v>45532</v>
      </c>
      <c r="E1757" s="1" t="n">
        <v>46248</v>
      </c>
      <c r="F1757" t="inlineStr">
        <is>
          <t>BLEKINGE LÄN</t>
        </is>
      </c>
      <c r="G1757" t="inlineStr">
        <is>
          <t>KARLSKRONA</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64469-2023</t>
        </is>
      </c>
      <c r="B1758" t="inlineStr">
        <is>
          <t>avverkningsanmälan</t>
        </is>
      </c>
      <c r="C1758" t="inlineStr">
        <is>
          <t>Föryngringsavverkning</t>
        </is>
      </c>
      <c r="D1758" s="1" t="n">
        <v>45280</v>
      </c>
      <c r="E1758" s="1" t="n">
        <v>46248</v>
      </c>
      <c r="F1758" t="inlineStr">
        <is>
          <t>BLEKINGE LÄN</t>
        </is>
      </c>
      <c r="G1758" t="inlineStr">
        <is>
          <t>RONNEBY</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34903-2025</t>
        </is>
      </c>
      <c r="B1759" t="inlineStr">
        <is>
          <t>avverkningsanmälan</t>
        </is>
      </c>
      <c r="C1759" t="inlineStr">
        <is>
          <t>Föryngringsavverkning</t>
        </is>
      </c>
      <c r="D1759" s="1" t="n">
        <v>45849</v>
      </c>
      <c r="E1759" s="1" t="n">
        <v>46248</v>
      </c>
      <c r="F1759" t="inlineStr">
        <is>
          <t>BLEKINGE LÄN</t>
        </is>
      </c>
      <c r="G1759" t="inlineStr">
        <is>
          <t>OLOFSTRÖM</t>
        </is>
      </c>
      <c r="H1759" t="inlineStr">
        <is>
          <t>Övriga Aktiebolag</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6270-2025</t>
        </is>
      </c>
      <c r="B1760" t="inlineStr">
        <is>
          <t>avverkningsanmälan</t>
        </is>
      </c>
      <c r="C1760" t="inlineStr">
        <is>
          <t>Föryngringsavverkning</t>
        </is>
      </c>
      <c r="D1760" s="1" t="n">
        <v>45698</v>
      </c>
      <c r="E1760" s="1" t="n">
        <v>46248</v>
      </c>
      <c r="F1760" t="inlineStr">
        <is>
          <t>BLEKINGE LÄN</t>
        </is>
      </c>
      <c r="G1760" t="inlineStr">
        <is>
          <t>OLOFSTRÖM</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12827-2024</t>
        </is>
      </c>
      <c r="B1761" t="inlineStr">
        <is>
          <t>avverkningsanmälan</t>
        </is>
      </c>
      <c r="C1761" t="inlineStr">
        <is>
          <t>Föryngringsavverkning</t>
        </is>
      </c>
      <c r="D1761" s="1" t="n">
        <v>45384</v>
      </c>
      <c r="E1761" s="1" t="n">
        <v>46248</v>
      </c>
      <c r="F1761" t="inlineStr">
        <is>
          <t>BLEKINGE LÄN</t>
        </is>
      </c>
      <c r="G1761" t="inlineStr">
        <is>
          <t>KARLSKRONA</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43291-2025</t>
        </is>
      </c>
      <c r="B1762" t="inlineStr">
        <is>
          <t>avverkningsanmälan</t>
        </is>
      </c>
      <c r="C1762" t="inlineStr">
        <is>
          <t>Avverkning för annat ändamål</t>
        </is>
      </c>
      <c r="D1762" s="1" t="n">
        <v>45910</v>
      </c>
      <c r="E1762" s="1" t="n">
        <v>46248</v>
      </c>
      <c r="F1762" t="inlineStr">
        <is>
          <t>BLEKINGE LÄN</t>
        </is>
      </c>
      <c r="G1762" t="inlineStr">
        <is>
          <t>RONNEBY</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12788-2025</t>
        </is>
      </c>
      <c r="B1763" t="inlineStr">
        <is>
          <t>avverkningsanmälan</t>
        </is>
      </c>
      <c r="C1763" t="inlineStr">
        <is>
          <t>Föryngringsavverkning</t>
        </is>
      </c>
      <c r="D1763" s="1" t="n">
        <v>45733</v>
      </c>
      <c r="E1763" s="1" t="n">
        <v>46248</v>
      </c>
      <c r="F1763" t="inlineStr">
        <is>
          <t>BLEKINGE LÄN</t>
        </is>
      </c>
      <c r="G1763" t="inlineStr">
        <is>
          <t>OLOFSTRÖM</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37415-2024</t>
        </is>
      </c>
      <c r="B1764" t="inlineStr">
        <is>
          <t>avverkningsanmälan</t>
        </is>
      </c>
      <c r="C1764" t="inlineStr">
        <is>
          <t>Föryngringsavverkning</t>
        </is>
      </c>
      <c r="D1764" s="1" t="n">
        <v>45540</v>
      </c>
      <c r="E1764" s="1" t="n">
        <v>46248</v>
      </c>
      <c r="F1764" t="inlineStr">
        <is>
          <t>BLEKINGE LÄN</t>
        </is>
      </c>
      <c r="G1764" t="inlineStr">
        <is>
          <t>KARLSKRONA</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26602-2025</t>
        </is>
      </c>
      <c r="B1765" t="inlineStr">
        <is>
          <t>avverkningsanmälan</t>
        </is>
      </c>
      <c r="C1765" t="inlineStr">
        <is>
          <t>Föryngringsavverkning</t>
        </is>
      </c>
      <c r="D1765" s="1" t="n">
        <v>45809</v>
      </c>
      <c r="E1765" s="1" t="n">
        <v>46248</v>
      </c>
      <c r="F1765" t="inlineStr">
        <is>
          <t>BLEKINGE LÄN</t>
        </is>
      </c>
      <c r="G1765" t="inlineStr">
        <is>
          <t>KARLSKRONA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33535-2025</t>
        </is>
      </c>
      <c r="B1766" t="inlineStr">
        <is>
          <t>avverkningsanmälan</t>
        </is>
      </c>
      <c r="C1766" t="inlineStr">
        <is>
          <t>Avverkning för annat ändamål</t>
        </is>
      </c>
      <c r="D1766" s="1" t="n">
        <v>45841</v>
      </c>
      <c r="E1766" s="1" t="n">
        <v>46248</v>
      </c>
      <c r="F1766" t="inlineStr">
        <is>
          <t>BLEKINGE LÄN</t>
        </is>
      </c>
      <c r="G1766" t="inlineStr">
        <is>
          <t>RONNEBY</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18192-2026</t>
        </is>
      </c>
      <c r="B1767" t="inlineStr">
        <is>
          <t>avverkningsanmälan</t>
        </is>
      </c>
      <c r="C1767" t="inlineStr">
        <is>
          <t>Föryngringsavverkning</t>
        </is>
      </c>
      <c r="D1767" s="1" t="n">
        <v>46125</v>
      </c>
      <c r="E1767" s="1" t="n">
        <v>46248</v>
      </c>
      <c r="F1767" t="inlineStr">
        <is>
          <t>BLEKINGE LÄN</t>
        </is>
      </c>
      <c r="G1767" t="inlineStr">
        <is>
          <t>KARLSKRONA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22800-2026</t>
        </is>
      </c>
      <c r="B1768" t="inlineStr">
        <is>
          <t>avverkningsanmälan</t>
        </is>
      </c>
      <c r="C1768" t="inlineStr">
        <is>
          <t>Föryngringsavverkning</t>
        </is>
      </c>
      <c r="D1768" s="1" t="n">
        <v>46158</v>
      </c>
      <c r="E1768" s="1" t="n">
        <v>46248</v>
      </c>
      <c r="F1768" t="inlineStr">
        <is>
          <t>BLEKINGE LÄN</t>
        </is>
      </c>
      <c r="G1768" t="inlineStr">
        <is>
          <t>KARLSKRONA</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23055-2026</t>
        </is>
      </c>
      <c r="B1769" t="inlineStr">
        <is>
          <t>avverkningsanmälan</t>
        </is>
      </c>
      <c r="C1769" t="inlineStr">
        <is>
          <t>Föryngringsavverkning</t>
        </is>
      </c>
      <c r="D1769" s="1" t="n">
        <v>46161</v>
      </c>
      <c r="E1769" s="1" t="n">
        <v>46248</v>
      </c>
      <c r="F1769" t="inlineStr">
        <is>
          <t>BLEKINGE LÄN</t>
        </is>
      </c>
      <c r="G1769" t="inlineStr">
        <is>
          <t>KARLSHAMN</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6470-2025</t>
        </is>
      </c>
      <c r="B1770" t="inlineStr">
        <is>
          <t>avverkningsanmälan</t>
        </is>
      </c>
      <c r="C1770" t="inlineStr">
        <is>
          <t>Föryngringsavverkning</t>
        </is>
      </c>
      <c r="D1770" s="1" t="n">
        <v>45699</v>
      </c>
      <c r="E1770" s="1" t="n">
        <v>46248</v>
      </c>
      <c r="F1770" t="inlineStr">
        <is>
          <t>BLEKINGE LÄN</t>
        </is>
      </c>
      <c r="G1770" t="inlineStr">
        <is>
          <t>KARLSKRONA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44229-2025</t>
        </is>
      </c>
      <c r="B1771" t="inlineStr">
        <is>
          <t>avverkningsanmälan</t>
        </is>
      </c>
      <c r="C1771" t="inlineStr">
        <is>
          <t>Föryngringsavverkning</t>
        </is>
      </c>
      <c r="D1771" s="1" t="n">
        <v>45915</v>
      </c>
      <c r="E1771" s="1" t="n">
        <v>46248</v>
      </c>
      <c r="F1771" t="inlineStr">
        <is>
          <t>BLEKINGE LÄN</t>
        </is>
      </c>
      <c r="G1771" t="inlineStr">
        <is>
          <t>RONNEBY</t>
        </is>
      </c>
      <c r="H1771" t="inlineStr">
        <is>
          <t>Övriga Aktiebolag</t>
        </is>
      </c>
      <c r="I1771" t="n">
        <v>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26603-2025</t>
        </is>
      </c>
      <c r="B1772" t="inlineStr">
        <is>
          <t>avverkningsanmälan</t>
        </is>
      </c>
      <c r="C1772" t="inlineStr">
        <is>
          <t>Föryngringsavverkning</t>
        </is>
      </c>
      <c r="D1772" s="1" t="n">
        <v>45809</v>
      </c>
      <c r="E1772" s="1" t="n">
        <v>46248</v>
      </c>
      <c r="F1772" t="inlineStr">
        <is>
          <t>BLEKINGE LÄN</t>
        </is>
      </c>
      <c r="G1772" t="inlineStr">
        <is>
          <t>KARLSKRONA</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44232-2025</t>
        </is>
      </c>
      <c r="B1773" t="inlineStr">
        <is>
          <t>avverkningsanmälan</t>
        </is>
      </c>
      <c r="C1773" t="inlineStr">
        <is>
          <t>Föryngringsavverkning</t>
        </is>
      </c>
      <c r="D1773" s="1" t="n">
        <v>45915</v>
      </c>
      <c r="E1773" s="1" t="n">
        <v>46248</v>
      </c>
      <c r="F1773" t="inlineStr">
        <is>
          <t>BLEKINGE LÄN</t>
        </is>
      </c>
      <c r="G1773" t="inlineStr">
        <is>
          <t>RONNEBY</t>
        </is>
      </c>
      <c r="H1773" t="inlineStr">
        <is>
          <t>Övriga Aktiebolag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22796-2026</t>
        </is>
      </c>
      <c r="B1774" t="inlineStr">
        <is>
          <t>avverkningsanmälan</t>
        </is>
      </c>
      <c r="C1774" t="inlineStr">
        <is>
          <t>Föryngringsavverkning</t>
        </is>
      </c>
      <c r="D1774" s="1" t="n">
        <v>46158</v>
      </c>
      <c r="E1774" s="1" t="n">
        <v>46248</v>
      </c>
      <c r="F1774" t="inlineStr">
        <is>
          <t>BLEKINGE LÄN</t>
        </is>
      </c>
      <c r="G1774" t="inlineStr">
        <is>
          <t>KARLSKRONA</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22798-2026</t>
        </is>
      </c>
      <c r="B1775" t="inlineStr">
        <is>
          <t>avverkningsanmälan</t>
        </is>
      </c>
      <c r="C1775" t="inlineStr">
        <is>
          <t>Föryngringsavverkning</t>
        </is>
      </c>
      <c r="D1775" s="1" t="n">
        <v>46158</v>
      </c>
      <c r="E1775" s="1" t="n">
        <v>46248</v>
      </c>
      <c r="F1775" t="inlineStr">
        <is>
          <t>BLEKINGE LÄN</t>
        </is>
      </c>
      <c r="G1775" t="inlineStr">
        <is>
          <t>KARLSKRONA</t>
        </is>
      </c>
      <c r="I1775" t="n">
        <v>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22801-2026</t>
        </is>
      </c>
      <c r="B1776" t="inlineStr">
        <is>
          <t>avverkningsanmälan</t>
        </is>
      </c>
      <c r="C1776" t="inlineStr">
        <is>
          <t>Föryngringsavverkning</t>
        </is>
      </c>
      <c r="D1776" s="1" t="n">
        <v>46158</v>
      </c>
      <c r="E1776" s="1" t="n">
        <v>46248</v>
      </c>
      <c r="F1776" t="inlineStr">
        <is>
          <t>BLEKINGE LÄN</t>
        </is>
      </c>
      <c r="G1776" t="inlineStr">
        <is>
          <t>KARLSKRONA</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22802-2026</t>
        </is>
      </c>
      <c r="B1777" t="inlineStr">
        <is>
          <t>avverkningsanmälan</t>
        </is>
      </c>
      <c r="C1777" t="inlineStr">
        <is>
          <t>Föryngringsavverkning</t>
        </is>
      </c>
      <c r="D1777" s="1" t="n">
        <v>46158</v>
      </c>
      <c r="E1777" s="1" t="n">
        <v>46248</v>
      </c>
      <c r="F1777" t="inlineStr">
        <is>
          <t>BLEKINGE LÄN</t>
        </is>
      </c>
      <c r="G1777" t="inlineStr">
        <is>
          <t>KARLSKRONA</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19660-2025</t>
        </is>
      </c>
      <c r="B1778" t="inlineStr">
        <is>
          <t>avverkningsanmälan</t>
        </is>
      </c>
      <c r="C1778" t="inlineStr">
        <is>
          <t>Föryngringsavverkning</t>
        </is>
      </c>
      <c r="D1778" s="1" t="n">
        <v>45770</v>
      </c>
      <c r="E1778" s="1" t="n">
        <v>46248</v>
      </c>
      <c r="F1778" t="inlineStr">
        <is>
          <t>BLEKINGE LÄN</t>
        </is>
      </c>
      <c r="G1778" t="inlineStr">
        <is>
          <t>KARLSHAMN</t>
        </is>
      </c>
      <c r="I1778" t="n">
        <v>7.1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61346-2024</t>
        </is>
      </c>
      <c r="B1779" t="inlineStr">
        <is>
          <t>avverkningsanmälan</t>
        </is>
      </c>
      <c r="C1779" t="inlineStr">
        <is>
          <t>Föryngringsavverkning</t>
        </is>
      </c>
      <c r="D1779" s="1" t="n">
        <v>45646</v>
      </c>
      <c r="E1779" s="1" t="n">
        <v>46248</v>
      </c>
      <c r="F1779" t="inlineStr">
        <is>
          <t>BLEKINGE LÄN</t>
        </is>
      </c>
      <c r="G1779" t="inlineStr">
        <is>
          <t>RONNEBY</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22799-2026</t>
        </is>
      </c>
      <c r="B1780" t="inlineStr">
        <is>
          <t>avverkningsanmälan</t>
        </is>
      </c>
      <c r="C1780" t="inlineStr">
        <is>
          <t>Föryngringsavverkning</t>
        </is>
      </c>
      <c r="D1780" s="1" t="n">
        <v>46158</v>
      </c>
      <c r="E1780" s="1" t="n">
        <v>46248</v>
      </c>
      <c r="F1780" t="inlineStr">
        <is>
          <t>BLEKINGE LÄN</t>
        </is>
      </c>
      <c r="G1780" t="inlineStr">
        <is>
          <t>KARLSKRONA</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35097-2025</t>
        </is>
      </c>
      <c r="B1781" t="inlineStr">
        <is>
          <t>avverkningsanmälan</t>
        </is>
      </c>
      <c r="C1781" t="inlineStr">
        <is>
          <t>Föryngringsavverkning</t>
        </is>
      </c>
      <c r="D1781" s="1" t="n">
        <v>45852</v>
      </c>
      <c r="E1781" s="1" t="n">
        <v>46248</v>
      </c>
      <c r="F1781" t="inlineStr">
        <is>
          <t>BLEKINGE LÄN</t>
        </is>
      </c>
      <c r="G1781" t="inlineStr">
        <is>
          <t>OLOFSTRÖM</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44231-2025</t>
        </is>
      </c>
      <c r="B1782" t="inlineStr">
        <is>
          <t>avverkningsanmälan</t>
        </is>
      </c>
      <c r="C1782" t="inlineStr">
        <is>
          <t>Föryngringsavverkning</t>
        </is>
      </c>
      <c r="D1782" s="1" t="n">
        <v>45915</v>
      </c>
      <c r="E1782" s="1" t="n">
        <v>46248</v>
      </c>
      <c r="F1782" t="inlineStr">
        <is>
          <t>BLEKINGE LÄN</t>
        </is>
      </c>
      <c r="G1782" t="inlineStr">
        <is>
          <t>RONNEBY</t>
        </is>
      </c>
      <c r="H1782" t="inlineStr">
        <is>
          <t>Övriga Aktiebolag</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2721-2026</t>
        </is>
      </c>
      <c r="B1783" t="inlineStr">
        <is>
          <t>avverkningsanmälan</t>
        </is>
      </c>
      <c r="C1783" t="inlineStr">
        <is>
          <t>Föryngringsavverkning</t>
        </is>
      </c>
      <c r="D1783" s="1" t="n">
        <v>46037</v>
      </c>
      <c r="E1783" s="1" t="n">
        <v>46248</v>
      </c>
      <c r="F1783" t="inlineStr">
        <is>
          <t>BLEKINGE LÄN</t>
        </is>
      </c>
      <c r="G1783" t="inlineStr">
        <is>
          <t>KARLSKRONA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32436-2025</t>
        </is>
      </c>
      <c r="B1784" t="inlineStr">
        <is>
          <t>avverkningsanmälan</t>
        </is>
      </c>
      <c r="C1784" t="inlineStr">
        <is>
          <t>Föryngringsavverkning</t>
        </is>
      </c>
      <c r="D1784" s="1" t="n">
        <v>45838</v>
      </c>
      <c r="E1784" s="1" t="n">
        <v>46248</v>
      </c>
      <c r="F1784" t="inlineStr">
        <is>
          <t>BLEKINGE LÄN</t>
        </is>
      </c>
      <c r="G1784" t="inlineStr">
        <is>
          <t>SÖLVESBORG</t>
        </is>
      </c>
      <c r="I1784" t="n">
        <v>6.3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44225-2025</t>
        </is>
      </c>
      <c r="B1785" t="inlineStr">
        <is>
          <t>avverkningsanmälan</t>
        </is>
      </c>
      <c r="C1785" t="inlineStr">
        <is>
          <t>Föryngringsavverkning</t>
        </is>
      </c>
      <c r="D1785" s="1" t="n">
        <v>45915</v>
      </c>
      <c r="E1785" s="1" t="n">
        <v>46248</v>
      </c>
      <c r="F1785" t="inlineStr">
        <is>
          <t>BLEKINGE LÄN</t>
        </is>
      </c>
      <c r="G1785" t="inlineStr">
        <is>
          <t>RONNEBY</t>
        </is>
      </c>
      <c r="H1785" t="inlineStr">
        <is>
          <t>Övriga Aktiebolag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44213-2025</t>
        </is>
      </c>
      <c r="B1786" t="inlineStr">
        <is>
          <t>avverkningsanmälan</t>
        </is>
      </c>
      <c r="C1786" t="inlineStr">
        <is>
          <t>Föryngringsavverkning</t>
        </is>
      </c>
      <c r="D1786" s="1" t="n">
        <v>45915</v>
      </c>
      <c r="E1786" s="1" t="n">
        <v>46248</v>
      </c>
      <c r="F1786" t="inlineStr">
        <is>
          <t>BLEKINGE LÄN</t>
        </is>
      </c>
      <c r="G1786" t="inlineStr">
        <is>
          <t>RONNEBY</t>
        </is>
      </c>
      <c r="H1786" t="inlineStr">
        <is>
          <t>Övriga Aktiebolag</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44218-2025</t>
        </is>
      </c>
      <c r="B1787" t="inlineStr">
        <is>
          <t>avverkningsanmälan</t>
        </is>
      </c>
      <c r="C1787" t="inlineStr">
        <is>
          <t>Föryngringsavverkning</t>
        </is>
      </c>
      <c r="D1787" s="1" t="n">
        <v>45915</v>
      </c>
      <c r="E1787" s="1" t="n">
        <v>46248</v>
      </c>
      <c r="F1787" t="inlineStr">
        <is>
          <t>BLEKINGE LÄN</t>
        </is>
      </c>
      <c r="G1787" t="inlineStr">
        <is>
          <t>RONNEBY</t>
        </is>
      </c>
      <c r="H1787" t="inlineStr">
        <is>
          <t>Övriga Aktiebolag</t>
        </is>
      </c>
      <c r="I1787" t="n">
        <v>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23383-2025</t>
        </is>
      </c>
      <c r="B1788" t="inlineStr">
        <is>
          <t>avverkningsanmälan</t>
        </is>
      </c>
      <c r="C1788" t="inlineStr">
        <is>
          <t>Föryngringsavverkning</t>
        </is>
      </c>
      <c r="D1788" s="1" t="n">
        <v>45791</v>
      </c>
      <c r="E1788" s="1" t="n">
        <v>46248</v>
      </c>
      <c r="F1788" t="inlineStr">
        <is>
          <t>BLEKINGE LÄN</t>
        </is>
      </c>
      <c r="G1788" t="inlineStr">
        <is>
          <t>RONNEBY</t>
        </is>
      </c>
      <c r="H1788" t="inlineStr">
        <is>
          <t>Övriga Aktiebolag</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44577-2025</t>
        </is>
      </c>
      <c r="B1789" t="inlineStr">
        <is>
          <t>avverkningsanmälan</t>
        </is>
      </c>
      <c r="C1789" t="inlineStr">
        <is>
          <t>Föryngringsavverkning</t>
        </is>
      </c>
      <c r="D1789" s="1" t="n">
        <v>45917</v>
      </c>
      <c r="E1789" s="1" t="n">
        <v>46248</v>
      </c>
      <c r="F1789" t="inlineStr">
        <is>
          <t>BLEKINGE LÄN</t>
        </is>
      </c>
      <c r="G1789" t="inlineStr">
        <is>
          <t>KARLSKRONA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7194-2026</t>
        </is>
      </c>
      <c r="B1790" t="inlineStr">
        <is>
          <t>avverkningsanmälan</t>
        </is>
      </c>
      <c r="C1790" t="inlineStr">
        <is>
          <t>Föryngringsavverkning</t>
        </is>
      </c>
      <c r="D1790" s="1" t="n">
        <v>46058</v>
      </c>
      <c r="E1790" s="1" t="n">
        <v>46248</v>
      </c>
      <c r="F1790" t="inlineStr">
        <is>
          <t>BLEKINGE LÄN</t>
        </is>
      </c>
      <c r="G1790" t="inlineStr">
        <is>
          <t>KARLSKRONA</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44493-2025</t>
        </is>
      </c>
      <c r="B1791" t="inlineStr">
        <is>
          <t>avverkningsanmälan</t>
        </is>
      </c>
      <c r="C1791" t="inlineStr">
        <is>
          <t>Föryngringsavverkning</t>
        </is>
      </c>
      <c r="D1791" s="1" t="n">
        <v>45916</v>
      </c>
      <c r="E1791" s="1" t="n">
        <v>46248</v>
      </c>
      <c r="F1791" t="inlineStr">
        <is>
          <t>BLEKINGE LÄN</t>
        </is>
      </c>
      <c r="G1791" t="inlineStr">
        <is>
          <t>SÖLVESBORG</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44495-2025</t>
        </is>
      </c>
      <c r="B1792" t="inlineStr">
        <is>
          <t>avverkningsanmälan</t>
        </is>
      </c>
      <c r="C1792" t="inlineStr">
        <is>
          <t>Föryngringsavverkning</t>
        </is>
      </c>
      <c r="D1792" s="1" t="n">
        <v>45916</v>
      </c>
      <c r="E1792" s="1" t="n">
        <v>46248</v>
      </c>
      <c r="F1792" t="inlineStr">
        <is>
          <t>BLEKINGE LÄN</t>
        </is>
      </c>
      <c r="G1792" t="inlineStr">
        <is>
          <t>SÖLVESBORG</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23382-2026</t>
        </is>
      </c>
      <c r="B1793" t="inlineStr">
        <is>
          <t>avverkningsanmälan</t>
        </is>
      </c>
      <c r="C1793" t="inlineStr">
        <is>
          <t>Föryngringsavverkning</t>
        </is>
      </c>
      <c r="D1793" s="1" t="n">
        <v>46162</v>
      </c>
      <c r="E1793" s="1" t="n">
        <v>46248</v>
      </c>
      <c r="F1793" t="inlineStr">
        <is>
          <t>BLEKINGE LÄN</t>
        </is>
      </c>
      <c r="G1793" t="inlineStr">
        <is>
          <t>RONNEBY</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44827-2025</t>
        </is>
      </c>
      <c r="B1794" t="inlineStr">
        <is>
          <t>avverkningsanmälan</t>
        </is>
      </c>
      <c r="C1794" t="inlineStr">
        <is>
          <t>Föryngringsavverkning</t>
        </is>
      </c>
      <c r="D1794" s="1" t="n">
        <v>45918</v>
      </c>
      <c r="E1794" s="1" t="n">
        <v>46248</v>
      </c>
      <c r="F1794" t="inlineStr">
        <is>
          <t>BLEKINGE LÄN</t>
        </is>
      </c>
      <c r="G1794" t="inlineStr">
        <is>
          <t>RONNEBY</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44989-2025</t>
        </is>
      </c>
      <c r="B1795" t="inlineStr">
        <is>
          <t>avverkningsanmälan</t>
        </is>
      </c>
      <c r="C1795" t="inlineStr">
        <is>
          <t>Föryngringsavverkning</t>
        </is>
      </c>
      <c r="D1795" s="1" t="n">
        <v>45918</v>
      </c>
      <c r="E1795" s="1" t="n">
        <v>46248</v>
      </c>
      <c r="F1795" t="inlineStr">
        <is>
          <t>BLEKINGE LÄN</t>
        </is>
      </c>
      <c r="G1795" t="inlineStr">
        <is>
          <t>KARLSKRONA</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44967-2025</t>
        </is>
      </c>
      <c r="B1796" t="inlineStr">
        <is>
          <t>avverkningsanmälan</t>
        </is>
      </c>
      <c r="C1796" t="inlineStr">
        <is>
          <t>Föryngringsavverkning</t>
        </is>
      </c>
      <c r="D1796" s="1" t="n">
        <v>45918</v>
      </c>
      <c r="E1796" s="1" t="n">
        <v>46248</v>
      </c>
      <c r="F1796" t="inlineStr">
        <is>
          <t>BLEKINGE LÄN</t>
        </is>
      </c>
      <c r="G1796" t="inlineStr">
        <is>
          <t>RONNEBY</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23237-2026</t>
        </is>
      </c>
      <c r="B1797" t="inlineStr">
        <is>
          <t>avverkningsanmälan</t>
        </is>
      </c>
      <c r="C1797" t="inlineStr">
        <is>
          <t>Föryngringsavverkning</t>
        </is>
      </c>
      <c r="D1797" s="1" t="n">
        <v>46162</v>
      </c>
      <c r="E1797" s="1" t="n">
        <v>46248</v>
      </c>
      <c r="F1797" t="inlineStr">
        <is>
          <t>BLEKINGE LÄN</t>
        </is>
      </c>
      <c r="G1797" t="inlineStr">
        <is>
          <t>KARLSKRONA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44953-2025</t>
        </is>
      </c>
      <c r="B1798" t="inlineStr">
        <is>
          <t>avverkningsanmälan</t>
        </is>
      </c>
      <c r="C1798" t="inlineStr">
        <is>
          <t>Föryngringsavverkning</t>
        </is>
      </c>
      <c r="D1798" s="1" t="n">
        <v>45918</v>
      </c>
      <c r="E1798" s="1" t="n">
        <v>46248</v>
      </c>
      <c r="F1798" t="inlineStr">
        <is>
          <t>BLEKINGE LÄN</t>
        </is>
      </c>
      <c r="G1798" t="inlineStr">
        <is>
          <t>KARLSHAMN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43606-2022</t>
        </is>
      </c>
      <c r="B1799" t="inlineStr">
        <is>
          <t>avverkningsanmälan</t>
        </is>
      </c>
      <c r="C1799" t="inlineStr">
        <is>
          <t>Föryngringsavverkning</t>
        </is>
      </c>
      <c r="D1799" s="1" t="n">
        <v>44837</v>
      </c>
      <c r="E1799" s="1" t="n">
        <v>46248</v>
      </c>
      <c r="F1799" t="inlineStr">
        <is>
          <t>BLEKINGE LÄN</t>
        </is>
      </c>
      <c r="G1799" t="inlineStr">
        <is>
          <t>KARLSKRONA</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44549-2025</t>
        </is>
      </c>
      <c r="B1800" t="inlineStr">
        <is>
          <t>avverkningsanmälan</t>
        </is>
      </c>
      <c r="C1800" t="inlineStr">
        <is>
          <t>Föryngringsavverkning</t>
        </is>
      </c>
      <c r="D1800" s="1" t="n">
        <v>45917</v>
      </c>
      <c r="E1800" s="1" t="n">
        <v>46248</v>
      </c>
      <c r="F1800" t="inlineStr">
        <is>
          <t>BLEKINGE LÄN</t>
        </is>
      </c>
      <c r="G1800" t="inlineStr">
        <is>
          <t>KARLSKRONA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45770-2025</t>
        </is>
      </c>
      <c r="B1801" t="inlineStr">
        <is>
          <t>avverkningsanmälan</t>
        </is>
      </c>
      <c r="C1801" t="inlineStr">
        <is>
          <t>Föryngringsavverkning</t>
        </is>
      </c>
      <c r="D1801" s="1" t="n">
        <v>45923</v>
      </c>
      <c r="E1801" s="1" t="n">
        <v>46248</v>
      </c>
      <c r="F1801" t="inlineStr">
        <is>
          <t>BLEKINGE LÄN</t>
        </is>
      </c>
      <c r="G1801" t="inlineStr">
        <is>
          <t>KARLSKRONA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23376-2026</t>
        </is>
      </c>
      <c r="B1802" t="inlineStr">
        <is>
          <t>avverkningsanmälan</t>
        </is>
      </c>
      <c r="C1802" t="inlineStr">
        <is>
          <t>Föryngringsavverkning</t>
        </is>
      </c>
      <c r="D1802" s="1" t="n">
        <v>46162</v>
      </c>
      <c r="E1802" s="1" t="n">
        <v>46248</v>
      </c>
      <c r="F1802" t="inlineStr">
        <is>
          <t>BLEKINGE LÄN</t>
        </is>
      </c>
      <c r="G1802" t="inlineStr">
        <is>
          <t>KARLSKRONA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23501-2026</t>
        </is>
      </c>
      <c r="B1803" t="inlineStr">
        <is>
          <t>avverkningsanmälan</t>
        </is>
      </c>
      <c r="C1803" t="inlineStr">
        <is>
          <t>Föryngringsavverkning</t>
        </is>
      </c>
      <c r="D1803" s="1" t="n">
        <v>46163</v>
      </c>
      <c r="E1803" s="1" t="n">
        <v>46248</v>
      </c>
      <c r="F1803" t="inlineStr">
        <is>
          <t>BLEKINGE LÄN</t>
        </is>
      </c>
      <c r="G1803" t="inlineStr">
        <is>
          <t>KARLSKRONA</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45724-2025</t>
        </is>
      </c>
      <c r="B1804" t="inlineStr">
        <is>
          <t>avverkningsanmälan</t>
        </is>
      </c>
      <c r="C1804" t="inlineStr">
        <is>
          <t>Föryngringsavverkning</t>
        </is>
      </c>
      <c r="D1804" s="1" t="n">
        <v>45923</v>
      </c>
      <c r="E1804" s="1" t="n">
        <v>46248</v>
      </c>
      <c r="F1804" t="inlineStr">
        <is>
          <t>BLEKINGE LÄN</t>
        </is>
      </c>
      <c r="G1804" t="inlineStr">
        <is>
          <t>RONNEBY</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23385-2026</t>
        </is>
      </c>
      <c r="B1805" t="inlineStr">
        <is>
          <t>avverkningsanmälan</t>
        </is>
      </c>
      <c r="C1805" t="inlineStr">
        <is>
          <t>Föryngringsavverkning</t>
        </is>
      </c>
      <c r="D1805" s="1" t="n">
        <v>46162</v>
      </c>
      <c r="E1805" s="1" t="n">
        <v>46248</v>
      </c>
      <c r="F1805" t="inlineStr">
        <is>
          <t>BLEKINGE LÄN</t>
        </is>
      </c>
      <c r="G1805" t="inlineStr">
        <is>
          <t>RONNEBY</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45687-2025</t>
        </is>
      </c>
      <c r="B1806" t="inlineStr">
        <is>
          <t>avverkningsanmälan</t>
        </is>
      </c>
      <c r="C1806" t="inlineStr">
        <is>
          <t>Föryngringsavverkning</t>
        </is>
      </c>
      <c r="D1806" s="1" t="n">
        <v>45923</v>
      </c>
      <c r="E1806" s="1" t="n">
        <v>46248</v>
      </c>
      <c r="F1806" t="inlineStr">
        <is>
          <t>BLEKINGE LÄN</t>
        </is>
      </c>
      <c r="G1806" t="inlineStr">
        <is>
          <t>KARLSKRONA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45718-2025</t>
        </is>
      </c>
      <c r="B1807" t="inlineStr">
        <is>
          <t>avverkningsanmälan</t>
        </is>
      </c>
      <c r="C1807" t="inlineStr">
        <is>
          <t>Föryngringsavverkning</t>
        </is>
      </c>
      <c r="D1807" s="1" t="n">
        <v>45923</v>
      </c>
      <c r="E1807" s="1" t="n">
        <v>46248</v>
      </c>
      <c r="F1807" t="inlineStr">
        <is>
          <t>BLEKINGE LÄN</t>
        </is>
      </c>
      <c r="G1807" t="inlineStr">
        <is>
          <t>KARLSKRONA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24267-2025</t>
        </is>
      </c>
      <c r="B1808" t="inlineStr">
        <is>
          <t>avverkningsanmälan</t>
        </is>
      </c>
      <c r="C1808" t="inlineStr">
        <is>
          <t>Föryngringsavverkning</t>
        </is>
      </c>
      <c r="D1808" s="1" t="n">
        <v>45797</v>
      </c>
      <c r="E1808" s="1" t="n">
        <v>46248</v>
      </c>
      <c r="F1808" t="inlineStr">
        <is>
          <t>BLEKINGE LÄN</t>
        </is>
      </c>
      <c r="G1808" t="inlineStr">
        <is>
          <t>KARLSKRONA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24269-2025</t>
        </is>
      </c>
      <c r="B1809" t="inlineStr">
        <is>
          <t>avverkningsanmälan</t>
        </is>
      </c>
      <c r="C1809" t="inlineStr">
        <is>
          <t>Föryngringsavverkning</t>
        </is>
      </c>
      <c r="D1809" s="1" t="n">
        <v>45797</v>
      </c>
      <c r="E1809" s="1" t="n">
        <v>46248</v>
      </c>
      <c r="F1809" t="inlineStr">
        <is>
          <t>BLEKINGE LÄN</t>
        </is>
      </c>
      <c r="G1809" t="inlineStr">
        <is>
          <t>KARLSKRONA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24253-2025</t>
        </is>
      </c>
      <c r="B1810" t="inlineStr">
        <is>
          <t>avverkningsanmälan</t>
        </is>
      </c>
      <c r="C1810" t="inlineStr">
        <is>
          <t>Föryngringsavverkning</t>
        </is>
      </c>
      <c r="D1810" s="1" t="n">
        <v>45796</v>
      </c>
      <c r="E1810" s="1" t="n">
        <v>46248</v>
      </c>
      <c r="F1810" t="inlineStr">
        <is>
          <t>BLEKINGE LÄN</t>
        </is>
      </c>
      <c r="G1810" t="inlineStr">
        <is>
          <t>OLOFSTRÖM</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24051-2025</t>
        </is>
      </c>
      <c r="B1811" t="inlineStr">
        <is>
          <t>avverkningsanmälan</t>
        </is>
      </c>
      <c r="C1811" t="inlineStr">
        <is>
          <t>Föryngringsavverkning</t>
        </is>
      </c>
      <c r="D1811" s="1" t="n">
        <v>45796</v>
      </c>
      <c r="E1811" s="1" t="n">
        <v>46248</v>
      </c>
      <c r="F1811" t="inlineStr">
        <is>
          <t>BLEKINGE LÄN</t>
        </is>
      </c>
      <c r="G1811" t="inlineStr">
        <is>
          <t>KARLSHAMN</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23250-2026</t>
        </is>
      </c>
      <c r="B1812" t="inlineStr">
        <is>
          <t>avverkningsanmälan</t>
        </is>
      </c>
      <c r="C1812" t="inlineStr">
        <is>
          <t>Föryngringsavverkning</t>
        </is>
      </c>
      <c r="D1812" s="1" t="n">
        <v>46162</v>
      </c>
      <c r="E1812" s="1" t="n">
        <v>46248</v>
      </c>
      <c r="F1812" t="inlineStr">
        <is>
          <t>BLEKINGE LÄN</t>
        </is>
      </c>
      <c r="G1812" t="inlineStr">
        <is>
          <t>KARLSKRONA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23380-2026</t>
        </is>
      </c>
      <c r="B1813" t="inlineStr">
        <is>
          <t>avverkningsanmälan</t>
        </is>
      </c>
      <c r="C1813" t="inlineStr">
        <is>
          <t>Föryngringsavverkning</t>
        </is>
      </c>
      <c r="D1813" s="1" t="n">
        <v>46162</v>
      </c>
      <c r="E1813" s="1" t="n">
        <v>46248</v>
      </c>
      <c r="F1813" t="inlineStr">
        <is>
          <t>BLEKINGE LÄN</t>
        </is>
      </c>
      <c r="G1813" t="inlineStr">
        <is>
          <t>RONNEBY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24030-2025</t>
        </is>
      </c>
      <c r="B1814" t="inlineStr">
        <is>
          <t>avverkningsanmälan</t>
        </is>
      </c>
      <c r="C1814" t="inlineStr">
        <is>
          <t>Föryngringsavverkning</t>
        </is>
      </c>
      <c r="D1814" s="1" t="n">
        <v>45796</v>
      </c>
      <c r="E1814" s="1" t="n">
        <v>46248</v>
      </c>
      <c r="F1814" t="inlineStr">
        <is>
          <t>BLEKINGE LÄN</t>
        </is>
      </c>
      <c r="G1814" t="inlineStr">
        <is>
          <t>KARLSKRONA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46299-2025</t>
        </is>
      </c>
      <c r="B1815" t="inlineStr">
        <is>
          <t>avverkningsanmälan</t>
        </is>
      </c>
      <c r="C1815" t="inlineStr">
        <is>
          <t>Föryngringsavverkning</t>
        </is>
      </c>
      <c r="D1815" s="1" t="n">
        <v>45925</v>
      </c>
      <c r="E1815" s="1" t="n">
        <v>46248</v>
      </c>
      <c r="F1815" t="inlineStr">
        <is>
          <t>BLEKINGE LÄN</t>
        </is>
      </c>
      <c r="G1815" t="inlineStr">
        <is>
          <t>RONNEBY</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46315-2025</t>
        </is>
      </c>
      <c r="B1816" t="inlineStr">
        <is>
          <t>avverkningsanmälan</t>
        </is>
      </c>
      <c r="C1816" t="inlineStr">
        <is>
          <t>Föryngringsavverkning</t>
        </is>
      </c>
      <c r="D1816" s="1" t="n">
        <v>45925</v>
      </c>
      <c r="E1816" s="1" t="n">
        <v>46248</v>
      </c>
      <c r="F1816" t="inlineStr">
        <is>
          <t>BLEKINGE LÄN</t>
        </is>
      </c>
      <c r="G1816" t="inlineStr">
        <is>
          <t>OLOFSTRÖM</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46325-2025</t>
        </is>
      </c>
      <c r="B1817" t="inlineStr">
        <is>
          <t>avverkningsanmälan</t>
        </is>
      </c>
      <c r="C1817" t="inlineStr">
        <is>
          <t>Föryngringsavverkning</t>
        </is>
      </c>
      <c r="D1817" s="1" t="n">
        <v>45925</v>
      </c>
      <c r="E1817" s="1" t="n">
        <v>46248</v>
      </c>
      <c r="F1817" t="inlineStr">
        <is>
          <t>BLEKINGE LÄN</t>
        </is>
      </c>
      <c r="G1817" t="inlineStr">
        <is>
          <t>OLOFSTRÖM</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10997-2024</t>
        </is>
      </c>
      <c r="B1818" t="inlineStr">
        <is>
          <t>avverkningsanmälan</t>
        </is>
      </c>
      <c r="C1818" t="inlineStr">
        <is>
          <t>Föryngringsavverkning</t>
        </is>
      </c>
      <c r="D1818" s="1" t="n">
        <v>45370</v>
      </c>
      <c r="E1818" s="1" t="n">
        <v>46248</v>
      </c>
      <c r="F1818" t="inlineStr">
        <is>
          <t>BLEKINGE LÄN</t>
        </is>
      </c>
      <c r="G1818" t="inlineStr">
        <is>
          <t>SÖLVESBORG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38788-2025</t>
        </is>
      </c>
      <c r="B1819" t="inlineStr">
        <is>
          <t>avverkningsanmälan</t>
        </is>
      </c>
      <c r="C1819" t="inlineStr">
        <is>
          <t>Föryngringsavverkning</t>
        </is>
      </c>
      <c r="D1819" s="1" t="n">
        <v>45887</v>
      </c>
      <c r="E1819" s="1" t="n">
        <v>46248</v>
      </c>
      <c r="F1819" t="inlineStr">
        <is>
          <t>BLEKINGE LÄN</t>
        </is>
      </c>
      <c r="G1819" t="inlineStr">
        <is>
          <t>KARLSKRONA</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6563-2025</t>
        </is>
      </c>
      <c r="B1820" t="inlineStr">
        <is>
          <t>avverkningsanmälan</t>
        </is>
      </c>
      <c r="C1820" t="inlineStr">
        <is>
          <t>Föryngringsavverkning</t>
        </is>
      </c>
      <c r="D1820" s="1" t="n">
        <v>45699</v>
      </c>
      <c r="E1820" s="1" t="n">
        <v>46248</v>
      </c>
      <c r="F1820" t="inlineStr">
        <is>
          <t>BLEKINGE LÄN</t>
        </is>
      </c>
      <c r="G1820" t="inlineStr">
        <is>
          <t>OLOFSTRÖM</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7726-2025</t>
        </is>
      </c>
      <c r="B1821" t="inlineStr">
        <is>
          <t>avverkningsanmälan</t>
        </is>
      </c>
      <c r="C1821" t="inlineStr">
        <is>
          <t>Föryngringsavverkning</t>
        </is>
      </c>
      <c r="D1821" s="1" t="n">
        <v>45706</v>
      </c>
      <c r="E1821" s="1" t="n">
        <v>46248</v>
      </c>
      <c r="F1821" t="inlineStr">
        <is>
          <t>BLEKINGE LÄN</t>
        </is>
      </c>
      <c r="G1821" t="inlineStr">
        <is>
          <t>RONNEBY</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15589-2025</t>
        </is>
      </c>
      <c r="B1822" t="inlineStr">
        <is>
          <t>avverkningsanmälan</t>
        </is>
      </c>
      <c r="C1822" t="inlineStr">
        <is>
          <t>Föryngringsavverkning</t>
        </is>
      </c>
      <c r="D1822" s="1" t="n">
        <v>45747</v>
      </c>
      <c r="E1822" s="1" t="n">
        <v>46248</v>
      </c>
      <c r="F1822" t="inlineStr">
        <is>
          <t>BLEKINGE LÄN</t>
        </is>
      </c>
      <c r="G1822" t="inlineStr">
        <is>
          <t>KARLSKRONA</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2156-2025</t>
        </is>
      </c>
      <c r="B1823" t="inlineStr">
        <is>
          <t>avverkningsanmälan</t>
        </is>
      </c>
      <c r="C1823" t="inlineStr">
        <is>
          <t>Föryngringsavverkning</t>
        </is>
      </c>
      <c r="D1823" s="1" t="n">
        <v>45672</v>
      </c>
      <c r="E1823" s="1" t="n">
        <v>46248</v>
      </c>
      <c r="F1823" t="inlineStr">
        <is>
          <t>BLEKINGE LÄN</t>
        </is>
      </c>
      <c r="G1823" t="inlineStr">
        <is>
          <t>RONNEBY</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5543-2025</t>
        </is>
      </c>
      <c r="B1824" t="inlineStr">
        <is>
          <t>avverkningsanmälan</t>
        </is>
      </c>
      <c r="C1824" t="inlineStr">
        <is>
          <t>Föryngringsavverkning</t>
        </is>
      </c>
      <c r="D1824" s="1" t="n">
        <v>45693</v>
      </c>
      <c r="E1824" s="1" t="n">
        <v>46248</v>
      </c>
      <c r="F1824" t="inlineStr">
        <is>
          <t>BLEKINGE LÄN</t>
        </is>
      </c>
      <c r="G1824" t="inlineStr">
        <is>
          <t>KARLSKRONA</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23699-2026</t>
        </is>
      </c>
      <c r="B1825" t="inlineStr">
        <is>
          <t>avverkningsanmälan</t>
        </is>
      </c>
      <c r="C1825" t="inlineStr">
        <is>
          <t>Föryngringsavverkning</t>
        </is>
      </c>
      <c r="D1825" s="1" t="n">
        <v>46164</v>
      </c>
      <c r="E1825" s="1" t="n">
        <v>46248</v>
      </c>
      <c r="F1825" t="inlineStr">
        <is>
          <t>BLEKINGE LÄN</t>
        </is>
      </c>
      <c r="G1825" t="inlineStr">
        <is>
          <t>KARLSHAMN</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46354-2025</t>
        </is>
      </c>
      <c r="B1826" t="inlineStr">
        <is>
          <t>avverkningsanmälan</t>
        </is>
      </c>
      <c r="C1826" t="inlineStr">
        <is>
          <t>Föryngringsavverkning</t>
        </is>
      </c>
      <c r="D1826" s="1" t="n">
        <v>45925</v>
      </c>
      <c r="E1826" s="1" t="n">
        <v>46248</v>
      </c>
      <c r="F1826" t="inlineStr">
        <is>
          <t>BLEKINGE LÄN</t>
        </is>
      </c>
      <c r="G1826" t="inlineStr">
        <is>
          <t>KARLSKRONA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30407-2026</t>
        </is>
      </c>
      <c r="B1827" t="inlineStr">
        <is>
          <t>avverkningsanmälan</t>
        </is>
      </c>
      <c r="C1827" t="inlineStr">
        <is>
          <t>Föryngringsavverkning</t>
        </is>
      </c>
      <c r="D1827" s="1" t="n">
        <v>46209</v>
      </c>
      <c r="E1827" s="1" t="n">
        <v>46248</v>
      </c>
      <c r="F1827" t="inlineStr">
        <is>
          <t>BLEKINGE LÄN</t>
        </is>
      </c>
      <c r="G1827" t="inlineStr">
        <is>
          <t>RONNEBY</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46752-2025</t>
        </is>
      </c>
      <c r="B1828" t="inlineStr">
        <is>
          <t>avverkningsanmälan</t>
        </is>
      </c>
      <c r="C1828" t="inlineStr">
        <is>
          <t>Föryngringsavverkning</t>
        </is>
      </c>
      <c r="D1828" s="1" t="n">
        <v>45926</v>
      </c>
      <c r="E1828" s="1" t="n">
        <v>46248</v>
      </c>
      <c r="F1828" t="inlineStr">
        <is>
          <t>BLEKINGE LÄN</t>
        </is>
      </c>
      <c r="G1828" t="inlineStr">
        <is>
          <t>KARLSHAMN</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46096-2024</t>
        </is>
      </c>
      <c r="B1829" t="inlineStr">
        <is>
          <t>avverkningsanmälan</t>
        </is>
      </c>
      <c r="C1829" t="inlineStr">
        <is>
          <t>Föryngringsavverkning</t>
        </is>
      </c>
      <c r="D1829" s="1" t="n">
        <v>45581</v>
      </c>
      <c r="E1829" s="1" t="n">
        <v>46248</v>
      </c>
      <c r="F1829" t="inlineStr">
        <is>
          <t>BLEKINGE LÄN</t>
        </is>
      </c>
      <c r="G1829" t="inlineStr">
        <is>
          <t>KARLSKRONA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43636-2025</t>
        </is>
      </c>
      <c r="B1830" t="inlineStr">
        <is>
          <t>avverkningsanmälan</t>
        </is>
      </c>
      <c r="C1830" t="inlineStr">
        <is>
          <t>Föryngringsavverkning</t>
        </is>
      </c>
      <c r="D1830" s="1" t="n">
        <v>45911</v>
      </c>
      <c r="E1830" s="1" t="n">
        <v>46248</v>
      </c>
      <c r="F1830" t="inlineStr">
        <is>
          <t>BLEKINGE LÄN</t>
        </is>
      </c>
      <c r="G1830" t="inlineStr">
        <is>
          <t>KARLSHAMN</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47155-2025</t>
        </is>
      </c>
      <c r="B1831" t="inlineStr">
        <is>
          <t>avverkningsanmälan</t>
        </is>
      </c>
      <c r="C1831" t="inlineStr">
        <is>
          <t>Föryngringsavverkning</t>
        </is>
      </c>
      <c r="D1831" s="1" t="n">
        <v>45929</v>
      </c>
      <c r="E1831" s="1" t="n">
        <v>46248</v>
      </c>
      <c r="F1831" t="inlineStr">
        <is>
          <t>BLEKINGE LÄN</t>
        </is>
      </c>
      <c r="G1831" t="inlineStr">
        <is>
          <t>KARLSKRONA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7835-2023</t>
        </is>
      </c>
      <c r="B1832" t="inlineStr">
        <is>
          <t>avverkningsanmälan</t>
        </is>
      </c>
      <c r="C1832" t="inlineStr">
        <is>
          <t>Föryngringsavverkning</t>
        </is>
      </c>
      <c r="D1832" s="1" t="n">
        <v>44973</v>
      </c>
      <c r="E1832" s="1" t="n">
        <v>46248</v>
      </c>
      <c r="F1832" t="inlineStr">
        <is>
          <t>BLEKINGE LÄN</t>
        </is>
      </c>
      <c r="G1832" t="inlineStr">
        <is>
          <t>RONNEBY</t>
        </is>
      </c>
      <c r="H1832" t="inlineStr">
        <is>
          <t>Övriga Aktiebolag</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47159-2025</t>
        </is>
      </c>
      <c r="B1833" t="inlineStr">
        <is>
          <t>avverkningsanmälan</t>
        </is>
      </c>
      <c r="C1833" t="inlineStr">
        <is>
          <t>Föryngringsavverkning</t>
        </is>
      </c>
      <c r="D1833" s="1" t="n">
        <v>45929</v>
      </c>
      <c r="E1833" s="1" t="n">
        <v>46248</v>
      </c>
      <c r="F1833" t="inlineStr">
        <is>
          <t>BLEKINGE LÄN</t>
        </is>
      </c>
      <c r="G1833" t="inlineStr">
        <is>
          <t>KARLSKRONA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31389-2023</t>
        </is>
      </c>
      <c r="B1834" t="inlineStr">
        <is>
          <t>avverkningsanmälan</t>
        </is>
      </c>
      <c r="C1834" t="inlineStr">
        <is>
          <t>Föryngringsavverkning</t>
        </is>
      </c>
      <c r="D1834" s="1" t="n">
        <v>45104</v>
      </c>
      <c r="E1834" s="1" t="n">
        <v>46248</v>
      </c>
      <c r="F1834" t="inlineStr">
        <is>
          <t>BLEKINGE LÄN</t>
        </is>
      </c>
      <c r="G1834" t="inlineStr">
        <is>
          <t>KARLSHAMN</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24013-2023</t>
        </is>
      </c>
      <c r="B1835" t="inlineStr">
        <is>
          <t>avverkningsanmälan</t>
        </is>
      </c>
      <c r="C1835" t="inlineStr">
        <is>
          <t>Föryngringsavverkning</t>
        </is>
      </c>
      <c r="D1835" s="1" t="n">
        <v>45078</v>
      </c>
      <c r="E1835" s="1" t="n">
        <v>46248</v>
      </c>
      <c r="F1835" t="inlineStr">
        <is>
          <t>BLEKINGE LÄN</t>
        </is>
      </c>
      <c r="G1835" t="inlineStr">
        <is>
          <t>RONNEBY</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19678-2025</t>
        </is>
      </c>
      <c r="B1836" t="inlineStr">
        <is>
          <t>avverkningsanmälan</t>
        </is>
      </c>
      <c r="C1836" t="inlineStr">
        <is>
          <t>Föryngringsavverkning</t>
        </is>
      </c>
      <c r="D1836" s="1" t="n">
        <v>45770</v>
      </c>
      <c r="E1836" s="1" t="n">
        <v>46248</v>
      </c>
      <c r="F1836" t="inlineStr">
        <is>
          <t>BLEKINGE LÄN</t>
        </is>
      </c>
      <c r="G1836" t="inlineStr">
        <is>
          <t>KARLSKRONA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50254-2024</t>
        </is>
      </c>
      <c r="B1837" t="inlineStr">
        <is>
          <t>avverkningsanmälan</t>
        </is>
      </c>
      <c r="C1837" t="inlineStr">
        <is>
          <t>Föryngringsavverkning</t>
        </is>
      </c>
      <c r="D1837" s="1" t="n">
        <v>45600</v>
      </c>
      <c r="E1837" s="1" t="n">
        <v>46248</v>
      </c>
      <c r="F1837" t="inlineStr">
        <is>
          <t>BLEKINGE LÄN</t>
        </is>
      </c>
      <c r="G1837" t="inlineStr">
        <is>
          <t>KARLSHAMN</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46749-2025</t>
        </is>
      </c>
      <c r="B1838" t="inlineStr">
        <is>
          <t>avverkningsanmälan</t>
        </is>
      </c>
      <c r="C1838" t="inlineStr">
        <is>
          <t>Föryngringsavverkning</t>
        </is>
      </c>
      <c r="D1838" s="1" t="n">
        <v>45926</v>
      </c>
      <c r="E1838" s="1" t="n">
        <v>46248</v>
      </c>
      <c r="F1838" t="inlineStr">
        <is>
          <t>BLEKINGE LÄN</t>
        </is>
      </c>
      <c r="G1838" t="inlineStr">
        <is>
          <t>KARLSHAMN</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47242-2025</t>
        </is>
      </c>
      <c r="B1839" t="inlineStr">
        <is>
          <t>avverkningsanmälan</t>
        </is>
      </c>
      <c r="C1839" t="inlineStr">
        <is>
          <t>Föryngringsavverkning</t>
        </is>
      </c>
      <c r="D1839" s="1" t="n">
        <v>45930</v>
      </c>
      <c r="E1839" s="1" t="n">
        <v>46248</v>
      </c>
      <c r="F1839" t="inlineStr">
        <is>
          <t>BLEKINGE LÄN</t>
        </is>
      </c>
      <c r="G1839" t="inlineStr">
        <is>
          <t>KARLSKRONA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47226-2025</t>
        </is>
      </c>
      <c r="B1840" t="inlineStr">
        <is>
          <t>avverkningsanmälan</t>
        </is>
      </c>
      <c r="C1840" t="inlineStr">
        <is>
          <t>Föryngringsavverkning</t>
        </is>
      </c>
      <c r="D1840" s="1" t="n">
        <v>45930</v>
      </c>
      <c r="E1840" s="1" t="n">
        <v>46248</v>
      </c>
      <c r="F1840" t="inlineStr">
        <is>
          <t>BLEKINGE LÄN</t>
        </is>
      </c>
      <c r="G1840" t="inlineStr">
        <is>
          <t>OLOFSTRÖM</t>
        </is>
      </c>
      <c r="I1840" t="n">
        <v>7.3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47885-2025</t>
        </is>
      </c>
      <c r="B1841" t="inlineStr">
        <is>
          <t>avverkningsanmälan</t>
        </is>
      </c>
      <c r="C1841" t="inlineStr">
        <is>
          <t>Föryngringsavverkning</t>
        </is>
      </c>
      <c r="D1841" s="1" t="n">
        <v>45932</v>
      </c>
      <c r="E1841" s="1" t="n">
        <v>46248</v>
      </c>
      <c r="F1841" t="inlineStr">
        <is>
          <t>BLEKINGE LÄN</t>
        </is>
      </c>
      <c r="G1841" t="inlineStr">
        <is>
          <t>RONNEBY</t>
        </is>
      </c>
      <c r="H1841" t="inlineStr">
        <is>
          <t>Övriga Aktiebolag</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47960-2025</t>
        </is>
      </c>
      <c r="B1842" t="inlineStr">
        <is>
          <t>avverkningsanmälan</t>
        </is>
      </c>
      <c r="C1842" t="inlineStr">
        <is>
          <t>Föryngringsavverkning</t>
        </is>
      </c>
      <c r="D1842" s="1" t="n">
        <v>45932</v>
      </c>
      <c r="E1842" s="1" t="n">
        <v>46248</v>
      </c>
      <c r="F1842" t="inlineStr">
        <is>
          <t>BLEKINGE LÄN</t>
        </is>
      </c>
      <c r="G1842" t="inlineStr">
        <is>
          <t>RONNEBY</t>
        </is>
      </c>
      <c r="H1842" t="inlineStr">
        <is>
          <t>Övriga Aktiebolag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47968-2025</t>
        </is>
      </c>
      <c r="B1843" t="inlineStr">
        <is>
          <t>avverkningsanmälan</t>
        </is>
      </c>
      <c r="C1843" t="inlineStr">
        <is>
          <t>Föryngringsavverkning</t>
        </is>
      </c>
      <c r="D1843" s="1" t="n">
        <v>45932</v>
      </c>
      <c r="E1843" s="1" t="n">
        <v>46248</v>
      </c>
      <c r="F1843" t="inlineStr">
        <is>
          <t>BLEKINGE LÄN</t>
        </is>
      </c>
      <c r="G1843" t="inlineStr">
        <is>
          <t>RONNEBY</t>
        </is>
      </c>
      <c r="H1843" t="inlineStr">
        <is>
          <t>Övriga Aktiebolag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23726-2026</t>
        </is>
      </c>
      <c r="B1844" t="inlineStr">
        <is>
          <t>avverkningsanmälan</t>
        </is>
      </c>
      <c r="C1844" t="inlineStr">
        <is>
          <t>Föryngringsavverkning</t>
        </is>
      </c>
      <c r="D1844" s="1" t="n">
        <v>46164</v>
      </c>
      <c r="E1844" s="1" t="n">
        <v>46248</v>
      </c>
      <c r="F1844" t="inlineStr">
        <is>
          <t>BLEKINGE LÄN</t>
        </is>
      </c>
      <c r="G1844" t="inlineStr">
        <is>
          <t>KARLSKRONA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30408-2026</t>
        </is>
      </c>
      <c r="B1845" t="inlineStr">
        <is>
          <t>avverkningsanmälan</t>
        </is>
      </c>
      <c r="C1845" t="inlineStr">
        <is>
          <t>Föryngringsavverkning</t>
        </is>
      </c>
      <c r="D1845" s="1" t="n">
        <v>46209</v>
      </c>
      <c r="E1845" s="1" t="n">
        <v>46248</v>
      </c>
      <c r="F1845" t="inlineStr">
        <is>
          <t>BLEKINGE LÄN</t>
        </is>
      </c>
      <c r="G1845" t="inlineStr">
        <is>
          <t>RONNEBY</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30134-2026</t>
        </is>
      </c>
      <c r="B1846" t="inlineStr">
        <is>
          <t>avverkningsanmälan</t>
        </is>
      </c>
      <c r="C1846" t="inlineStr">
        <is>
          <t>Föryngringsavverkning</t>
        </is>
      </c>
      <c r="D1846" s="1" t="n">
        <v>46206</v>
      </c>
      <c r="E1846" s="1" t="n">
        <v>46248</v>
      </c>
      <c r="F1846" t="inlineStr">
        <is>
          <t>BLEKINGE LÄN</t>
        </is>
      </c>
      <c r="G1846" t="inlineStr">
        <is>
          <t>KARLSKRONA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47904-2025</t>
        </is>
      </c>
      <c r="B1847" t="inlineStr">
        <is>
          <t>avverkningsanmälan</t>
        </is>
      </c>
      <c r="C1847" t="inlineStr">
        <is>
          <t>Föryngringsavverkning</t>
        </is>
      </c>
      <c r="D1847" s="1" t="n">
        <v>45932</v>
      </c>
      <c r="E1847" s="1" t="n">
        <v>46248</v>
      </c>
      <c r="F1847" t="inlineStr">
        <is>
          <t>BLEKINGE LÄN</t>
        </is>
      </c>
      <c r="G1847" t="inlineStr">
        <is>
          <t>RONNEBY</t>
        </is>
      </c>
      <c r="H1847" t="inlineStr">
        <is>
          <t>Övriga Aktiebolag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23697-2026</t>
        </is>
      </c>
      <c r="B1848" t="inlineStr">
        <is>
          <t>avverkningsanmälan</t>
        </is>
      </c>
      <c r="C1848" t="inlineStr">
        <is>
          <t>Föryngringsavverkning</t>
        </is>
      </c>
      <c r="D1848" s="1" t="n">
        <v>46164</v>
      </c>
      <c r="E1848" s="1" t="n">
        <v>46248</v>
      </c>
      <c r="F1848" t="inlineStr">
        <is>
          <t>BLEKINGE LÄN</t>
        </is>
      </c>
      <c r="G1848" t="inlineStr">
        <is>
          <t>RONNEBY</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30120-2026</t>
        </is>
      </c>
      <c r="B1849" t="inlineStr">
        <is>
          <t>avverkningsanmälan</t>
        </is>
      </c>
      <c r="C1849" t="inlineStr">
        <is>
          <t>Föryngringsavverkning</t>
        </is>
      </c>
      <c r="D1849" s="1" t="n">
        <v>46206</v>
      </c>
      <c r="E1849" s="1" t="n">
        <v>46248</v>
      </c>
      <c r="F1849" t="inlineStr">
        <is>
          <t>BLEKINGE LÄN</t>
        </is>
      </c>
      <c r="G1849" t="inlineStr">
        <is>
          <t>KARLSKRONA</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23927-2026</t>
        </is>
      </c>
      <c r="B1850" t="inlineStr">
        <is>
          <t>avverkningsanmälan</t>
        </is>
      </c>
      <c r="C1850" t="inlineStr">
        <is>
          <t>Föryngringsavverkning</t>
        </is>
      </c>
      <c r="D1850" s="1" t="n">
        <v>46167</v>
      </c>
      <c r="E1850" s="1" t="n">
        <v>46248</v>
      </c>
      <c r="F1850" t="inlineStr">
        <is>
          <t>BLEKINGE LÄN</t>
        </is>
      </c>
      <c r="G1850" t="inlineStr">
        <is>
          <t>KARLSKRONA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17394-2025</t>
        </is>
      </c>
      <c r="B1851" t="inlineStr">
        <is>
          <t>avverkningsanmälan</t>
        </is>
      </c>
      <c r="C1851" t="inlineStr">
        <is>
          <t>Avverkning för annat ändamål</t>
        </is>
      </c>
      <c r="D1851" s="1" t="n">
        <v>45757</v>
      </c>
      <c r="E1851" s="1" t="n">
        <v>46248</v>
      </c>
      <c r="F1851" t="inlineStr">
        <is>
          <t>BLEKINGE LÄN</t>
        </is>
      </c>
      <c r="G1851" t="inlineStr">
        <is>
          <t>KARLSHAMN</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23687-2026</t>
        </is>
      </c>
      <c r="B1852" t="inlineStr">
        <is>
          <t>avverkningsanmälan</t>
        </is>
      </c>
      <c r="C1852" t="inlineStr">
        <is>
          <t>Föryngringsavverkning</t>
        </is>
      </c>
      <c r="D1852" s="1" t="n">
        <v>46164</v>
      </c>
      <c r="E1852" s="1" t="n">
        <v>46248</v>
      </c>
      <c r="F1852" t="inlineStr">
        <is>
          <t>BLEKINGE LÄN</t>
        </is>
      </c>
      <c r="G1852" t="inlineStr">
        <is>
          <t>KARLSKRONA</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23693-2026</t>
        </is>
      </c>
      <c r="B1853" t="inlineStr">
        <is>
          <t>avverkningsanmälan</t>
        </is>
      </c>
      <c r="C1853" t="inlineStr">
        <is>
          <t>Föryngringsavverkning</t>
        </is>
      </c>
      <c r="D1853" s="1" t="n">
        <v>46164</v>
      </c>
      <c r="E1853" s="1" t="n">
        <v>46248</v>
      </c>
      <c r="F1853" t="inlineStr">
        <is>
          <t>BLEKINGE LÄN</t>
        </is>
      </c>
      <c r="G1853" t="inlineStr">
        <is>
          <t>KARLSKRONA</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23715-2026</t>
        </is>
      </c>
      <c r="B1854" t="inlineStr">
        <is>
          <t>avverkningsanmälan</t>
        </is>
      </c>
      <c r="C1854" t="inlineStr">
        <is>
          <t>Föryngringsavverkning</t>
        </is>
      </c>
      <c r="D1854" s="1" t="n">
        <v>46164</v>
      </c>
      <c r="E1854" s="1" t="n">
        <v>46248</v>
      </c>
      <c r="F1854" t="inlineStr">
        <is>
          <t>BLEKINGE LÄN</t>
        </is>
      </c>
      <c r="G1854" t="inlineStr">
        <is>
          <t>KARLSHAMN</t>
        </is>
      </c>
      <c r="I1854" t="n">
        <v>7.2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23710-2026</t>
        </is>
      </c>
      <c r="B1855" t="inlineStr">
        <is>
          <t>avverkningsanmälan</t>
        </is>
      </c>
      <c r="C1855" t="inlineStr">
        <is>
          <t>Föryngringsavverkning</t>
        </is>
      </c>
      <c r="D1855" s="1" t="n">
        <v>46164</v>
      </c>
      <c r="E1855" s="1" t="n">
        <v>46248</v>
      </c>
      <c r="F1855" t="inlineStr">
        <is>
          <t>BLEKINGE LÄN</t>
        </is>
      </c>
      <c r="G1855" t="inlineStr">
        <is>
          <t>KARLSHAMN</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49093-2025</t>
        </is>
      </c>
      <c r="B1856" t="inlineStr">
        <is>
          <t>avverkningsanmälan</t>
        </is>
      </c>
      <c r="C1856" t="inlineStr">
        <is>
          <t>Föryngringsavverkning</t>
        </is>
      </c>
      <c r="D1856" s="1" t="n">
        <v>45937</v>
      </c>
      <c r="E1856" s="1" t="n">
        <v>46248</v>
      </c>
      <c r="F1856" t="inlineStr">
        <is>
          <t>BLEKINGE LÄN</t>
        </is>
      </c>
      <c r="G1856" t="inlineStr">
        <is>
          <t>KARLSKRONA</t>
        </is>
      </c>
      <c r="I1856" t="n">
        <v>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26644-2022</t>
        </is>
      </c>
      <c r="B1857" t="inlineStr">
        <is>
          <t>avverkningsanmälan</t>
        </is>
      </c>
      <c r="C1857" t="inlineStr">
        <is>
          <t>Föryngringsavverkning</t>
        </is>
      </c>
      <c r="D1857" s="1" t="n">
        <v>44739</v>
      </c>
      <c r="E1857" s="1" t="n">
        <v>46248</v>
      </c>
      <c r="F1857" t="inlineStr">
        <is>
          <t>BLEKINGE LÄN</t>
        </is>
      </c>
      <c r="G1857" t="inlineStr">
        <is>
          <t>RONNEBY</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48998-2025</t>
        </is>
      </c>
      <c r="B1858" t="inlineStr">
        <is>
          <t>avverkningsanmälan</t>
        </is>
      </c>
      <c r="C1858" t="inlineStr">
        <is>
          <t>Föryngringsavverkning</t>
        </is>
      </c>
      <c r="D1858" s="1" t="n">
        <v>45937</v>
      </c>
      <c r="E1858" s="1" t="n">
        <v>46248</v>
      </c>
      <c r="F1858" t="inlineStr">
        <is>
          <t>BLEKINGE LÄN</t>
        </is>
      </c>
      <c r="G1858" t="inlineStr">
        <is>
          <t>RONNEBY</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48853-2025</t>
        </is>
      </c>
      <c r="B1859" t="inlineStr">
        <is>
          <t>avverkningsanmälan</t>
        </is>
      </c>
      <c r="C1859" t="inlineStr">
        <is>
          <t>Föryngringsavverkning</t>
        </is>
      </c>
      <c r="D1859" s="1" t="n">
        <v>45937</v>
      </c>
      <c r="E1859" s="1" t="n">
        <v>46248</v>
      </c>
      <c r="F1859" t="inlineStr">
        <is>
          <t>BLEKINGE LÄN</t>
        </is>
      </c>
      <c r="G1859" t="inlineStr">
        <is>
          <t>KARLSHAMN</t>
        </is>
      </c>
      <c r="I1859" t="n">
        <v>7.6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49005-2025</t>
        </is>
      </c>
      <c r="B1860" t="inlineStr">
        <is>
          <t>avverkningsanmälan</t>
        </is>
      </c>
      <c r="C1860" t="inlineStr">
        <is>
          <t>Föryngringsavverkning</t>
        </is>
      </c>
      <c r="D1860" s="1" t="n">
        <v>45937</v>
      </c>
      <c r="E1860" s="1" t="n">
        <v>46248</v>
      </c>
      <c r="F1860" t="inlineStr">
        <is>
          <t>BLEKINGE LÄN</t>
        </is>
      </c>
      <c r="G1860" t="inlineStr">
        <is>
          <t>RONNEBY</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49271-2025</t>
        </is>
      </c>
      <c r="B1861" t="inlineStr">
        <is>
          <t>avverkningsanmälan</t>
        </is>
      </c>
      <c r="C1861" t="inlineStr">
        <is>
          <t>Föryngringsavverkning</t>
        </is>
      </c>
      <c r="D1861" s="1" t="n">
        <v>45938</v>
      </c>
      <c r="E1861" s="1" t="n">
        <v>46248</v>
      </c>
      <c r="F1861" t="inlineStr">
        <is>
          <t>BLEKINGE LÄN</t>
        </is>
      </c>
      <c r="G1861" t="inlineStr">
        <is>
          <t>OLOFSTRÖM</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49086-2025</t>
        </is>
      </c>
      <c r="B1862" t="inlineStr">
        <is>
          <t>avverkningsanmälan</t>
        </is>
      </c>
      <c r="C1862" t="inlineStr">
        <is>
          <t>Föryngringsavverkning</t>
        </is>
      </c>
      <c r="D1862" s="1" t="n">
        <v>45937</v>
      </c>
      <c r="E1862" s="1" t="n">
        <v>46248</v>
      </c>
      <c r="F1862" t="inlineStr">
        <is>
          <t>BLEKINGE LÄN</t>
        </is>
      </c>
      <c r="G1862" t="inlineStr">
        <is>
          <t>KARLSKRONA</t>
        </is>
      </c>
      <c r="I1862" t="n">
        <v>12.2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24244-2026</t>
        </is>
      </c>
      <c r="B1863" t="inlineStr">
        <is>
          <t>avverkningsanmälan</t>
        </is>
      </c>
      <c r="C1863" t="inlineStr">
        <is>
          <t>Föryngringsavverkning</t>
        </is>
      </c>
      <c r="D1863" s="1" t="n">
        <v>46168</v>
      </c>
      <c r="E1863" s="1" t="n">
        <v>46248</v>
      </c>
      <c r="F1863" t="inlineStr">
        <is>
          <t>BLEKINGE LÄN</t>
        </is>
      </c>
      <c r="G1863" t="inlineStr">
        <is>
          <t>RONNEBY</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24249-2026</t>
        </is>
      </c>
      <c r="B1864" t="inlineStr">
        <is>
          <t>avverkningsanmälan</t>
        </is>
      </c>
      <c r="C1864" t="inlineStr">
        <is>
          <t>Föryngringsavverkning</t>
        </is>
      </c>
      <c r="D1864" s="1" t="n">
        <v>46168</v>
      </c>
      <c r="E1864" s="1" t="n">
        <v>46248</v>
      </c>
      <c r="F1864" t="inlineStr">
        <is>
          <t>BLEKINGE LÄN</t>
        </is>
      </c>
      <c r="G1864" t="inlineStr">
        <is>
          <t>RONNEBY</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24320-2026</t>
        </is>
      </c>
      <c r="B1865" t="inlineStr">
        <is>
          <t>avverkningsanmälan</t>
        </is>
      </c>
      <c r="C1865" t="inlineStr">
        <is>
          <t>Föryngringsavverkning</t>
        </is>
      </c>
      <c r="D1865" s="1" t="n">
        <v>46169</v>
      </c>
      <c r="E1865" s="1" t="n">
        <v>46248</v>
      </c>
      <c r="F1865" t="inlineStr">
        <is>
          <t>BLEKINGE LÄN</t>
        </is>
      </c>
      <c r="G1865" t="inlineStr">
        <is>
          <t>OLOFSTRÖM</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49649-2025</t>
        </is>
      </c>
      <c r="B1866" t="inlineStr">
        <is>
          <t>avverkningsanmälan</t>
        </is>
      </c>
      <c r="C1866" t="inlineStr">
        <is>
          <t>Föryngringsavverkning</t>
        </is>
      </c>
      <c r="D1866" s="1" t="n">
        <v>45939</v>
      </c>
      <c r="E1866" s="1" t="n">
        <v>46248</v>
      </c>
      <c r="F1866" t="inlineStr">
        <is>
          <t>BLEKINGE LÄN</t>
        </is>
      </c>
      <c r="G1866" t="inlineStr">
        <is>
          <t>KARLSHAMN</t>
        </is>
      </c>
      <c r="I1866" t="n">
        <v>6.3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24375-2026</t>
        </is>
      </c>
      <c r="B1867" t="inlineStr">
        <is>
          <t>avverkningsanmälan</t>
        </is>
      </c>
      <c r="C1867" t="inlineStr">
        <is>
          <t>Föryngringsavverkning</t>
        </is>
      </c>
      <c r="D1867" s="1" t="n">
        <v>46169</v>
      </c>
      <c r="E1867" s="1" t="n">
        <v>46248</v>
      </c>
      <c r="F1867" t="inlineStr">
        <is>
          <t>BLEKINGE LÄN</t>
        </is>
      </c>
      <c r="G1867" t="inlineStr">
        <is>
          <t>KARLSKRONA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49784-2025</t>
        </is>
      </c>
      <c r="B1868" t="inlineStr">
        <is>
          <t>avverkningsanmälan</t>
        </is>
      </c>
      <c r="C1868" t="inlineStr">
        <is>
          <t>Föryngringsavverkning</t>
        </is>
      </c>
      <c r="D1868" s="1" t="n">
        <v>45940</v>
      </c>
      <c r="E1868" s="1" t="n">
        <v>46248</v>
      </c>
      <c r="F1868" t="inlineStr">
        <is>
          <t>BLEKINGE LÄN</t>
        </is>
      </c>
      <c r="G1868" t="inlineStr">
        <is>
          <t>OLOFSTRÖM</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30564-2026</t>
        </is>
      </c>
      <c r="B1869" t="inlineStr">
        <is>
          <t>avverkningsanmälan</t>
        </is>
      </c>
      <c r="C1869" t="inlineStr">
        <is>
          <t>Föryngringsavverkning</t>
        </is>
      </c>
      <c r="D1869" s="1" t="n">
        <v>46210</v>
      </c>
      <c r="E1869" s="1" t="n">
        <v>46248</v>
      </c>
      <c r="F1869" t="inlineStr">
        <is>
          <t>BLEKINGE LÄN</t>
        </is>
      </c>
      <c r="G1869" t="inlineStr">
        <is>
          <t>RONNEBY</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24245-2026</t>
        </is>
      </c>
      <c r="B1870" t="inlineStr">
        <is>
          <t>avverkningsanmälan</t>
        </is>
      </c>
      <c r="C1870" t="inlineStr">
        <is>
          <t>Föryngringsavverkning</t>
        </is>
      </c>
      <c r="D1870" s="1" t="n">
        <v>46168</v>
      </c>
      <c r="E1870" s="1" t="n">
        <v>46248</v>
      </c>
      <c r="F1870" t="inlineStr">
        <is>
          <t>BLEKINGE LÄN</t>
        </is>
      </c>
      <c r="G1870" t="inlineStr">
        <is>
          <t>RONNEBY</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30545-2026</t>
        </is>
      </c>
      <c r="B1871" t="inlineStr">
        <is>
          <t>avverkningsanmälan</t>
        </is>
      </c>
      <c r="C1871" t="inlineStr">
        <is>
          <t>Föryngringsavverkning</t>
        </is>
      </c>
      <c r="D1871" s="1" t="n">
        <v>46210</v>
      </c>
      <c r="E1871" s="1" t="n">
        <v>46248</v>
      </c>
      <c r="F1871" t="inlineStr">
        <is>
          <t>BLEKINGE LÄN</t>
        </is>
      </c>
      <c r="G1871" t="inlineStr">
        <is>
          <t>RONNEBY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24604-2026</t>
        </is>
      </c>
      <c r="B1872" t="inlineStr">
        <is>
          <t>avverkningsanmälan</t>
        </is>
      </c>
      <c r="C1872" t="inlineStr">
        <is>
          <t>Föryngringsavverkning</t>
        </is>
      </c>
      <c r="D1872" s="1" t="n">
        <v>46170</v>
      </c>
      <c r="E1872" s="1" t="n">
        <v>46248</v>
      </c>
      <c r="F1872" t="inlineStr">
        <is>
          <t>BLEKINGE LÄN</t>
        </is>
      </c>
      <c r="G1872" t="inlineStr">
        <is>
          <t>KARLSHAMN</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50587-2025</t>
        </is>
      </c>
      <c r="B1873" t="inlineStr">
        <is>
          <t>avverkningsanmälan</t>
        </is>
      </c>
      <c r="C1873" t="inlineStr">
        <is>
          <t>Föryngringsavverkning</t>
        </is>
      </c>
      <c r="D1873" s="1" t="n">
        <v>45945</v>
      </c>
      <c r="E1873" s="1" t="n">
        <v>46248</v>
      </c>
      <c r="F1873" t="inlineStr">
        <is>
          <t>BLEKINGE LÄN</t>
        </is>
      </c>
      <c r="G1873" t="inlineStr">
        <is>
          <t>KARLSKRONA</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50603-2025</t>
        </is>
      </c>
      <c r="B1874" t="inlineStr">
        <is>
          <t>avverkningsanmälan</t>
        </is>
      </c>
      <c r="C1874" t="inlineStr">
        <is>
          <t>Föryngringsavverkning</t>
        </is>
      </c>
      <c r="D1874" s="1" t="n">
        <v>45945</v>
      </c>
      <c r="E1874" s="1" t="n">
        <v>46248</v>
      </c>
      <c r="F1874" t="inlineStr">
        <is>
          <t>BLEKINGE LÄN</t>
        </is>
      </c>
      <c r="G1874" t="inlineStr">
        <is>
          <t>KARLSKRONA</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24487-2026</t>
        </is>
      </c>
      <c r="B1875" t="inlineStr">
        <is>
          <t>avverkningsanmälan</t>
        </is>
      </c>
      <c r="C1875" t="inlineStr">
        <is>
          <t>Föryngringsavverkning</t>
        </is>
      </c>
      <c r="D1875" s="1" t="n">
        <v>46170</v>
      </c>
      <c r="E1875" s="1" t="n">
        <v>46248</v>
      </c>
      <c r="F1875" t="inlineStr">
        <is>
          <t>BLEKINGE LÄN</t>
        </is>
      </c>
      <c r="G1875" t="inlineStr">
        <is>
          <t>KARLSHAMN</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10144-2025</t>
        </is>
      </c>
      <c r="B1876" t="inlineStr">
        <is>
          <t>avverkningsanmälan</t>
        </is>
      </c>
      <c r="C1876" t="inlineStr">
        <is>
          <t>Föryngringsavverkning</t>
        </is>
      </c>
      <c r="D1876" s="1" t="n">
        <v>45719</v>
      </c>
      <c r="E1876" s="1" t="n">
        <v>46248</v>
      </c>
      <c r="F1876" t="inlineStr">
        <is>
          <t>BLEKINGE LÄN</t>
        </is>
      </c>
      <c r="G1876" t="inlineStr">
        <is>
          <t>OLOFSTRÖM</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50594-2025</t>
        </is>
      </c>
      <c r="B1877" t="inlineStr">
        <is>
          <t>avverkningsanmälan</t>
        </is>
      </c>
      <c r="C1877" t="inlineStr">
        <is>
          <t>Föryngringsavverkning</t>
        </is>
      </c>
      <c r="D1877" s="1" t="n">
        <v>45945</v>
      </c>
      <c r="E1877" s="1" t="n">
        <v>46248</v>
      </c>
      <c r="F1877" t="inlineStr">
        <is>
          <t>BLEKINGE LÄN</t>
        </is>
      </c>
      <c r="G1877" t="inlineStr">
        <is>
          <t>KARLSKRONA</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24472-2026</t>
        </is>
      </c>
      <c r="B1878" t="inlineStr">
        <is>
          <t>avverkningsanmälan</t>
        </is>
      </c>
      <c r="C1878" t="inlineStr">
        <is>
          <t>Föryngringsavverkning</t>
        </is>
      </c>
      <c r="D1878" s="1" t="n">
        <v>46170</v>
      </c>
      <c r="E1878" s="1" t="n">
        <v>46248</v>
      </c>
      <c r="F1878" t="inlineStr">
        <is>
          <t>BLEKINGE LÄN</t>
        </is>
      </c>
      <c r="G1878" t="inlineStr">
        <is>
          <t>KARLSHAMN</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24602-2026</t>
        </is>
      </c>
      <c r="B1879" t="inlineStr">
        <is>
          <t>avverkningsanmälan</t>
        </is>
      </c>
      <c r="C1879" t="inlineStr">
        <is>
          <t>Föryngringsavverkning</t>
        </is>
      </c>
      <c r="D1879" s="1" t="n">
        <v>46170</v>
      </c>
      <c r="E1879" s="1" t="n">
        <v>46248</v>
      </c>
      <c r="F1879" t="inlineStr">
        <is>
          <t>BLEKINGE LÄN</t>
        </is>
      </c>
      <c r="G1879" t="inlineStr">
        <is>
          <t>KARLSHAMN</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24531-2026</t>
        </is>
      </c>
      <c r="B1880" t="inlineStr">
        <is>
          <t>avverkningsanmälan</t>
        </is>
      </c>
      <c r="C1880" t="inlineStr">
        <is>
          <t>Föryngringsavverkning</t>
        </is>
      </c>
      <c r="D1880" s="1" t="n">
        <v>46170</v>
      </c>
      <c r="E1880" s="1" t="n">
        <v>46248</v>
      </c>
      <c r="F1880" t="inlineStr">
        <is>
          <t>BLEKINGE LÄN</t>
        </is>
      </c>
      <c r="G1880" t="inlineStr">
        <is>
          <t>KARLSHAMN</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24785-2026</t>
        </is>
      </c>
      <c r="B1881" t="inlineStr">
        <is>
          <t>avverkningsanmälan</t>
        </is>
      </c>
      <c r="C1881" t="inlineStr">
        <is>
          <t>Föryngringsavverkning</t>
        </is>
      </c>
      <c r="D1881" s="1" t="n">
        <v>46171</v>
      </c>
      <c r="E1881" s="1" t="n">
        <v>46248</v>
      </c>
      <c r="F1881" t="inlineStr">
        <is>
          <t>BLEKINGE LÄN</t>
        </is>
      </c>
      <c r="G1881" t="inlineStr">
        <is>
          <t>RONNEBY</t>
        </is>
      </c>
      <c r="H1881" t="inlineStr">
        <is>
          <t>Övriga Aktiebolag</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24603-2026</t>
        </is>
      </c>
      <c r="B1882" t="inlineStr">
        <is>
          <t>avverkningsanmälan</t>
        </is>
      </c>
      <c r="C1882" t="inlineStr">
        <is>
          <t>Föryngringsavverkning</t>
        </is>
      </c>
      <c r="D1882" s="1" t="n">
        <v>46170</v>
      </c>
      <c r="E1882" s="1" t="n">
        <v>46248</v>
      </c>
      <c r="F1882" t="inlineStr">
        <is>
          <t>BLEKINGE LÄN</t>
        </is>
      </c>
      <c r="G1882" t="inlineStr">
        <is>
          <t>KARLSHAMN</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51224-2025</t>
        </is>
      </c>
      <c r="B1883" t="inlineStr">
        <is>
          <t>avverkningsanmälan</t>
        </is>
      </c>
      <c r="C1883" t="inlineStr">
        <is>
          <t>Föryngringsavverkning</t>
        </is>
      </c>
      <c r="D1883" s="1" t="n">
        <v>45947</v>
      </c>
      <c r="E1883" s="1" t="n">
        <v>46248</v>
      </c>
      <c r="F1883" t="inlineStr">
        <is>
          <t>BLEKINGE LÄN</t>
        </is>
      </c>
      <c r="G1883" t="inlineStr">
        <is>
          <t>RONNEBY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51279-2025</t>
        </is>
      </c>
      <c r="B1884" t="inlineStr">
        <is>
          <t>avverkningsanmälan</t>
        </is>
      </c>
      <c r="C1884" t="inlineStr">
        <is>
          <t>Föryngringsavverkning</t>
        </is>
      </c>
      <c r="D1884" s="1" t="n">
        <v>45950</v>
      </c>
      <c r="E1884" s="1" t="n">
        <v>46248</v>
      </c>
      <c r="F1884" t="inlineStr">
        <is>
          <t>BLEKINGE LÄN</t>
        </is>
      </c>
      <c r="G1884" t="inlineStr">
        <is>
          <t>RONNEBY</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51531-2025</t>
        </is>
      </c>
      <c r="B1885" t="inlineStr">
        <is>
          <t>avverkningsanmälan</t>
        </is>
      </c>
      <c r="C1885" t="inlineStr">
        <is>
          <t>Föryngringsavverkning</t>
        </is>
      </c>
      <c r="D1885" s="1" t="n">
        <v>45950</v>
      </c>
      <c r="E1885" s="1" t="n">
        <v>46248</v>
      </c>
      <c r="F1885" t="inlineStr">
        <is>
          <t>BLEKINGE LÄN</t>
        </is>
      </c>
      <c r="G1885" t="inlineStr">
        <is>
          <t>KARLSHAMN</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50131-2025</t>
        </is>
      </c>
      <c r="B1886" t="inlineStr">
        <is>
          <t>avverkningsanmälan</t>
        </is>
      </c>
      <c r="C1886" t="inlineStr">
        <is>
          <t>Föryngringsavverkning</t>
        </is>
      </c>
      <c r="D1886" s="1" t="n">
        <v>45943</v>
      </c>
      <c r="E1886" s="1" t="n">
        <v>46248</v>
      </c>
      <c r="F1886" t="inlineStr">
        <is>
          <t>BLEKINGE LÄN</t>
        </is>
      </c>
      <c r="G1886" t="inlineStr">
        <is>
          <t>KARLSHAMN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51569-2025</t>
        </is>
      </c>
      <c r="B1887" t="inlineStr">
        <is>
          <t>avverkningsanmälan</t>
        </is>
      </c>
      <c r="C1887" t="inlineStr">
        <is>
          <t>Föryngringsavverkning</t>
        </is>
      </c>
      <c r="D1887" s="1" t="n">
        <v>45951</v>
      </c>
      <c r="E1887" s="1" t="n">
        <v>46248</v>
      </c>
      <c r="F1887" t="inlineStr">
        <is>
          <t>BLEKINGE LÄN</t>
        </is>
      </c>
      <c r="G1887" t="inlineStr">
        <is>
          <t>RONNEBY</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31137-2026</t>
        </is>
      </c>
      <c r="B1888" t="inlineStr">
        <is>
          <t>avverkningsanmälan</t>
        </is>
      </c>
      <c r="C1888" t="inlineStr">
        <is>
          <t>Föryngringsavverkning</t>
        </is>
      </c>
      <c r="D1888" s="1" t="n">
        <v>46216</v>
      </c>
      <c r="E1888" s="1" t="n">
        <v>46248</v>
      </c>
      <c r="F1888" t="inlineStr">
        <is>
          <t>BLEKINGE LÄN</t>
        </is>
      </c>
      <c r="G1888" t="inlineStr">
        <is>
          <t>RONNEBY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52258-2025</t>
        </is>
      </c>
      <c r="B1889" t="inlineStr">
        <is>
          <t>avverkningsanmälan</t>
        </is>
      </c>
      <c r="C1889" t="inlineStr">
        <is>
          <t>Föryngringsavverkning</t>
        </is>
      </c>
      <c r="D1889" s="1" t="n">
        <v>45953</v>
      </c>
      <c r="E1889" s="1" t="n">
        <v>46248</v>
      </c>
      <c r="F1889" t="inlineStr">
        <is>
          <t>BLEKINGE LÄN</t>
        </is>
      </c>
      <c r="G1889" t="inlineStr">
        <is>
          <t>KARLSHAMN</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54591-2024</t>
        </is>
      </c>
      <c r="B1890" t="inlineStr">
        <is>
          <t>avverkningsanmälan</t>
        </is>
      </c>
      <c r="C1890" t="inlineStr">
        <is>
          <t>Föryngringsavverkning</t>
        </is>
      </c>
      <c r="D1890" s="1" t="n">
        <v>45617</v>
      </c>
      <c r="E1890" s="1" t="n">
        <v>46248</v>
      </c>
      <c r="F1890" t="inlineStr">
        <is>
          <t>BLEKINGE LÄN</t>
        </is>
      </c>
      <c r="G1890" t="inlineStr">
        <is>
          <t>KARLSHAMN</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50129-2025</t>
        </is>
      </c>
      <c r="B1891" t="inlineStr">
        <is>
          <t>avverkningsanmälan</t>
        </is>
      </c>
      <c r="C1891" t="inlineStr">
        <is>
          <t>Föryngringsavverkning</t>
        </is>
      </c>
      <c r="D1891" s="1" t="n">
        <v>45943</v>
      </c>
      <c r="E1891" s="1" t="n">
        <v>46248</v>
      </c>
      <c r="F1891" t="inlineStr">
        <is>
          <t>BLEKINGE LÄN</t>
        </is>
      </c>
      <c r="G1891" t="inlineStr">
        <is>
          <t>KARLSHAMN</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25034-2026</t>
        </is>
      </c>
      <c r="B1892" t="inlineStr">
        <is>
          <t>avverkningsanmälan</t>
        </is>
      </c>
      <c r="C1892" t="inlineStr">
        <is>
          <t>Föryngringsavverkning</t>
        </is>
      </c>
      <c r="D1892" s="1" t="n">
        <v>46174</v>
      </c>
      <c r="E1892" s="1" t="n">
        <v>46248</v>
      </c>
      <c r="F1892" t="inlineStr">
        <is>
          <t>BLEKINGE LÄN</t>
        </is>
      </c>
      <c r="G1892" t="inlineStr">
        <is>
          <t>KARLSHAMN</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50150-2025</t>
        </is>
      </c>
      <c r="B1893" t="inlineStr">
        <is>
          <t>avverkningsanmälan</t>
        </is>
      </c>
      <c r="C1893" t="inlineStr">
        <is>
          <t>Föryngringsavverkning</t>
        </is>
      </c>
      <c r="D1893" s="1" t="n">
        <v>45943</v>
      </c>
      <c r="E1893" s="1" t="n">
        <v>46248</v>
      </c>
      <c r="F1893" t="inlineStr">
        <is>
          <t>BLEKINGE LÄN</t>
        </is>
      </c>
      <c r="G1893" t="inlineStr">
        <is>
          <t>KARLSHAMN</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31342-2026</t>
        </is>
      </c>
      <c r="B1894" t="inlineStr">
        <is>
          <t>avverkningsanmälan</t>
        </is>
      </c>
      <c r="C1894" t="inlineStr">
        <is>
          <t>Föryngringsavverkning</t>
        </is>
      </c>
      <c r="D1894" s="1" t="n">
        <v>46212</v>
      </c>
      <c r="E1894" s="1" t="n">
        <v>46248</v>
      </c>
      <c r="F1894" t="inlineStr">
        <is>
          <t>BLEKINGE LÄN</t>
        </is>
      </c>
      <c r="G1894" t="inlineStr">
        <is>
          <t>RONNEBY</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52881-2025</t>
        </is>
      </c>
      <c r="B1895" t="inlineStr">
        <is>
          <t>avverkningsanmälan</t>
        </is>
      </c>
      <c r="C1895" t="inlineStr">
        <is>
          <t>Föryngringsavverkning</t>
        </is>
      </c>
      <c r="D1895" s="1" t="n">
        <v>45954</v>
      </c>
      <c r="E1895" s="1" t="n">
        <v>46248</v>
      </c>
      <c r="F1895" t="inlineStr">
        <is>
          <t>BLEKINGE LÄN</t>
        </is>
      </c>
      <c r="G1895" t="inlineStr">
        <is>
          <t>RONNEBY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31278-2026</t>
        </is>
      </c>
      <c r="B1896" t="inlineStr">
        <is>
          <t>avverkningsanmälan</t>
        </is>
      </c>
      <c r="C1896" t="inlineStr">
        <is>
          <t>Föryngringsavverkning</t>
        </is>
      </c>
      <c r="D1896" s="1" t="n">
        <v>46218</v>
      </c>
      <c r="E1896" s="1" t="n">
        <v>46248</v>
      </c>
      <c r="F1896" t="inlineStr">
        <is>
          <t>BLEKINGE LÄN</t>
        </is>
      </c>
      <c r="G1896" t="inlineStr">
        <is>
          <t>RONNEBY</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13765-2026</t>
        </is>
      </c>
      <c r="B1897" t="inlineStr">
        <is>
          <t>avverkningsanmälan</t>
        </is>
      </c>
      <c r="C1897" t="inlineStr">
        <is>
          <t>Föryngringsavverkning</t>
        </is>
      </c>
      <c r="D1897" s="1" t="n">
        <v>46097</v>
      </c>
      <c r="E1897" s="1" t="n">
        <v>46248</v>
      </c>
      <c r="F1897" t="inlineStr">
        <is>
          <t>BLEKINGE LÄN</t>
        </is>
      </c>
      <c r="G1897" t="inlineStr">
        <is>
          <t>OLOFSTRÖM</t>
        </is>
      </c>
      <c r="H1897" t="inlineStr">
        <is>
          <t>Övriga Aktiebolag</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52694-2025</t>
        </is>
      </c>
      <c r="B1898" t="inlineStr">
        <is>
          <t>avverkningsanmälan</t>
        </is>
      </c>
      <c r="C1898" t="inlineStr">
        <is>
          <t>Avverkning för att bevara och utveckla /försöksver</t>
        </is>
      </c>
      <c r="D1898" s="1" t="n">
        <v>45956</v>
      </c>
      <c r="E1898" s="1" t="n">
        <v>46248</v>
      </c>
      <c r="F1898" t="inlineStr">
        <is>
          <t>BLEKINGE LÄN</t>
        </is>
      </c>
      <c r="G1898" t="inlineStr">
        <is>
          <t>OLOFSTRÖM</t>
        </is>
      </c>
      <c r="H1898" t="inlineStr">
        <is>
          <t>Sveaskog</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52612-2025</t>
        </is>
      </c>
      <c r="B1899" t="inlineStr">
        <is>
          <t>avverkningsanmälan</t>
        </is>
      </c>
      <c r="C1899" t="inlineStr">
        <is>
          <t>Föryngringsavverkning</t>
        </is>
      </c>
      <c r="D1899" s="1" t="n">
        <v>45954</v>
      </c>
      <c r="E1899" s="1" t="n">
        <v>46248</v>
      </c>
      <c r="F1899" t="inlineStr">
        <is>
          <t>BLEKINGE LÄN</t>
        </is>
      </c>
      <c r="G1899" t="inlineStr">
        <is>
          <t>KARLSKRONA</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31344-2026</t>
        </is>
      </c>
      <c r="B1900" t="inlineStr">
        <is>
          <t>avverkningsanmälan</t>
        </is>
      </c>
      <c r="C1900" t="inlineStr">
        <is>
          <t>Föryngringsavverkning</t>
        </is>
      </c>
      <c r="D1900" s="1" t="n">
        <v>46212</v>
      </c>
      <c r="E1900" s="1" t="n">
        <v>46248</v>
      </c>
      <c r="F1900" t="inlineStr">
        <is>
          <t>BLEKINGE LÄN</t>
        </is>
      </c>
      <c r="G1900" t="inlineStr">
        <is>
          <t>RONNEBY</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16316-2026</t>
        </is>
      </c>
      <c r="B1901" t="inlineStr">
        <is>
          <t>avverkningsanmälan</t>
        </is>
      </c>
      <c r="C1901" t="inlineStr">
        <is>
          <t>Föryngringsavverkning</t>
        </is>
      </c>
      <c r="D1901" s="1" t="n">
        <v>46111</v>
      </c>
      <c r="E1901" s="1" t="n">
        <v>46248</v>
      </c>
      <c r="F1901" t="inlineStr">
        <is>
          <t>BLEKINGE LÄN</t>
        </is>
      </c>
      <c r="G1901" t="inlineStr">
        <is>
          <t>KARLSKRONA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52903-2025</t>
        </is>
      </c>
      <c r="B1902" t="inlineStr">
        <is>
          <t>avverkningsanmälan</t>
        </is>
      </c>
      <c r="C1902" t="inlineStr">
        <is>
          <t>Föryngringsavverkning</t>
        </is>
      </c>
      <c r="D1902" s="1" t="n">
        <v>45957</v>
      </c>
      <c r="E1902" s="1" t="n">
        <v>46248</v>
      </c>
      <c r="F1902" t="inlineStr">
        <is>
          <t>BLEKINGE LÄN</t>
        </is>
      </c>
      <c r="G1902" t="inlineStr">
        <is>
          <t>KARLSKRONA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25309-2026</t>
        </is>
      </c>
      <c r="B1903" t="inlineStr">
        <is>
          <t>avverkningsanmälan</t>
        </is>
      </c>
      <c r="C1903" t="inlineStr">
        <is>
          <t>Föryngringsavverkning</t>
        </is>
      </c>
      <c r="D1903" s="1" t="n">
        <v>46176</v>
      </c>
      <c r="E1903" s="1" t="n">
        <v>46248</v>
      </c>
      <c r="F1903" t="inlineStr">
        <is>
          <t>BLEKINGE LÄN</t>
        </is>
      </c>
      <c r="G1903" t="inlineStr">
        <is>
          <t>KARLSKRONA</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25312-2026</t>
        </is>
      </c>
      <c r="B1904" t="inlineStr">
        <is>
          <t>avverkningsanmälan</t>
        </is>
      </c>
      <c r="C1904" t="inlineStr">
        <is>
          <t>Föryngringsavverkning</t>
        </is>
      </c>
      <c r="D1904" s="1" t="n">
        <v>46176</v>
      </c>
      <c r="E1904" s="1" t="n">
        <v>46248</v>
      </c>
      <c r="F1904" t="inlineStr">
        <is>
          <t>BLEKINGE LÄN</t>
        </is>
      </c>
      <c r="G1904" t="inlineStr">
        <is>
          <t>KARLSKRONA</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52893-2025</t>
        </is>
      </c>
      <c r="B1905" t="inlineStr">
        <is>
          <t>avverkningsanmälan</t>
        </is>
      </c>
      <c r="C1905" t="inlineStr">
        <is>
          <t>Föryngringsavverkning</t>
        </is>
      </c>
      <c r="D1905" s="1" t="n">
        <v>45957</v>
      </c>
      <c r="E1905" s="1" t="n">
        <v>46248</v>
      </c>
      <c r="F1905" t="inlineStr">
        <is>
          <t>BLEKINGE LÄN</t>
        </is>
      </c>
      <c r="G1905" t="inlineStr">
        <is>
          <t>SÖLVESBORG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52892-2025</t>
        </is>
      </c>
      <c r="B1906" t="inlineStr">
        <is>
          <t>avverkningsanmälan</t>
        </is>
      </c>
      <c r="C1906" t="inlineStr">
        <is>
          <t>Föryngringsavverkning</t>
        </is>
      </c>
      <c r="D1906" s="1" t="n">
        <v>45954</v>
      </c>
      <c r="E1906" s="1" t="n">
        <v>46248</v>
      </c>
      <c r="F1906" t="inlineStr">
        <is>
          <t>BLEKINGE LÄN</t>
        </is>
      </c>
      <c r="G1906" t="inlineStr">
        <is>
          <t>KARLSHAMN</t>
        </is>
      </c>
      <c r="I1906" t="n">
        <v>8.4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53130-2025</t>
        </is>
      </c>
      <c r="B1907" t="inlineStr">
        <is>
          <t>avverkningsanmälan</t>
        </is>
      </c>
      <c r="C1907" t="inlineStr">
        <is>
          <t>Föryngringsavverkning</t>
        </is>
      </c>
      <c r="D1907" s="1" t="n">
        <v>45958</v>
      </c>
      <c r="E1907" s="1" t="n">
        <v>46248</v>
      </c>
      <c r="F1907" t="inlineStr">
        <is>
          <t>BLEKINGE LÄN</t>
        </is>
      </c>
      <c r="G1907" t="inlineStr">
        <is>
          <t>KARLSKRONA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53149-2025</t>
        </is>
      </c>
      <c r="B1908" t="inlineStr">
        <is>
          <t>avverkningsanmälan</t>
        </is>
      </c>
      <c r="C1908" t="inlineStr">
        <is>
          <t>Föryngringsavverkning</t>
        </is>
      </c>
      <c r="D1908" s="1" t="n">
        <v>45958</v>
      </c>
      <c r="E1908" s="1" t="n">
        <v>46248</v>
      </c>
      <c r="F1908" t="inlineStr">
        <is>
          <t>BLEKINGE LÄN</t>
        </is>
      </c>
      <c r="G1908" t="inlineStr">
        <is>
          <t>KARLSKRONA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53146-2025</t>
        </is>
      </c>
      <c r="B1909" t="inlineStr">
        <is>
          <t>avverkningsanmälan</t>
        </is>
      </c>
      <c r="C1909" t="inlineStr">
        <is>
          <t>Föryngringsavverkning</t>
        </is>
      </c>
      <c r="D1909" s="1" t="n">
        <v>45958</v>
      </c>
      <c r="E1909" s="1" t="n">
        <v>46248</v>
      </c>
      <c r="F1909" t="inlineStr">
        <is>
          <t>BLEKINGE LÄN</t>
        </is>
      </c>
      <c r="G1909" t="inlineStr">
        <is>
          <t>KARLSKRONA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53135-2025</t>
        </is>
      </c>
      <c r="B1910" t="inlineStr">
        <is>
          <t>avverkningsanmälan</t>
        </is>
      </c>
      <c r="C1910" t="inlineStr">
        <is>
          <t>Föryngringsavverkning</t>
        </is>
      </c>
      <c r="D1910" s="1" t="n">
        <v>45958</v>
      </c>
      <c r="E1910" s="1" t="n">
        <v>46248</v>
      </c>
      <c r="F1910" t="inlineStr">
        <is>
          <t>BLEKINGE LÄN</t>
        </is>
      </c>
      <c r="G1910" t="inlineStr">
        <is>
          <t>KARLSKRONA</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53141-2025</t>
        </is>
      </c>
      <c r="B1911" t="inlineStr">
        <is>
          <t>avverkningsanmälan</t>
        </is>
      </c>
      <c r="C1911" t="inlineStr">
        <is>
          <t>Föryngringsavverkning</t>
        </is>
      </c>
      <c r="D1911" s="1" t="n">
        <v>45958</v>
      </c>
      <c r="E1911" s="1" t="n">
        <v>46248</v>
      </c>
      <c r="F1911" t="inlineStr">
        <is>
          <t>BLEKINGE LÄN</t>
        </is>
      </c>
      <c r="G1911" t="inlineStr">
        <is>
          <t>KARLSKRONA</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53143-2025</t>
        </is>
      </c>
      <c r="B1912" t="inlineStr">
        <is>
          <t>avverkningsanmälan</t>
        </is>
      </c>
      <c r="C1912" t="inlineStr">
        <is>
          <t>Föryngringsavverkning</t>
        </is>
      </c>
      <c r="D1912" s="1" t="n">
        <v>45958</v>
      </c>
      <c r="E1912" s="1" t="n">
        <v>46248</v>
      </c>
      <c r="F1912" t="inlineStr">
        <is>
          <t>BLEKINGE LÄN</t>
        </is>
      </c>
      <c r="G1912" t="inlineStr">
        <is>
          <t>KARLSKRONA</t>
        </is>
      </c>
      <c r="I1912" t="n">
        <v>7.8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53864-2025</t>
        </is>
      </c>
      <c r="B1913" t="inlineStr">
        <is>
          <t>avverkningsanmälan</t>
        </is>
      </c>
      <c r="C1913" t="inlineStr">
        <is>
          <t>Avverkning för annat ändamål</t>
        </is>
      </c>
      <c r="D1913" s="1" t="n">
        <v>45961</v>
      </c>
      <c r="E1913" s="1" t="n">
        <v>46248</v>
      </c>
      <c r="F1913" t="inlineStr">
        <is>
          <t>BLEKINGE LÄN</t>
        </is>
      </c>
      <c r="G1913" t="inlineStr">
        <is>
          <t>KARLSKRONA</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4359-2026</t>
        </is>
      </c>
      <c r="B1914" t="inlineStr">
        <is>
          <t>avverkningsanmälan</t>
        </is>
      </c>
      <c r="C1914" t="inlineStr">
        <is>
          <t>Föryngringsavverkning</t>
        </is>
      </c>
      <c r="D1914" s="1" t="n">
        <v>46045</v>
      </c>
      <c r="E1914" s="1" t="n">
        <v>46248</v>
      </c>
      <c r="F1914" t="inlineStr">
        <is>
          <t>BLEKINGE LÄN</t>
        </is>
      </c>
      <c r="G1914" t="inlineStr">
        <is>
          <t>KARLSHAMN</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25435-2026</t>
        </is>
      </c>
      <c r="B1915" t="inlineStr">
        <is>
          <t>avverkningsanmälan</t>
        </is>
      </c>
      <c r="C1915" t="inlineStr">
        <is>
          <t>Föryngringsavverkning</t>
        </is>
      </c>
      <c r="D1915" s="1" t="n">
        <v>46177</v>
      </c>
      <c r="E1915" s="1" t="n">
        <v>46248</v>
      </c>
      <c r="F1915" t="inlineStr">
        <is>
          <t>BLEKINGE LÄN</t>
        </is>
      </c>
      <c r="G1915" t="inlineStr">
        <is>
          <t>KARLSKRONA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53850-2025</t>
        </is>
      </c>
      <c r="B1916" t="inlineStr">
        <is>
          <t>avverkningsanmälan</t>
        </is>
      </c>
      <c r="C1916" t="inlineStr">
        <is>
          <t>Avverkning för annat ändamål</t>
        </is>
      </c>
      <c r="D1916" s="1" t="n">
        <v>45961</v>
      </c>
      <c r="E1916" s="1" t="n">
        <v>46248</v>
      </c>
      <c r="F1916" t="inlineStr">
        <is>
          <t>BLEKINGE LÄN</t>
        </is>
      </c>
      <c r="G1916" t="inlineStr">
        <is>
          <t>KARLSKRONA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53858-2025</t>
        </is>
      </c>
      <c r="B1917" t="inlineStr">
        <is>
          <t>avverkningsanmälan</t>
        </is>
      </c>
      <c r="C1917" t="inlineStr">
        <is>
          <t>Avverkning för annat ändamål</t>
        </is>
      </c>
      <c r="D1917" s="1" t="n">
        <v>45961</v>
      </c>
      <c r="E1917" s="1" t="n">
        <v>46248</v>
      </c>
      <c r="F1917" t="inlineStr">
        <is>
          <t>BLEKINGE LÄN</t>
        </is>
      </c>
      <c r="G1917" t="inlineStr">
        <is>
          <t>KARLSKRONA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25652-2026</t>
        </is>
      </c>
      <c r="B1918" t="inlineStr">
        <is>
          <t>avverkningsanmälan</t>
        </is>
      </c>
      <c r="C1918" t="inlineStr">
        <is>
          <t>Föryngringsavverkning</t>
        </is>
      </c>
      <c r="D1918" s="1" t="n">
        <v>46177</v>
      </c>
      <c r="E1918" s="1" t="n">
        <v>46248</v>
      </c>
      <c r="F1918" t="inlineStr">
        <is>
          <t>BLEKINGE LÄN</t>
        </is>
      </c>
      <c r="G1918" t="inlineStr">
        <is>
          <t>KARLSKRONA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54492-2025</t>
        </is>
      </c>
      <c r="B1919" t="inlineStr">
        <is>
          <t>avverkningsanmälan</t>
        </is>
      </c>
      <c r="C1919" t="inlineStr">
        <is>
          <t>Föryngringsavverkning</t>
        </is>
      </c>
      <c r="D1919" s="1" t="n">
        <v>45965</v>
      </c>
      <c r="E1919" s="1" t="n">
        <v>46248</v>
      </c>
      <c r="F1919" t="inlineStr">
        <is>
          <t>BLEKINGE LÄN</t>
        </is>
      </c>
      <c r="G1919" t="inlineStr">
        <is>
          <t>OLOFSTRÖM</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25648-2026</t>
        </is>
      </c>
      <c r="B1920" t="inlineStr">
        <is>
          <t>avverkningsanmälan</t>
        </is>
      </c>
      <c r="C1920" t="inlineStr">
        <is>
          <t>Föryngringsavverkning</t>
        </is>
      </c>
      <c r="D1920" s="1" t="n">
        <v>46177</v>
      </c>
      <c r="E1920" s="1" t="n">
        <v>46248</v>
      </c>
      <c r="F1920" t="inlineStr">
        <is>
          <t>BLEKINGE LÄN</t>
        </is>
      </c>
      <c r="G1920" t="inlineStr">
        <is>
          <t>KARLSKRONA</t>
        </is>
      </c>
      <c r="I1920" t="n">
        <v>9.5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25650-2026</t>
        </is>
      </c>
      <c r="B1921" t="inlineStr">
        <is>
          <t>avverkningsanmälan</t>
        </is>
      </c>
      <c r="C1921" t="inlineStr">
        <is>
          <t>Föryngringsavverkning</t>
        </is>
      </c>
      <c r="D1921" s="1" t="n">
        <v>46177</v>
      </c>
      <c r="E1921" s="1" t="n">
        <v>46248</v>
      </c>
      <c r="F1921" t="inlineStr">
        <is>
          <t>BLEKINGE LÄN</t>
        </is>
      </c>
      <c r="G1921" t="inlineStr">
        <is>
          <t>KARLSKRONA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31138-2026</t>
        </is>
      </c>
      <c r="B1922" t="inlineStr">
        <is>
          <t>avverkningsanmälan</t>
        </is>
      </c>
      <c r="C1922" t="inlineStr">
        <is>
          <t>Föryngringsavverkning</t>
        </is>
      </c>
      <c r="D1922" s="1" t="n">
        <v>46209</v>
      </c>
      <c r="E1922" s="1" t="n">
        <v>46248</v>
      </c>
      <c r="F1922" t="inlineStr">
        <is>
          <t>BLEKINGE LÄN</t>
        </is>
      </c>
      <c r="G1922" t="inlineStr">
        <is>
          <t>RONNEBY</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26290-2026</t>
        </is>
      </c>
      <c r="B1923" t="inlineStr">
        <is>
          <t>avverkningsanmälan</t>
        </is>
      </c>
      <c r="C1923" t="inlineStr">
        <is>
          <t>Föryngringsavverkning</t>
        </is>
      </c>
      <c r="D1923" s="1" t="n">
        <v>46182</v>
      </c>
      <c r="E1923" s="1" t="n">
        <v>46248</v>
      </c>
      <c r="F1923" t="inlineStr">
        <is>
          <t>BLEKINGE LÄN</t>
        </is>
      </c>
      <c r="G1923" t="inlineStr">
        <is>
          <t>RONNEBY</t>
        </is>
      </c>
      <c r="H1923" t="inlineStr">
        <is>
          <t>Övriga Aktiebolag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25988-2026</t>
        </is>
      </c>
      <c r="B1924" t="inlineStr">
        <is>
          <t>avverkningsanmälan</t>
        </is>
      </c>
      <c r="C1924" t="inlineStr">
        <is>
          <t>Föryngringsavverkning</t>
        </is>
      </c>
      <c r="D1924" s="1" t="n">
        <v>46181</v>
      </c>
      <c r="E1924" s="1" t="n">
        <v>46248</v>
      </c>
      <c r="F1924" t="inlineStr">
        <is>
          <t>BLEKINGE LÄN</t>
        </is>
      </c>
      <c r="G1924" t="inlineStr">
        <is>
          <t>KARLSHAMN</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54043-2025</t>
        </is>
      </c>
      <c r="B1925" t="inlineStr">
        <is>
          <t>avverkningsanmälan</t>
        </is>
      </c>
      <c r="C1925" t="inlineStr">
        <is>
          <t>Föryngringsavverkning</t>
        </is>
      </c>
      <c r="D1925" s="1" t="n">
        <v>45963</v>
      </c>
      <c r="E1925" s="1" t="n">
        <v>46248</v>
      </c>
      <c r="F1925" t="inlineStr">
        <is>
          <t>BLEKINGE LÄN</t>
        </is>
      </c>
      <c r="G1925" t="inlineStr">
        <is>
          <t>OLOFSTRÖM</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26087-2026</t>
        </is>
      </c>
      <c r="B1926" t="inlineStr">
        <is>
          <t>avverkningsanmälan</t>
        </is>
      </c>
      <c r="C1926" t="inlineStr">
        <is>
          <t>Föryngringsavverkning</t>
        </is>
      </c>
      <c r="D1926" s="1" t="n">
        <v>46181</v>
      </c>
      <c r="E1926" s="1" t="n">
        <v>46248</v>
      </c>
      <c r="F1926" t="inlineStr">
        <is>
          <t>BLEKINGE LÄN</t>
        </is>
      </c>
      <c r="G1926" t="inlineStr">
        <is>
          <t>KARLSHAMN</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25956-2026</t>
        </is>
      </c>
      <c r="B1927" t="inlineStr">
        <is>
          <t>avverkningsanmälan</t>
        </is>
      </c>
      <c r="C1927" t="inlineStr">
        <is>
          <t>Föryngringsavverkning</t>
        </is>
      </c>
      <c r="D1927" s="1" t="n">
        <v>46181</v>
      </c>
      <c r="E1927" s="1" t="n">
        <v>46248</v>
      </c>
      <c r="F1927" t="inlineStr">
        <is>
          <t>BLEKINGE LÄN</t>
        </is>
      </c>
      <c r="G1927" t="inlineStr">
        <is>
          <t>RONNEBY</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25948-2026</t>
        </is>
      </c>
      <c r="B1928" t="inlineStr">
        <is>
          <t>avverkningsanmälan</t>
        </is>
      </c>
      <c r="C1928" t="inlineStr">
        <is>
          <t>Föryngringsavverkning</t>
        </is>
      </c>
      <c r="D1928" s="1" t="n">
        <v>46181</v>
      </c>
      <c r="E1928" s="1" t="n">
        <v>46248</v>
      </c>
      <c r="F1928" t="inlineStr">
        <is>
          <t>BLEKINGE LÄN</t>
        </is>
      </c>
      <c r="G1928" t="inlineStr">
        <is>
          <t>RONNEBY</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49317-2025</t>
        </is>
      </c>
      <c r="B1929" t="inlineStr">
        <is>
          <t>avverkningsanmälan</t>
        </is>
      </c>
      <c r="C1929" t="inlineStr">
        <is>
          <t>Föryngringsavverkning</t>
        </is>
      </c>
      <c r="D1929" s="1" t="n">
        <v>45938</v>
      </c>
      <c r="E1929" s="1" t="n">
        <v>46248</v>
      </c>
      <c r="F1929" t="inlineStr">
        <is>
          <t>BLEKINGE LÄN</t>
        </is>
      </c>
      <c r="G1929" t="inlineStr">
        <is>
          <t>KARLSKRONA</t>
        </is>
      </c>
      <c r="I1929" t="n">
        <v>11.4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26287-2026</t>
        </is>
      </c>
      <c r="B1930" t="inlineStr">
        <is>
          <t>avverkningsanmälan</t>
        </is>
      </c>
      <c r="C1930" t="inlineStr">
        <is>
          <t>Föryngringsavverkning</t>
        </is>
      </c>
      <c r="D1930" s="1" t="n">
        <v>46182</v>
      </c>
      <c r="E1930" s="1" t="n">
        <v>46248</v>
      </c>
      <c r="F1930" t="inlineStr">
        <is>
          <t>BLEKINGE LÄN</t>
        </is>
      </c>
      <c r="G1930" t="inlineStr">
        <is>
          <t>RONNEBY</t>
        </is>
      </c>
      <c r="H1930" t="inlineStr">
        <is>
          <t>Övriga Aktiebolag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26092-2026</t>
        </is>
      </c>
      <c r="B1931" t="inlineStr">
        <is>
          <t>avverkningsanmälan</t>
        </is>
      </c>
      <c r="C1931" t="inlineStr">
        <is>
          <t>Föryngringsavverkning</t>
        </is>
      </c>
      <c r="D1931" s="1" t="n">
        <v>46181</v>
      </c>
      <c r="E1931" s="1" t="n">
        <v>46248</v>
      </c>
      <c r="F1931" t="inlineStr">
        <is>
          <t>BLEKINGE LÄN</t>
        </is>
      </c>
      <c r="G1931" t="inlineStr">
        <is>
          <t>KARLSKRONA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26115-2026</t>
        </is>
      </c>
      <c r="B1932" t="inlineStr">
        <is>
          <t>avverkningsanmälan</t>
        </is>
      </c>
      <c r="C1932" t="inlineStr">
        <is>
          <t>Föryngringsavverkning</t>
        </is>
      </c>
      <c r="D1932" s="1" t="n">
        <v>46181</v>
      </c>
      <c r="E1932" s="1" t="n">
        <v>46248</v>
      </c>
      <c r="F1932" t="inlineStr">
        <is>
          <t>BLEKINGE LÄN</t>
        </is>
      </c>
      <c r="G1932" t="inlineStr">
        <is>
          <t>KARLSHAMN</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26190-2026</t>
        </is>
      </c>
      <c r="B1933" t="inlineStr">
        <is>
          <t>avverkningsanmälan</t>
        </is>
      </c>
      <c r="C1933" t="inlineStr">
        <is>
          <t>Föryngringsavverkning</t>
        </is>
      </c>
      <c r="D1933" s="1" t="n">
        <v>46182</v>
      </c>
      <c r="E1933" s="1" t="n">
        <v>46248</v>
      </c>
      <c r="F1933" t="inlineStr">
        <is>
          <t>BLEKINGE LÄN</t>
        </is>
      </c>
      <c r="G1933" t="inlineStr">
        <is>
          <t>KARLSKRONA</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26099-2026</t>
        </is>
      </c>
      <c r="B1934" t="inlineStr">
        <is>
          <t>avverkningsanmälan</t>
        </is>
      </c>
      <c r="C1934" t="inlineStr">
        <is>
          <t>Föryngringsavverkning</t>
        </is>
      </c>
      <c r="D1934" s="1" t="n">
        <v>46181</v>
      </c>
      <c r="E1934" s="1" t="n">
        <v>46248</v>
      </c>
      <c r="F1934" t="inlineStr">
        <is>
          <t>BLEKINGE LÄN</t>
        </is>
      </c>
      <c r="G1934" t="inlineStr">
        <is>
          <t>KARLSKRONA</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26108-2026</t>
        </is>
      </c>
      <c r="B1935" t="inlineStr">
        <is>
          <t>avverkningsanmälan</t>
        </is>
      </c>
      <c r="C1935" t="inlineStr">
        <is>
          <t>Föryngringsavverkning</t>
        </is>
      </c>
      <c r="D1935" s="1" t="n">
        <v>46181</v>
      </c>
      <c r="E1935" s="1" t="n">
        <v>46248</v>
      </c>
      <c r="F1935" t="inlineStr">
        <is>
          <t>BLEKINGE LÄN</t>
        </is>
      </c>
      <c r="G1935" t="inlineStr">
        <is>
          <t>KARLSKRONA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26111-2026</t>
        </is>
      </c>
      <c r="B1936" t="inlineStr">
        <is>
          <t>avverkningsanmälan</t>
        </is>
      </c>
      <c r="C1936" t="inlineStr">
        <is>
          <t>Föryngringsavverkning</t>
        </is>
      </c>
      <c r="D1936" s="1" t="n">
        <v>46181</v>
      </c>
      <c r="E1936" s="1" t="n">
        <v>46248</v>
      </c>
      <c r="F1936" t="inlineStr">
        <is>
          <t>BLEKINGE LÄN</t>
        </is>
      </c>
      <c r="G1936" t="inlineStr">
        <is>
          <t>RONNEBY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55074-2025</t>
        </is>
      </c>
      <c r="B1937" t="inlineStr">
        <is>
          <t>avverkningsanmälan</t>
        </is>
      </c>
      <c r="C1937" t="inlineStr">
        <is>
          <t>Föryngringsavverkning</t>
        </is>
      </c>
      <c r="D1937" s="1" t="n">
        <v>45967</v>
      </c>
      <c r="E1937" s="1" t="n">
        <v>46248</v>
      </c>
      <c r="F1937" t="inlineStr">
        <is>
          <t>BLEKINGE LÄN</t>
        </is>
      </c>
      <c r="G1937" t="inlineStr">
        <is>
          <t>OLOFSTRÖM</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55076-2025</t>
        </is>
      </c>
      <c r="B1938" t="inlineStr">
        <is>
          <t>avverkningsanmälan</t>
        </is>
      </c>
      <c r="C1938" t="inlineStr">
        <is>
          <t>Föryngringsavverkning</t>
        </is>
      </c>
      <c r="D1938" s="1" t="n">
        <v>45967</v>
      </c>
      <c r="E1938" s="1" t="n">
        <v>46248</v>
      </c>
      <c r="F1938" t="inlineStr">
        <is>
          <t>BLEKINGE LÄN</t>
        </is>
      </c>
      <c r="G1938" t="inlineStr">
        <is>
          <t>KARLSHAMN</t>
        </is>
      </c>
      <c r="H1938" t="inlineStr">
        <is>
          <t>Sveaskog</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55075-2025</t>
        </is>
      </c>
      <c r="B1939" t="inlineStr">
        <is>
          <t>avverkningsanmälan</t>
        </is>
      </c>
      <c r="C1939" t="inlineStr">
        <is>
          <t>Föryngringsavverkning</t>
        </is>
      </c>
      <c r="D1939" s="1" t="n">
        <v>45967</v>
      </c>
      <c r="E1939" s="1" t="n">
        <v>46248</v>
      </c>
      <c r="F1939" t="inlineStr">
        <is>
          <t>BLEKINGE LÄN</t>
        </is>
      </c>
      <c r="G1939" t="inlineStr">
        <is>
          <t>KARLSHAMN</t>
        </is>
      </c>
      <c r="H1939" t="inlineStr">
        <is>
          <t>Sveaskog</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26412-2026</t>
        </is>
      </c>
      <c r="B1940" t="inlineStr">
        <is>
          <t>avverkningsanmälan</t>
        </is>
      </c>
      <c r="C1940" t="inlineStr">
        <is>
          <t>Föryngringsavverkning</t>
        </is>
      </c>
      <c r="D1940" s="1" t="n">
        <v>46183</v>
      </c>
      <c r="E1940" s="1" t="n">
        <v>46248</v>
      </c>
      <c r="F1940" t="inlineStr">
        <is>
          <t>BLEKINGE LÄN</t>
        </is>
      </c>
      <c r="G1940" t="inlineStr">
        <is>
          <t>KARLSKRONA</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26779-2026</t>
        </is>
      </c>
      <c r="B1941" t="inlineStr">
        <is>
          <t>avverkningsanmälan</t>
        </is>
      </c>
      <c r="C1941" t="inlineStr">
        <is>
          <t>Föryngringsavverkning</t>
        </is>
      </c>
      <c r="D1941" s="1" t="n">
        <v>46184</v>
      </c>
      <c r="E1941" s="1" t="n">
        <v>46248</v>
      </c>
      <c r="F1941" t="inlineStr">
        <is>
          <t>BLEKINGE LÄN</t>
        </is>
      </c>
      <c r="G1941" t="inlineStr">
        <is>
          <t>RONNEBY</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26706-2026</t>
        </is>
      </c>
      <c r="B1942" t="inlineStr">
        <is>
          <t>avverkningsanmälan</t>
        </is>
      </c>
      <c r="C1942" t="inlineStr">
        <is>
          <t>Föryngringsavverkning</t>
        </is>
      </c>
      <c r="D1942" s="1" t="n">
        <v>46184</v>
      </c>
      <c r="E1942" s="1" t="n">
        <v>46248</v>
      </c>
      <c r="F1942" t="inlineStr">
        <is>
          <t>BLEKINGE LÄN</t>
        </is>
      </c>
      <c r="G1942" t="inlineStr">
        <is>
          <t>RONNEBY</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26744-2026</t>
        </is>
      </c>
      <c r="B1943" t="inlineStr">
        <is>
          <t>avverkningsanmälan</t>
        </is>
      </c>
      <c r="C1943" t="inlineStr">
        <is>
          <t>Föryngringsavverkning</t>
        </is>
      </c>
      <c r="D1943" s="1" t="n">
        <v>46184</v>
      </c>
      <c r="E1943" s="1" t="n">
        <v>46248</v>
      </c>
      <c r="F1943" t="inlineStr">
        <is>
          <t>BLEKINGE LÄN</t>
        </is>
      </c>
      <c r="G1943" t="inlineStr">
        <is>
          <t>SÖLVESBORG</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55834-2025</t>
        </is>
      </c>
      <c r="B1944" t="inlineStr">
        <is>
          <t>avverkningsanmälan</t>
        </is>
      </c>
      <c r="C1944" t="inlineStr">
        <is>
          <t>Föryngringsavverkning</t>
        </is>
      </c>
      <c r="D1944" s="1" t="n">
        <v>45972</v>
      </c>
      <c r="E1944" s="1" t="n">
        <v>46248</v>
      </c>
      <c r="F1944" t="inlineStr">
        <is>
          <t>BLEKINGE LÄN</t>
        </is>
      </c>
      <c r="G1944" t="inlineStr">
        <is>
          <t>KARLSKRONA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31703-2026</t>
        </is>
      </c>
      <c r="B1945" t="inlineStr">
        <is>
          <t>avverkningsanmälan</t>
        </is>
      </c>
      <c r="C1945" t="inlineStr">
        <is>
          <t>Föryngringsavverkning</t>
        </is>
      </c>
      <c r="D1945" s="1" t="n">
        <v>46226</v>
      </c>
      <c r="E1945" s="1" t="n">
        <v>46248</v>
      </c>
      <c r="F1945" t="inlineStr">
        <is>
          <t>BLEKINGE LÄN</t>
        </is>
      </c>
      <c r="G1945" t="inlineStr">
        <is>
          <t>RONNEBY</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56139-2025</t>
        </is>
      </c>
      <c r="B1946" t="inlineStr">
        <is>
          <t>avverkningsanmälan</t>
        </is>
      </c>
      <c r="C1946" t="inlineStr">
        <is>
          <t>Föryngringsavverkning</t>
        </is>
      </c>
      <c r="D1946" s="1" t="n">
        <v>45974</v>
      </c>
      <c r="E1946" s="1" t="n">
        <v>46248</v>
      </c>
      <c r="F1946" t="inlineStr">
        <is>
          <t>BLEKINGE LÄN</t>
        </is>
      </c>
      <c r="G1946" t="inlineStr">
        <is>
          <t>RONNEBY</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56678-2025</t>
        </is>
      </c>
      <c r="B1947" t="inlineStr">
        <is>
          <t>avverkningsanmälan</t>
        </is>
      </c>
      <c r="C1947" t="inlineStr">
        <is>
          <t>Föryngringsavverkning</t>
        </is>
      </c>
      <c r="D1947" s="1" t="n">
        <v>45975</v>
      </c>
      <c r="E1947" s="1" t="n">
        <v>46248</v>
      </c>
      <c r="F1947" t="inlineStr">
        <is>
          <t>BLEKINGE LÄN</t>
        </is>
      </c>
      <c r="G1947" t="inlineStr">
        <is>
          <t>OLOFSTRÖM</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31784-2026</t>
        </is>
      </c>
      <c r="B1948" t="inlineStr">
        <is>
          <t>avverkningsanmälan</t>
        </is>
      </c>
      <c r="C1948" t="inlineStr">
        <is>
          <t>Föryngringsavverkning</t>
        </is>
      </c>
      <c r="D1948" s="1" t="n">
        <v>46230</v>
      </c>
      <c r="E1948" s="1" t="n">
        <v>46248</v>
      </c>
      <c r="F1948" t="inlineStr">
        <is>
          <t>BLEKINGE LÄN</t>
        </is>
      </c>
      <c r="G1948" t="inlineStr">
        <is>
          <t>KARLSKRONA</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56681-2025</t>
        </is>
      </c>
      <c r="B1949" t="inlineStr">
        <is>
          <t>avverkningsanmälan</t>
        </is>
      </c>
      <c r="C1949" t="inlineStr">
        <is>
          <t>Föryngringsavverkning</t>
        </is>
      </c>
      <c r="D1949" s="1" t="n">
        <v>45975</v>
      </c>
      <c r="E1949" s="1" t="n">
        <v>46248</v>
      </c>
      <c r="F1949" t="inlineStr">
        <is>
          <t>BLEKINGE LÄN</t>
        </is>
      </c>
      <c r="G1949" t="inlineStr">
        <is>
          <t>RONNEBY</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56756-2025</t>
        </is>
      </c>
      <c r="B1950" t="inlineStr">
        <is>
          <t>avverkningsanmälan</t>
        </is>
      </c>
      <c r="C1950" t="inlineStr">
        <is>
          <t>Föryngringsavverkning</t>
        </is>
      </c>
      <c r="D1950" s="1" t="n">
        <v>45978</v>
      </c>
      <c r="E1950" s="1" t="n">
        <v>46248</v>
      </c>
      <c r="F1950" t="inlineStr">
        <is>
          <t>BLEKINGE LÄN</t>
        </is>
      </c>
      <c r="G1950" t="inlineStr">
        <is>
          <t>KARLSKRONA</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56976-2025</t>
        </is>
      </c>
      <c r="B1951" t="inlineStr">
        <is>
          <t>avverkningsanmälan</t>
        </is>
      </c>
      <c r="C1951" t="inlineStr">
        <is>
          <t>Föryngringsavverkning</t>
        </is>
      </c>
      <c r="D1951" s="1" t="n">
        <v>45978</v>
      </c>
      <c r="E1951" s="1" t="n">
        <v>46248</v>
      </c>
      <c r="F1951" t="inlineStr">
        <is>
          <t>BLEKINGE LÄN</t>
        </is>
      </c>
      <c r="G1951" t="inlineStr">
        <is>
          <t>RONNEBY</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31924-2026</t>
        </is>
      </c>
      <c r="B1952" t="inlineStr">
        <is>
          <t>avverkningsanmälan</t>
        </is>
      </c>
      <c r="C1952" t="inlineStr">
        <is>
          <t>Föryngringsavverkning</t>
        </is>
      </c>
      <c r="D1952" s="1" t="n">
        <v>46231</v>
      </c>
      <c r="E1952" s="1" t="n">
        <v>46248</v>
      </c>
      <c r="F1952" t="inlineStr">
        <is>
          <t>BLEKINGE LÄN</t>
        </is>
      </c>
      <c r="G1952" t="inlineStr">
        <is>
          <t>KARLSHAMN</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27151-2026</t>
        </is>
      </c>
      <c r="B1953" t="inlineStr">
        <is>
          <t>avverkningsanmälan</t>
        </is>
      </c>
      <c r="C1953" t="inlineStr">
        <is>
          <t>Föryngringsavverkning</t>
        </is>
      </c>
      <c r="D1953" s="1" t="n">
        <v>46188</v>
      </c>
      <c r="E1953" s="1" t="n">
        <v>46248</v>
      </c>
      <c r="F1953" t="inlineStr">
        <is>
          <t>BLEKINGE LÄN</t>
        </is>
      </c>
      <c r="G1953" t="inlineStr">
        <is>
          <t>SÖLVESBORG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27209-2026</t>
        </is>
      </c>
      <c r="B1954" t="inlineStr">
        <is>
          <t>avverkningsanmälan</t>
        </is>
      </c>
      <c r="C1954" t="inlineStr">
        <is>
          <t>Föryngringsavverkning</t>
        </is>
      </c>
      <c r="D1954" s="1" t="n">
        <v>46188</v>
      </c>
      <c r="E1954" s="1" t="n">
        <v>46248</v>
      </c>
      <c r="F1954" t="inlineStr">
        <is>
          <t>BLEKINGE LÄN</t>
        </is>
      </c>
      <c r="G1954" t="inlineStr">
        <is>
          <t>KARLSKRONA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56977-2025</t>
        </is>
      </c>
      <c r="B1955" t="inlineStr">
        <is>
          <t>avverkningsanmälan</t>
        </is>
      </c>
      <c r="C1955" t="inlineStr">
        <is>
          <t>Föryngringsavverkning</t>
        </is>
      </c>
      <c r="D1955" s="1" t="n">
        <v>45978</v>
      </c>
      <c r="E1955" s="1" t="n">
        <v>46248</v>
      </c>
      <c r="F1955" t="inlineStr">
        <is>
          <t>BLEKINGE LÄN</t>
        </is>
      </c>
      <c r="G1955" t="inlineStr">
        <is>
          <t>RONNEBY</t>
        </is>
      </c>
      <c r="I1955" t="n">
        <v>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27230-2026</t>
        </is>
      </c>
      <c r="B1956" t="inlineStr">
        <is>
          <t>avverkningsanmälan</t>
        </is>
      </c>
      <c r="C1956" t="inlineStr">
        <is>
          <t>Föryngringsavverkning</t>
        </is>
      </c>
      <c r="D1956" s="1" t="n">
        <v>46188</v>
      </c>
      <c r="E1956" s="1" t="n">
        <v>46248</v>
      </c>
      <c r="F1956" t="inlineStr">
        <is>
          <t>BLEKINGE LÄN</t>
        </is>
      </c>
      <c r="G1956" t="inlineStr">
        <is>
          <t>KARLSKRONA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27010-2026</t>
        </is>
      </c>
      <c r="B1957" t="inlineStr">
        <is>
          <t>avverkningsanmälan</t>
        </is>
      </c>
      <c r="C1957" t="inlineStr">
        <is>
          <t>Föryngringsavverkning</t>
        </is>
      </c>
      <c r="D1957" s="1" t="n">
        <v>46185</v>
      </c>
      <c r="E1957" s="1" t="n">
        <v>46248</v>
      </c>
      <c r="F1957" t="inlineStr">
        <is>
          <t>BLEKINGE LÄN</t>
        </is>
      </c>
      <c r="G1957" t="inlineStr">
        <is>
          <t>KARLSKRONA</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31761-2026</t>
        </is>
      </c>
      <c r="B1958" t="inlineStr">
        <is>
          <t>avverkningsanmälan</t>
        </is>
      </c>
      <c r="C1958" t="inlineStr">
        <is>
          <t>Föryngringsavverkning</t>
        </is>
      </c>
      <c r="D1958" s="1" t="n">
        <v>46229</v>
      </c>
      <c r="E1958" s="1" t="n">
        <v>46248</v>
      </c>
      <c r="F1958" t="inlineStr">
        <is>
          <t>BLEKINGE LÄN</t>
        </is>
      </c>
      <c r="G1958" t="inlineStr">
        <is>
          <t>RONNEBY</t>
        </is>
      </c>
      <c r="H1958" t="inlineStr">
        <is>
          <t>Övriga Aktiebolag</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31938-2026</t>
        </is>
      </c>
      <c r="B1959" t="inlineStr">
        <is>
          <t>avverkningsanmälan</t>
        </is>
      </c>
      <c r="C1959" t="inlineStr">
        <is>
          <t>Föryngringsavverkning</t>
        </is>
      </c>
      <c r="D1959" s="1" t="n">
        <v>46232</v>
      </c>
      <c r="E1959" s="1" t="n">
        <v>46248</v>
      </c>
      <c r="F1959" t="inlineStr">
        <is>
          <t>BLEKINGE LÄN</t>
        </is>
      </c>
      <c r="G1959" t="inlineStr">
        <is>
          <t>KARLSHAMN</t>
        </is>
      </c>
      <c r="I1959" t="n">
        <v>3.9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57710-2025</t>
        </is>
      </c>
      <c r="B1960" t="inlineStr">
        <is>
          <t>avverkningsanmälan</t>
        </is>
      </c>
      <c r="C1960" t="inlineStr">
        <is>
          <t>Föryngringsavverkning</t>
        </is>
      </c>
      <c r="D1960" s="1" t="n">
        <v>45981</v>
      </c>
      <c r="E1960" s="1" t="n">
        <v>46248</v>
      </c>
      <c r="F1960" t="inlineStr">
        <is>
          <t>BLEKINGE LÄN</t>
        </is>
      </c>
      <c r="G1960" t="inlineStr">
        <is>
          <t>KARLSKRONA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27712-2026</t>
        </is>
      </c>
      <c r="B1961" t="inlineStr">
        <is>
          <t>avverkningsanmälan</t>
        </is>
      </c>
      <c r="C1961" t="inlineStr">
        <is>
          <t>Föryngringsavverkning</t>
        </is>
      </c>
      <c r="D1961" s="1" t="n">
        <v>46190</v>
      </c>
      <c r="E1961" s="1" t="n">
        <v>46248</v>
      </c>
      <c r="F1961" t="inlineStr">
        <is>
          <t>BLEKINGE LÄN</t>
        </is>
      </c>
      <c r="G1961" t="inlineStr">
        <is>
          <t>KARLSHAMN</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61432-2025</t>
        </is>
      </c>
      <c r="B1962" t="inlineStr">
        <is>
          <t>avverkningsanmälan</t>
        </is>
      </c>
      <c r="C1962" t="inlineStr">
        <is>
          <t>Föryngringsavverkning</t>
        </is>
      </c>
      <c r="D1962" s="1" t="n">
        <v>46001</v>
      </c>
      <c r="E1962" s="1" t="n">
        <v>46248</v>
      </c>
      <c r="F1962" t="inlineStr">
        <is>
          <t>BLEKINGE LÄN</t>
        </is>
      </c>
      <c r="G1962" t="inlineStr">
        <is>
          <t>KARLSHAMN</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57842-2025</t>
        </is>
      </c>
      <c r="B1963" t="inlineStr">
        <is>
          <t>avverkningsanmälan</t>
        </is>
      </c>
      <c r="C1963" t="inlineStr">
        <is>
          <t>Föryngringsavverkning</t>
        </is>
      </c>
      <c r="D1963" s="1" t="n">
        <v>45981</v>
      </c>
      <c r="E1963" s="1" t="n">
        <v>46248</v>
      </c>
      <c r="F1963" t="inlineStr">
        <is>
          <t>BLEKINGE LÄN</t>
        </is>
      </c>
      <c r="G1963" t="inlineStr">
        <is>
          <t>KARLSHAMN</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57738-2025</t>
        </is>
      </c>
      <c r="B1964" t="inlineStr">
        <is>
          <t>avverkningsanmälan</t>
        </is>
      </c>
      <c r="C1964" t="inlineStr">
        <is>
          <t>Föryngringsavverkning</t>
        </is>
      </c>
      <c r="D1964" s="1" t="n">
        <v>45981</v>
      </c>
      <c r="E1964" s="1" t="n">
        <v>46248</v>
      </c>
      <c r="F1964" t="inlineStr">
        <is>
          <t>BLEKINGE LÄN</t>
        </is>
      </c>
      <c r="G1964" t="inlineStr">
        <is>
          <t>RONNEBY</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57826-2025</t>
        </is>
      </c>
      <c r="B1965" t="inlineStr">
        <is>
          <t>avverkningsanmälan</t>
        </is>
      </c>
      <c r="C1965" t="inlineStr">
        <is>
          <t>Föryngringsavverkning</t>
        </is>
      </c>
      <c r="D1965" s="1" t="n">
        <v>45981</v>
      </c>
      <c r="E1965" s="1" t="n">
        <v>46248</v>
      </c>
      <c r="F1965" t="inlineStr">
        <is>
          <t>BLEKINGE LÄN</t>
        </is>
      </c>
      <c r="G1965" t="inlineStr">
        <is>
          <t>KARLSHAMN</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27754-2026</t>
        </is>
      </c>
      <c r="B1966" t="inlineStr">
        <is>
          <t>avverkningsanmälan</t>
        </is>
      </c>
      <c r="C1966" t="inlineStr">
        <is>
          <t>Föryngringsavverkning</t>
        </is>
      </c>
      <c r="D1966" s="1" t="n">
        <v>46191</v>
      </c>
      <c r="E1966" s="1" t="n">
        <v>46248</v>
      </c>
      <c r="F1966" t="inlineStr">
        <is>
          <t>BLEKINGE LÄN</t>
        </is>
      </c>
      <c r="G1966" t="inlineStr">
        <is>
          <t>KARLSHAMN</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58648-2025</t>
        </is>
      </c>
      <c r="B1967" t="inlineStr">
        <is>
          <t>avverkningsanmälan</t>
        </is>
      </c>
      <c r="C1967" t="inlineStr">
        <is>
          <t>Avverkning för annat ändamål</t>
        </is>
      </c>
      <c r="D1967" s="1" t="n">
        <v>45986</v>
      </c>
      <c r="E1967" s="1" t="n">
        <v>46248</v>
      </c>
      <c r="F1967" t="inlineStr">
        <is>
          <t>BLEKINGE LÄN</t>
        </is>
      </c>
      <c r="G1967" t="inlineStr">
        <is>
          <t>RONNEBY</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58652-2025</t>
        </is>
      </c>
      <c r="B1968" t="inlineStr">
        <is>
          <t>avverkningsanmälan</t>
        </is>
      </c>
      <c r="C1968" t="inlineStr">
        <is>
          <t>Föryngringsavverkning</t>
        </is>
      </c>
      <c r="D1968" s="1" t="n">
        <v>45986</v>
      </c>
      <c r="E1968" s="1" t="n">
        <v>46248</v>
      </c>
      <c r="F1968" t="inlineStr">
        <is>
          <t>BLEKINGE LÄN</t>
        </is>
      </c>
      <c r="G1968" t="inlineStr">
        <is>
          <t>RONNEBY</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58753-2025</t>
        </is>
      </c>
      <c r="B1969" t="inlineStr">
        <is>
          <t>avverkningsanmälan</t>
        </is>
      </c>
      <c r="C1969" t="inlineStr">
        <is>
          <t>Föryngringsavverkning</t>
        </is>
      </c>
      <c r="D1969" s="1" t="n">
        <v>45986</v>
      </c>
      <c r="E1969" s="1" t="n">
        <v>46248</v>
      </c>
      <c r="F1969" t="inlineStr">
        <is>
          <t>BLEKINGE LÄN</t>
        </is>
      </c>
      <c r="G1969" t="inlineStr">
        <is>
          <t>KARLSHAMN</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59249-2025</t>
        </is>
      </c>
      <c r="B1970" t="inlineStr">
        <is>
          <t>avverkningsanmälan</t>
        </is>
      </c>
      <c r="C1970" t="inlineStr">
        <is>
          <t>Föryngringsavverkning</t>
        </is>
      </c>
      <c r="D1970" s="1" t="n">
        <v>45988</v>
      </c>
      <c r="E1970" s="1" t="n">
        <v>46248</v>
      </c>
      <c r="F1970" t="inlineStr">
        <is>
          <t>BLEKINGE LÄN</t>
        </is>
      </c>
      <c r="G1970" t="inlineStr">
        <is>
          <t>OLOFSTRÖM</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32266-2026</t>
        </is>
      </c>
      <c r="B1971" t="inlineStr">
        <is>
          <t>avverkningsanmälan</t>
        </is>
      </c>
      <c r="C1971" t="inlineStr">
        <is>
          <t>Föryngringsavverkning</t>
        </is>
      </c>
      <c r="D1971" s="1" t="n">
        <v>46237</v>
      </c>
      <c r="E1971" s="1" t="n">
        <v>46248</v>
      </c>
      <c r="F1971" t="inlineStr">
        <is>
          <t>BLEKINGE LÄN</t>
        </is>
      </c>
      <c r="G1971" t="inlineStr">
        <is>
          <t>KARLSHAMN</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59276-2025</t>
        </is>
      </c>
      <c r="B1972" t="inlineStr">
        <is>
          <t>avverkningsanmälan</t>
        </is>
      </c>
      <c r="C1972" t="inlineStr">
        <is>
          <t>Föryngringsavverkning</t>
        </is>
      </c>
      <c r="D1972" s="1" t="n">
        <v>45988</v>
      </c>
      <c r="E1972" s="1" t="n">
        <v>46248</v>
      </c>
      <c r="F1972" t="inlineStr">
        <is>
          <t>BLEKINGE LÄN</t>
        </is>
      </c>
      <c r="G1972" t="inlineStr">
        <is>
          <t>KARLSHAMN</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20093-2025</t>
        </is>
      </c>
      <c r="B1973" t="inlineStr">
        <is>
          <t>avverkningsanmälan</t>
        </is>
      </c>
      <c r="C1973" t="inlineStr">
        <is>
          <t>Föryngringsavverkning</t>
        </is>
      </c>
      <c r="D1973" s="1" t="n">
        <v>45772</v>
      </c>
      <c r="E1973" s="1" t="n">
        <v>46248</v>
      </c>
      <c r="F1973" t="inlineStr">
        <is>
          <t>BLEKINGE LÄN</t>
        </is>
      </c>
      <c r="G1973" t="inlineStr">
        <is>
          <t>SÖLVESBORG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34319-2025</t>
        </is>
      </c>
      <c r="B1974" t="inlineStr">
        <is>
          <t>avverkningsanmälan</t>
        </is>
      </c>
      <c r="C1974" t="inlineStr">
        <is>
          <t>Avverkning för att bevara och utveckla /försöksver</t>
        </is>
      </c>
      <c r="D1974" s="1" t="n">
        <v>45846</v>
      </c>
      <c r="E1974" s="1" t="n">
        <v>46248</v>
      </c>
      <c r="F1974" t="inlineStr">
        <is>
          <t>BLEKINGE LÄN</t>
        </is>
      </c>
      <c r="G1974" t="inlineStr">
        <is>
          <t>KARLSKRONA</t>
        </is>
      </c>
      <c r="H1974" t="inlineStr">
        <is>
          <t>Kommuner</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28320-2026</t>
        </is>
      </c>
      <c r="B1975" t="inlineStr">
        <is>
          <t>avverkningsanmälan</t>
        </is>
      </c>
      <c r="C1975" t="inlineStr">
        <is>
          <t>Föryngringsavverkning</t>
        </is>
      </c>
      <c r="D1975" s="1" t="n">
        <v>46196</v>
      </c>
      <c r="E1975" s="1" t="n">
        <v>46248</v>
      </c>
      <c r="F1975" t="inlineStr">
        <is>
          <t>BLEKINGE LÄN</t>
        </is>
      </c>
      <c r="G1975" t="inlineStr">
        <is>
          <t>KARLSHAMN</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59846-2025</t>
        </is>
      </c>
      <c r="B1976" t="inlineStr">
        <is>
          <t>avverkningsanmälan</t>
        </is>
      </c>
      <c r="C1976" t="inlineStr">
        <is>
          <t>Föryngringsavverkning</t>
        </is>
      </c>
      <c r="D1976" s="1" t="n">
        <v>45992</v>
      </c>
      <c r="E1976" s="1" t="n">
        <v>46248</v>
      </c>
      <c r="F1976" t="inlineStr">
        <is>
          <t>BLEKINGE LÄN</t>
        </is>
      </c>
      <c r="G1976" t="inlineStr">
        <is>
          <t>RONNEBY</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44702-2025</t>
        </is>
      </c>
      <c r="B1977" t="inlineStr">
        <is>
          <t>avverkningsanmälan</t>
        </is>
      </c>
      <c r="C1977" t="inlineStr">
        <is>
          <t>Föryngringsavverkning</t>
        </is>
      </c>
      <c r="D1977" s="1" t="n">
        <v>45917</v>
      </c>
      <c r="E1977" s="1" t="n">
        <v>46248</v>
      </c>
      <c r="F1977" t="inlineStr">
        <is>
          <t>BLEKINGE LÄN</t>
        </is>
      </c>
      <c r="G1977" t="inlineStr">
        <is>
          <t>KARLSHAMN</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20155-2025</t>
        </is>
      </c>
      <c r="B1978" t="inlineStr">
        <is>
          <t>avverkningsanmälan</t>
        </is>
      </c>
      <c r="C1978" t="inlineStr">
        <is>
          <t>Föryngringsavverkning</t>
        </is>
      </c>
      <c r="D1978" s="1" t="n">
        <v>45772</v>
      </c>
      <c r="E1978" s="1" t="n">
        <v>46248</v>
      </c>
      <c r="F1978" t="inlineStr">
        <is>
          <t>BLEKINGE LÄN</t>
        </is>
      </c>
      <c r="G1978" t="inlineStr">
        <is>
          <t>SÖLVESBORG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20127-2025</t>
        </is>
      </c>
      <c r="B1979" t="inlineStr">
        <is>
          <t>avverkningsanmälan</t>
        </is>
      </c>
      <c r="C1979" t="inlineStr">
        <is>
          <t>Föryngringsavverkning</t>
        </is>
      </c>
      <c r="D1979" s="1" t="n">
        <v>45772</v>
      </c>
      <c r="E1979" s="1" t="n">
        <v>46248</v>
      </c>
      <c r="F1979" t="inlineStr">
        <is>
          <t>BLEKINGE LÄN</t>
        </is>
      </c>
      <c r="G1979" t="inlineStr">
        <is>
          <t>SÖLVESBORG</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28040-2026</t>
        </is>
      </c>
      <c r="B1980" t="inlineStr">
        <is>
          <t>avverkningsanmälan</t>
        </is>
      </c>
      <c r="C1980" t="inlineStr">
        <is>
          <t>Föryngringsavverkning</t>
        </is>
      </c>
      <c r="D1980" s="1" t="n">
        <v>46195</v>
      </c>
      <c r="E1980" s="1" t="n">
        <v>46248</v>
      </c>
      <c r="F1980" t="inlineStr">
        <is>
          <t>BLEKINGE LÄN</t>
        </is>
      </c>
      <c r="G1980" t="inlineStr">
        <is>
          <t>RONNEBY</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32577-2026</t>
        </is>
      </c>
      <c r="B1981" t="inlineStr">
        <is>
          <t>avverkningsanmälan</t>
        </is>
      </c>
      <c r="C1981" t="inlineStr">
        <is>
          <t>Föryngringsavverkning</t>
        </is>
      </c>
      <c r="D1981" s="1" t="n">
        <v>46239</v>
      </c>
      <c r="E1981" s="1" t="n">
        <v>46248</v>
      </c>
      <c r="F1981" t="inlineStr">
        <is>
          <t>BLEKINGE LÄN</t>
        </is>
      </c>
      <c r="G1981" t="inlineStr">
        <is>
          <t>KARLSKRONA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34323-2025</t>
        </is>
      </c>
      <c r="B1982" t="inlineStr">
        <is>
          <t>avverkningsanmälan</t>
        </is>
      </c>
      <c r="C1982" t="inlineStr">
        <is>
          <t>Föryngringsavverkning</t>
        </is>
      </c>
      <c r="D1982" s="1" t="n">
        <v>45846</v>
      </c>
      <c r="E1982" s="1" t="n">
        <v>46248</v>
      </c>
      <c r="F1982" t="inlineStr">
        <is>
          <t>BLEKINGE LÄN</t>
        </is>
      </c>
      <c r="G1982" t="inlineStr">
        <is>
          <t>KARLSKRONA</t>
        </is>
      </c>
      <c r="H1982" t="inlineStr">
        <is>
          <t>Kommuner</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28082-2026</t>
        </is>
      </c>
      <c r="B1983" t="inlineStr">
        <is>
          <t>avverkningsanmälan</t>
        </is>
      </c>
      <c r="C1983" t="inlineStr">
        <is>
          <t>Föryngringsavverkning</t>
        </is>
      </c>
      <c r="D1983" s="1" t="n">
        <v>46195</v>
      </c>
      <c r="E1983" s="1" t="n">
        <v>46248</v>
      </c>
      <c r="F1983" t="inlineStr">
        <is>
          <t>BLEKINGE LÄN</t>
        </is>
      </c>
      <c r="G1983" t="inlineStr">
        <is>
          <t>SÖLVESBORG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60360-2025</t>
        </is>
      </c>
      <c r="B1984" t="inlineStr">
        <is>
          <t>avverkningsanmälan</t>
        </is>
      </c>
      <c r="C1984" t="inlineStr">
        <is>
          <t>Föryngringsavverkning</t>
        </is>
      </c>
      <c r="D1984" s="1" t="n">
        <v>45995</v>
      </c>
      <c r="E1984" s="1" t="n">
        <v>46248</v>
      </c>
      <c r="F1984" t="inlineStr">
        <is>
          <t>BLEKINGE LÄN</t>
        </is>
      </c>
      <c r="G1984" t="inlineStr">
        <is>
          <t>RONNEBY</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35396-2025</t>
        </is>
      </c>
      <c r="B1985" t="inlineStr">
        <is>
          <t>avverkningsanmälan</t>
        </is>
      </c>
      <c r="C1985" t="inlineStr">
        <is>
          <t>Föryngringsavverkning</t>
        </is>
      </c>
      <c r="D1985" s="1" t="n">
        <v>45855</v>
      </c>
      <c r="E1985" s="1" t="n">
        <v>46248</v>
      </c>
      <c r="F1985" t="inlineStr">
        <is>
          <t>BLEKINGE LÄN</t>
        </is>
      </c>
      <c r="G1985" t="inlineStr">
        <is>
          <t>RONNEBY</t>
        </is>
      </c>
      <c r="I1985" t="n">
        <v>0</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60348-2025</t>
        </is>
      </c>
      <c r="B1986" t="inlineStr">
        <is>
          <t>avverkningsanmälan</t>
        </is>
      </c>
      <c r="C1986" t="inlineStr">
        <is>
          <t>Föryngringsavverkning</t>
        </is>
      </c>
      <c r="D1986" s="1" t="n">
        <v>45995</v>
      </c>
      <c r="E1986" s="1" t="n">
        <v>46248</v>
      </c>
      <c r="F1986" t="inlineStr">
        <is>
          <t>BLEKINGE LÄN</t>
        </is>
      </c>
      <c r="G1986" t="inlineStr">
        <is>
          <t>RONNEBY</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40088-2024</t>
        </is>
      </c>
      <c r="B1987" t="inlineStr">
        <is>
          <t>avverkningsanmälan</t>
        </is>
      </c>
      <c r="C1987" t="inlineStr">
        <is>
          <t>Föryngringsavverkning</t>
        </is>
      </c>
      <c r="D1987" s="1" t="n">
        <v>45554</v>
      </c>
      <c r="E1987" s="1" t="n">
        <v>46248</v>
      </c>
      <c r="F1987" t="inlineStr">
        <is>
          <t>BLEKINGE LÄN</t>
        </is>
      </c>
      <c r="G1987" t="inlineStr">
        <is>
          <t>KARLSKRONA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29648-2026</t>
        </is>
      </c>
      <c r="B1988" t="inlineStr">
        <is>
          <t>avverkningsanmälan</t>
        </is>
      </c>
      <c r="C1988" t="inlineStr">
        <is>
          <t>Föryngringsavverkning</t>
        </is>
      </c>
      <c r="D1988" s="1" t="n">
        <v>46199</v>
      </c>
      <c r="E1988" s="1" t="n">
        <v>46248</v>
      </c>
      <c r="F1988" t="inlineStr">
        <is>
          <t>BLEKINGE LÄN</t>
        </is>
      </c>
      <c r="G1988" t="inlineStr">
        <is>
          <t>RONNEBY</t>
        </is>
      </c>
      <c r="I1988" t="n">
        <v>5.5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45317-2025</t>
        </is>
      </c>
      <c r="B1989" t="inlineStr">
        <is>
          <t>avverkningsanmälan</t>
        </is>
      </c>
      <c r="C1989" t="inlineStr">
        <is>
          <t>Föryngringsavverkning</t>
        </is>
      </c>
      <c r="D1989" s="1" t="n">
        <v>45921</v>
      </c>
      <c r="E1989" s="1" t="n">
        <v>46248</v>
      </c>
      <c r="F1989" t="inlineStr">
        <is>
          <t>BLEKINGE LÄN</t>
        </is>
      </c>
      <c r="G1989" t="inlineStr">
        <is>
          <t>RONNEBY</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61512-2025</t>
        </is>
      </c>
      <c r="B1990" t="inlineStr">
        <is>
          <t>avverkningsanmälan</t>
        </is>
      </c>
      <c r="C1990" t="inlineStr">
        <is>
          <t>Föryngringsavverkning</t>
        </is>
      </c>
      <c r="D1990" s="1" t="n">
        <v>46001</v>
      </c>
      <c r="E1990" s="1" t="n">
        <v>46248</v>
      </c>
      <c r="F1990" t="inlineStr">
        <is>
          <t>BLEKINGE LÄN</t>
        </is>
      </c>
      <c r="G1990" t="inlineStr">
        <is>
          <t>KARLSHAMN</t>
        </is>
      </c>
      <c r="H1990" t="inlineStr">
        <is>
          <t>Sveaskog</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61154-2025</t>
        </is>
      </c>
      <c r="B1991" t="inlineStr">
        <is>
          <t>avverkningsanmälan</t>
        </is>
      </c>
      <c r="C1991" t="inlineStr">
        <is>
          <t>Föryngringsavverkning</t>
        </is>
      </c>
      <c r="D1991" s="1" t="n">
        <v>46000</v>
      </c>
      <c r="E1991" s="1" t="n">
        <v>46248</v>
      </c>
      <c r="F1991" t="inlineStr">
        <is>
          <t>BLEKINGE LÄN</t>
        </is>
      </c>
      <c r="G1991" t="inlineStr">
        <is>
          <t>RONNEBY</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32775-2026</t>
        </is>
      </c>
      <c r="B1992" t="inlineStr">
        <is>
          <t>avverkningsanmälan</t>
        </is>
      </c>
      <c r="C1992" t="inlineStr">
        <is>
          <t>Föryngringsavverkning</t>
        </is>
      </c>
      <c r="D1992" s="1" t="n">
        <v>46241</v>
      </c>
      <c r="E1992" s="1" t="n">
        <v>46248</v>
      </c>
      <c r="F1992" t="inlineStr">
        <is>
          <t>BLEKINGE LÄN</t>
        </is>
      </c>
      <c r="G1992" t="inlineStr">
        <is>
          <t>KARLSKRONA</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61516-2025</t>
        </is>
      </c>
      <c r="B1993" t="inlineStr">
        <is>
          <t>avverkningsanmälan</t>
        </is>
      </c>
      <c r="C1993" t="inlineStr">
        <is>
          <t>Föryngringsavverkning</t>
        </is>
      </c>
      <c r="D1993" s="1" t="n">
        <v>46001</v>
      </c>
      <c r="E1993" s="1" t="n">
        <v>46248</v>
      </c>
      <c r="F1993" t="inlineStr">
        <is>
          <t>BLEKINGE LÄN</t>
        </is>
      </c>
      <c r="G1993" t="inlineStr">
        <is>
          <t>KARLSHAMN</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61191-2025</t>
        </is>
      </c>
      <c r="B1994" t="inlineStr">
        <is>
          <t>avverkningsanmälan</t>
        </is>
      </c>
      <c r="C1994" t="inlineStr">
        <is>
          <t>Föryngringsavverkning</t>
        </is>
      </c>
      <c r="D1994" s="1" t="n">
        <v>46000</v>
      </c>
      <c r="E1994" s="1" t="n">
        <v>46248</v>
      </c>
      <c r="F1994" t="inlineStr">
        <is>
          <t>BLEKINGE LÄN</t>
        </is>
      </c>
      <c r="G1994" t="inlineStr">
        <is>
          <t>KARLSKRONA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28732-2026</t>
        </is>
      </c>
      <c r="B1995" t="inlineStr">
        <is>
          <t>avverkningsanmälan</t>
        </is>
      </c>
      <c r="C1995" t="inlineStr">
        <is>
          <t>Avverkning för annat ändamål</t>
        </is>
      </c>
      <c r="D1995" s="1" t="n">
        <v>46198</v>
      </c>
      <c r="E1995" s="1" t="n">
        <v>46248</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25196-2026</t>
        </is>
      </c>
      <c r="B1996" t="inlineStr">
        <is>
          <t>avverkningsanmälan</t>
        </is>
      </c>
      <c r="C1996" t="inlineStr">
        <is>
          <t>Föryngringsavverkning</t>
        </is>
      </c>
      <c r="D1996" s="1" t="n">
        <v>46175</v>
      </c>
      <c r="E1996" s="1" t="n">
        <v>46248</v>
      </c>
      <c r="F1996" t="inlineStr">
        <is>
          <t>BLEKINGE LÄN</t>
        </is>
      </c>
      <c r="G1996" t="inlineStr">
        <is>
          <t>KARLSKRONA</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25434-2026</t>
        </is>
      </c>
      <c r="B1997" t="inlineStr">
        <is>
          <t>avverkningsanmälan</t>
        </is>
      </c>
      <c r="C1997" t="inlineStr">
        <is>
          <t>Föryngringsavverkning</t>
        </is>
      </c>
      <c r="D1997" s="1" t="n">
        <v>46177</v>
      </c>
      <c r="E1997" s="1" t="n">
        <v>46248</v>
      </c>
      <c r="F1997" t="inlineStr">
        <is>
          <t>BLEKINGE LÄN</t>
        </is>
      </c>
      <c r="G1997" t="inlineStr">
        <is>
          <t>KARLSKRONA</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27277-2026</t>
        </is>
      </c>
      <c r="B1998" t="inlineStr">
        <is>
          <t>avverkningsanmälan</t>
        </is>
      </c>
      <c r="C1998" t="inlineStr">
        <is>
          <t>Avverkning för annat ändamål</t>
        </is>
      </c>
      <c r="D1998" s="1" t="n">
        <v>46188</v>
      </c>
      <c r="E1998" s="1" t="n">
        <v>46248</v>
      </c>
      <c r="F1998" t="inlineStr">
        <is>
          <t>BLEKINGE LÄN</t>
        </is>
      </c>
      <c r="G1998" t="inlineStr">
        <is>
          <t>KARLSKRONA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29245-2026</t>
        </is>
      </c>
      <c r="B1999" t="inlineStr">
        <is>
          <t>avverkningsanmälan</t>
        </is>
      </c>
      <c r="C1999" t="inlineStr">
        <is>
          <t>Föryngringsavverkning</t>
        </is>
      </c>
      <c r="D1999" s="1" t="n">
        <v>46202</v>
      </c>
      <c r="E1999" s="1" t="n">
        <v>46248</v>
      </c>
      <c r="F1999" t="inlineStr">
        <is>
          <t>BLEKINGE LÄN</t>
        </is>
      </c>
      <c r="G1999" t="inlineStr">
        <is>
          <t>OLOFSTRÖM</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51169-2025</t>
        </is>
      </c>
      <c r="B2000" t="inlineStr">
        <is>
          <t>avverkningsanmälan</t>
        </is>
      </c>
      <c r="C2000" t="inlineStr">
        <is>
          <t>Föryngringsavverkning</t>
        </is>
      </c>
      <c r="D2000" s="1" t="n">
        <v>45947</v>
      </c>
      <c r="E2000" s="1" t="n">
        <v>46248</v>
      </c>
      <c r="F2000" t="inlineStr">
        <is>
          <t>BLEKINGE LÄN</t>
        </is>
      </c>
      <c r="G2000" t="inlineStr">
        <is>
          <t>KARLSHAMN</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29059-2026</t>
        </is>
      </c>
      <c r="B2001" t="inlineStr">
        <is>
          <t>avverkningsanmälan</t>
        </is>
      </c>
      <c r="C2001" t="inlineStr">
        <is>
          <t>Föryngringsavverkning</t>
        </is>
      </c>
      <c r="D2001" s="1" t="n">
        <v>46199</v>
      </c>
      <c r="E2001" s="1" t="n">
        <v>46248</v>
      </c>
      <c r="F2001" t="inlineStr">
        <is>
          <t>BLEKINGE LÄN</t>
        </is>
      </c>
      <c r="G2001" t="inlineStr">
        <is>
          <t>KARLSKRONA</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29082-2026</t>
        </is>
      </c>
      <c r="B2002" t="inlineStr">
        <is>
          <t>avverkningsanmälan</t>
        </is>
      </c>
      <c r="C2002" t="inlineStr">
        <is>
          <t>Föryngringsavverkning</t>
        </is>
      </c>
      <c r="D2002" s="1" t="n">
        <v>46199</v>
      </c>
      <c r="E2002" s="1" t="n">
        <v>46248</v>
      </c>
      <c r="F2002" t="inlineStr">
        <is>
          <t>BLEKINGE LÄN</t>
        </is>
      </c>
      <c r="G2002" t="inlineStr">
        <is>
          <t>RONNEBY</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29261-2026</t>
        </is>
      </c>
      <c r="B2003" t="inlineStr">
        <is>
          <t>avverkningsanmälan</t>
        </is>
      </c>
      <c r="C2003" t="inlineStr">
        <is>
          <t>Föryngringsavverkning</t>
        </is>
      </c>
      <c r="D2003" s="1" t="n">
        <v>46202</v>
      </c>
      <c r="E2003" s="1" t="n">
        <v>46248</v>
      </c>
      <c r="F2003" t="inlineStr">
        <is>
          <t>BLEKINGE LÄN</t>
        </is>
      </c>
      <c r="G2003" t="inlineStr">
        <is>
          <t>RONNEBY</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62427-2025</t>
        </is>
      </c>
      <c r="B2004" t="inlineStr">
        <is>
          <t>avverkningsanmälan</t>
        </is>
      </c>
      <c r="C2004" t="inlineStr">
        <is>
          <t>Föryngringsavverkning</t>
        </is>
      </c>
      <c r="D2004" s="1" t="n">
        <v>46007</v>
      </c>
      <c r="E2004" s="1" t="n">
        <v>46248</v>
      </c>
      <c r="F2004" t="inlineStr">
        <is>
          <t>BLEKINGE LÄN</t>
        </is>
      </c>
      <c r="G2004" t="inlineStr">
        <is>
          <t>RONNEBY</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62465-2025</t>
        </is>
      </c>
      <c r="B2005" t="inlineStr">
        <is>
          <t>avverkningsanmälan</t>
        </is>
      </c>
      <c r="C2005" t="inlineStr">
        <is>
          <t>Avverkning för att bevara och utveckla /försöksver</t>
        </is>
      </c>
      <c r="D2005" s="1" t="n">
        <v>46007</v>
      </c>
      <c r="E2005" s="1" t="n">
        <v>46248</v>
      </c>
      <c r="F2005" t="inlineStr">
        <is>
          <t>BLEKINGE LÄN</t>
        </is>
      </c>
      <c r="G2005" t="inlineStr">
        <is>
          <t>RONNEBY</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29057-2026</t>
        </is>
      </c>
      <c r="B2006" t="inlineStr">
        <is>
          <t>avverkningsanmälan</t>
        </is>
      </c>
      <c r="C2006" t="inlineStr">
        <is>
          <t>Föryngringsavverkning</t>
        </is>
      </c>
      <c r="D2006" s="1" t="n">
        <v>46199</v>
      </c>
      <c r="E2006" s="1" t="n">
        <v>46248</v>
      </c>
      <c r="F2006" t="inlineStr">
        <is>
          <t>BLEKINGE LÄN</t>
        </is>
      </c>
      <c r="G2006" t="inlineStr">
        <is>
          <t>KARLSKRONA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29250-2026</t>
        </is>
      </c>
      <c r="B2007" t="inlineStr">
        <is>
          <t>avverkningsanmälan</t>
        </is>
      </c>
      <c r="C2007" t="inlineStr">
        <is>
          <t>Föryngringsavverkning</t>
        </is>
      </c>
      <c r="D2007" s="1" t="n">
        <v>46202</v>
      </c>
      <c r="E2007" s="1" t="n">
        <v>46248</v>
      </c>
      <c r="F2007" t="inlineStr">
        <is>
          <t>BLEKINGE LÄN</t>
        </is>
      </c>
      <c r="G2007" t="inlineStr">
        <is>
          <t>OLOFSTRÖM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29246-2026</t>
        </is>
      </c>
      <c r="B2008" t="inlineStr">
        <is>
          <t>avverkningsanmälan</t>
        </is>
      </c>
      <c r="C2008" t="inlineStr">
        <is>
          <t>Föryngringsavverkning</t>
        </is>
      </c>
      <c r="D2008" s="1" t="n">
        <v>46202</v>
      </c>
      <c r="E2008" s="1" t="n">
        <v>46248</v>
      </c>
      <c r="F2008" t="inlineStr">
        <is>
          <t>BLEKINGE LÄN</t>
        </is>
      </c>
      <c r="G2008" t="inlineStr">
        <is>
          <t>KARLSHAMN</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32971-2026</t>
        </is>
      </c>
      <c r="B2009" t="inlineStr">
        <is>
          <t>avverkningsanmälan</t>
        </is>
      </c>
      <c r="C2009" t="inlineStr">
        <is>
          <t>Föryngringsavverkning</t>
        </is>
      </c>
      <c r="D2009" s="1" t="n">
        <v>46241</v>
      </c>
      <c r="E2009" s="1" t="n">
        <v>46248</v>
      </c>
      <c r="F2009" t="inlineStr">
        <is>
          <t>BLEKINGE LÄN</t>
        </is>
      </c>
      <c r="G2009" t="inlineStr">
        <is>
          <t>KARLSKRONA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40046-2025</t>
        </is>
      </c>
      <c r="B2010" t="inlineStr">
        <is>
          <t>avverkningsanmälan</t>
        </is>
      </c>
      <c r="C2010" t="inlineStr">
        <is>
          <t>Föryngringsavverkning</t>
        </is>
      </c>
      <c r="D2010" s="1" t="n">
        <v>45894</v>
      </c>
      <c r="E2010" s="1" t="n">
        <v>46248</v>
      </c>
      <c r="F2010" t="inlineStr">
        <is>
          <t>BLEKINGE LÄN</t>
        </is>
      </c>
      <c r="G2010" t="inlineStr">
        <is>
          <t>KARLSHAMN</t>
        </is>
      </c>
      <c r="I2010" t="n">
        <v>5.7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62594-2025</t>
        </is>
      </c>
      <c r="B2011" t="inlineStr">
        <is>
          <t>avverkningsanmälan</t>
        </is>
      </c>
      <c r="C2011" t="inlineStr">
        <is>
          <t>Föryngringsavverkning</t>
        </is>
      </c>
      <c r="D2011" s="1" t="n">
        <v>46007</v>
      </c>
      <c r="E2011" s="1" t="n">
        <v>46248</v>
      </c>
      <c r="F2011" t="inlineStr">
        <is>
          <t>BLEKINGE LÄN</t>
        </is>
      </c>
      <c r="G2011" t="inlineStr">
        <is>
          <t>KARLSKRONA</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29248-2026</t>
        </is>
      </c>
      <c r="B2012" t="inlineStr">
        <is>
          <t>avverkningsanmälan</t>
        </is>
      </c>
      <c r="C2012" t="inlineStr">
        <is>
          <t>Föryngringsavverkning</t>
        </is>
      </c>
      <c r="D2012" s="1" t="n">
        <v>46202</v>
      </c>
      <c r="E2012" s="1" t="n">
        <v>46248</v>
      </c>
      <c r="F2012" t="inlineStr">
        <is>
          <t>BLEKINGE LÄN</t>
        </is>
      </c>
      <c r="G2012" t="inlineStr">
        <is>
          <t>KARLSHAMN</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62590-2025</t>
        </is>
      </c>
      <c r="B2013" t="inlineStr">
        <is>
          <t>avverkningsanmälan</t>
        </is>
      </c>
      <c r="C2013" t="inlineStr">
        <is>
          <t>Föryngringsavverkning</t>
        </is>
      </c>
      <c r="D2013" s="1" t="n">
        <v>46007</v>
      </c>
      <c r="E2013" s="1" t="n">
        <v>46248</v>
      </c>
      <c r="F2013" t="inlineStr">
        <is>
          <t>BLEKINGE LÄN</t>
        </is>
      </c>
      <c r="G2013" t="inlineStr">
        <is>
          <t>KARLSKRONA</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41892-2025</t>
        </is>
      </c>
      <c r="B2014" t="inlineStr">
        <is>
          <t>avverkningsanmälan</t>
        </is>
      </c>
      <c r="C2014" t="inlineStr">
        <is>
          <t>Föryngringsavverkning</t>
        </is>
      </c>
      <c r="D2014" s="1" t="n">
        <v>45903</v>
      </c>
      <c r="E2014" s="1" t="n">
        <v>46248</v>
      </c>
      <c r="F2014" t="inlineStr">
        <is>
          <t>BLEKINGE LÄN</t>
        </is>
      </c>
      <c r="G2014" t="inlineStr">
        <is>
          <t>KARLSHAMN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29027-2026</t>
        </is>
      </c>
      <c r="B2015" t="inlineStr">
        <is>
          <t>avverkningsanmälan</t>
        </is>
      </c>
      <c r="C2015" t="inlineStr">
        <is>
          <t>Föryngringsavverkning</t>
        </is>
      </c>
      <c r="D2015" s="1" t="n">
        <v>46199</v>
      </c>
      <c r="E2015" s="1" t="n">
        <v>46248</v>
      </c>
      <c r="F2015" t="inlineStr">
        <is>
          <t>BLEKINGE LÄN</t>
        </is>
      </c>
      <c r="G2015" t="inlineStr">
        <is>
          <t>KARLSKRONA</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33179-2026</t>
        </is>
      </c>
      <c r="B2016" t="inlineStr">
        <is>
          <t>avverkningsanmälan</t>
        </is>
      </c>
      <c r="C2016" t="inlineStr">
        <is>
          <t>Föryngringsavverkning</t>
        </is>
      </c>
      <c r="D2016" s="1" t="n">
        <v>46245</v>
      </c>
      <c r="E2016" s="1" t="n">
        <v>46248</v>
      </c>
      <c r="F2016" t="inlineStr">
        <is>
          <t>BLEKINGE LÄN</t>
        </is>
      </c>
      <c r="G2016" t="inlineStr">
        <is>
          <t>KARLSHAMN</t>
        </is>
      </c>
      <c r="H2016" t="inlineStr">
        <is>
          <t>Sveaskog</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9153-2026</t>
        </is>
      </c>
      <c r="B2017" t="inlineStr">
        <is>
          <t>avverkningsanmälan</t>
        </is>
      </c>
      <c r="C2017" t="inlineStr">
        <is>
          <t>Föryngringsavverkning</t>
        </is>
      </c>
      <c r="D2017" s="1" t="n">
        <v>46070</v>
      </c>
      <c r="E2017" s="1" t="n">
        <v>46248</v>
      </c>
      <c r="F2017" t="inlineStr">
        <is>
          <t>BLEKINGE LÄN</t>
        </is>
      </c>
      <c r="G2017" t="inlineStr">
        <is>
          <t>KARLSKRONA</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33047-2026</t>
        </is>
      </c>
      <c r="B2018" t="inlineStr">
        <is>
          <t>avverkningsanmälan</t>
        </is>
      </c>
      <c r="C2018" t="inlineStr">
        <is>
          <t>Föryngringsavverkning</t>
        </is>
      </c>
      <c r="D2018" s="1" t="n">
        <v>46245</v>
      </c>
      <c r="E2018" s="1" t="n">
        <v>46248</v>
      </c>
      <c r="F2018" t="inlineStr">
        <is>
          <t>BLEKINGE LÄN</t>
        </is>
      </c>
      <c r="G2018" t="inlineStr">
        <is>
          <t>KARLSKRONA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40052-2025</t>
        </is>
      </c>
      <c r="B2019" t="inlineStr">
        <is>
          <t>avverkningsanmälan</t>
        </is>
      </c>
      <c r="C2019" t="inlineStr">
        <is>
          <t>Föryngringsavverkning</t>
        </is>
      </c>
      <c r="D2019" s="1" t="n">
        <v>45894</v>
      </c>
      <c r="E2019" s="1" t="n">
        <v>46248</v>
      </c>
      <c r="F2019" t="inlineStr">
        <is>
          <t>BLEKINGE LÄN</t>
        </is>
      </c>
      <c r="G2019" t="inlineStr">
        <is>
          <t>KARLSHAMN</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29283-2026</t>
        </is>
      </c>
      <c r="B2020" t="inlineStr">
        <is>
          <t>avverkningsanmälan</t>
        </is>
      </c>
      <c r="C2020" t="inlineStr">
        <is>
          <t>Föryngringsavverkning</t>
        </is>
      </c>
      <c r="D2020" s="1" t="n">
        <v>46202</v>
      </c>
      <c r="E2020" s="1" t="n">
        <v>46248</v>
      </c>
      <c r="F2020" t="inlineStr">
        <is>
          <t>BLEKINGE LÄN</t>
        </is>
      </c>
      <c r="G2020" t="inlineStr">
        <is>
          <t>RONNEBY</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63560-2025</t>
        </is>
      </c>
      <c r="B2021" t="inlineStr">
        <is>
          <t>avverkningsanmälan</t>
        </is>
      </c>
      <c r="C2021" t="inlineStr">
        <is>
          <t>Föryngringsavverkning</t>
        </is>
      </c>
      <c r="D2021" s="1" t="n">
        <v>46013</v>
      </c>
      <c r="E2021" s="1" t="n">
        <v>46248</v>
      </c>
      <c r="F2021" t="inlineStr">
        <is>
          <t>BLEKINGE LÄN</t>
        </is>
      </c>
      <c r="G2021" t="inlineStr">
        <is>
          <t>OLOFSTRÖM</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33267-2026</t>
        </is>
      </c>
      <c r="B2022" t="inlineStr">
        <is>
          <t>avverkningsanmälan</t>
        </is>
      </c>
      <c r="C2022" t="inlineStr">
        <is>
          <t>Föryngringsavverkning</t>
        </is>
      </c>
      <c r="D2022" s="1" t="n">
        <v>46246</v>
      </c>
      <c r="E2022" s="1" t="n">
        <v>46248</v>
      </c>
      <c r="F2022" t="inlineStr">
        <is>
          <t>BLEKINGE LÄN</t>
        </is>
      </c>
      <c r="G2022" t="inlineStr">
        <is>
          <t>KARLSKRONA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33344-2026</t>
        </is>
      </c>
      <c r="B2023" t="inlineStr">
        <is>
          <t>avverkningsanmälan</t>
        </is>
      </c>
      <c r="C2023" t="inlineStr">
        <is>
          <t>Föryngringsavverkning</t>
        </is>
      </c>
      <c r="D2023" s="1" t="n">
        <v>46246</v>
      </c>
      <c r="E2023" s="1" t="n">
        <v>46248</v>
      </c>
      <c r="F2023" t="inlineStr">
        <is>
          <t>BLEKINGE LÄN</t>
        </is>
      </c>
      <c r="G2023" t="inlineStr">
        <is>
          <t>KARLSKRONA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31150-2026</t>
        </is>
      </c>
      <c r="B2024" t="inlineStr">
        <is>
          <t>avverkningsanmälan</t>
        </is>
      </c>
      <c r="C2024" t="inlineStr">
        <is>
          <t>Föryngringsavverkning</t>
        </is>
      </c>
      <c r="D2024" s="1" t="n">
        <v>46209</v>
      </c>
      <c r="E2024" s="1" t="n">
        <v>46248</v>
      </c>
      <c r="F2024" t="inlineStr">
        <is>
          <t>BLEKINGE LÄN</t>
        </is>
      </c>
      <c r="G2024" t="inlineStr">
        <is>
          <t>KARLSKRONA</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31153-2026</t>
        </is>
      </c>
      <c r="B2025" t="inlineStr">
        <is>
          <t>avverkningsanmälan</t>
        </is>
      </c>
      <c r="C2025" t="inlineStr">
        <is>
          <t>Föryngringsavverkning</t>
        </is>
      </c>
      <c r="D2025" s="1" t="n">
        <v>46209</v>
      </c>
      <c r="E2025" s="1" t="n">
        <v>46248</v>
      </c>
      <c r="F2025" t="inlineStr">
        <is>
          <t>BLEKINGE LÄN</t>
        </is>
      </c>
      <c r="G2025" t="inlineStr">
        <is>
          <t>KARLSKRONA</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33318-2026</t>
        </is>
      </c>
      <c r="B2026" t="inlineStr">
        <is>
          <t>avverkningsanmälan</t>
        </is>
      </c>
      <c r="C2026" t="inlineStr">
        <is>
          <t>Föryngringsavverkning</t>
        </is>
      </c>
      <c r="D2026" s="1" t="n">
        <v>46246</v>
      </c>
      <c r="E2026" s="1" t="n">
        <v>46248</v>
      </c>
      <c r="F2026" t="inlineStr">
        <is>
          <t>BLEKINGE LÄN</t>
        </is>
      </c>
      <c r="G2026" t="inlineStr">
        <is>
          <t>KARLSKRONA</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247-2026</t>
        </is>
      </c>
      <c r="B2027" t="inlineStr">
        <is>
          <t>avverkningsanmälan</t>
        </is>
      </c>
      <c r="C2027" t="inlineStr">
        <is>
          <t>Föryngringsavverkning</t>
        </is>
      </c>
      <c r="D2027" s="1" t="n">
        <v>46027</v>
      </c>
      <c r="E2027" s="1" t="n">
        <v>46248</v>
      </c>
      <c r="F2027" t="inlineStr">
        <is>
          <t>BLEKINGE LÄN</t>
        </is>
      </c>
      <c r="G2027" t="inlineStr">
        <is>
          <t>OLOFSTRÖM</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248-2026</t>
        </is>
      </c>
      <c r="B2028" t="inlineStr">
        <is>
          <t>avverkningsanmälan</t>
        </is>
      </c>
      <c r="C2028" t="inlineStr">
        <is>
          <t>Föryngringsavverkning</t>
        </is>
      </c>
      <c r="D2028" s="1" t="n">
        <v>46027</v>
      </c>
      <c r="E2028" s="1" t="n">
        <v>46248</v>
      </c>
      <c r="F2028" t="inlineStr">
        <is>
          <t>BLEKINGE LÄN</t>
        </is>
      </c>
      <c r="G2028" t="inlineStr">
        <is>
          <t>OLOFSTRÖM</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14481-2025</t>
        </is>
      </c>
      <c r="B2029" t="inlineStr">
        <is>
          <t>avverkningsanmälan</t>
        </is>
      </c>
      <c r="C2029" t="inlineStr">
        <is>
          <t>Föryngringsavverkning</t>
        </is>
      </c>
      <c r="D2029" s="1" t="n">
        <v>45741</v>
      </c>
      <c r="E2029" s="1" t="n">
        <v>46248</v>
      </c>
      <c r="F2029" t="inlineStr">
        <is>
          <t>BLEKINGE LÄN</t>
        </is>
      </c>
      <c r="G2029" t="inlineStr">
        <is>
          <t>SÖLVESBORG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344-2026</t>
        </is>
      </c>
      <c r="B2030" t="inlineStr">
        <is>
          <t>avverkningsanmälan</t>
        </is>
      </c>
      <c r="C2030" t="inlineStr">
        <is>
          <t>Föryngringsavverkning</t>
        </is>
      </c>
      <c r="D2030" s="1" t="n">
        <v>46027</v>
      </c>
      <c r="E2030" s="1" t="n">
        <v>46248</v>
      </c>
      <c r="F2030" t="inlineStr">
        <is>
          <t>BLEKINGE LÄN</t>
        </is>
      </c>
      <c r="G2030" t="inlineStr">
        <is>
          <t>KARLSKRONA</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4366-2026</t>
        </is>
      </c>
      <c r="B2031" t="inlineStr">
        <is>
          <t>avverkningsanmälan</t>
        </is>
      </c>
      <c r="C2031" t="inlineStr">
        <is>
          <t>Föryngringsavverkning</t>
        </is>
      </c>
      <c r="D2031" s="1" t="n">
        <v>46045</v>
      </c>
      <c r="E2031" s="1" t="n">
        <v>46248</v>
      </c>
      <c r="F2031" t="inlineStr">
        <is>
          <t>BLEKINGE LÄN</t>
        </is>
      </c>
      <c r="G2031" t="inlineStr">
        <is>
          <t>KARLSHAMN</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33489-2026</t>
        </is>
      </c>
      <c r="B2032" t="inlineStr">
        <is>
          <t>avverkningsanmälan</t>
        </is>
      </c>
      <c r="C2032" t="inlineStr">
        <is>
          <t>Föryngringsavverkning</t>
        </is>
      </c>
      <c r="D2032" s="1" t="n">
        <v>46247</v>
      </c>
      <c r="E2032" s="1" t="n">
        <v>46248</v>
      </c>
      <c r="F2032" t="inlineStr">
        <is>
          <t>BLEKINGE LÄN</t>
        </is>
      </c>
      <c r="G2032" t="inlineStr">
        <is>
          <t>RONNEBY</t>
        </is>
      </c>
      <c r="H2032" t="inlineStr">
        <is>
          <t>Övriga Aktiebolag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242-2026</t>
        </is>
      </c>
      <c r="B2033" t="inlineStr">
        <is>
          <t>avverkningsanmälan</t>
        </is>
      </c>
      <c r="C2033" t="inlineStr">
        <is>
          <t>Föryngringsavverkning</t>
        </is>
      </c>
      <c r="D2033" s="1" t="n">
        <v>46027</v>
      </c>
      <c r="E2033" s="1" t="n">
        <v>46248</v>
      </c>
      <c r="F2033" t="inlineStr">
        <is>
          <t>BLEKINGE LÄN</t>
        </is>
      </c>
      <c r="G2033" t="inlineStr">
        <is>
          <t>OLOFSTRÖM</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33341-2026</t>
        </is>
      </c>
      <c r="B2034" t="inlineStr">
        <is>
          <t>avverkningsanmälan</t>
        </is>
      </c>
      <c r="C2034" t="inlineStr">
        <is>
          <t>Föryngringsavverkning</t>
        </is>
      </c>
      <c r="D2034" s="1" t="n">
        <v>46246</v>
      </c>
      <c r="E2034" s="1" t="n">
        <v>46248</v>
      </c>
      <c r="F2034" t="inlineStr">
        <is>
          <t>BLEKINGE LÄN</t>
        </is>
      </c>
      <c r="G2034" t="inlineStr">
        <is>
          <t>KARLSKRONA</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29987-2026</t>
        </is>
      </c>
      <c r="B2035" t="inlineStr">
        <is>
          <t>avverkningsanmälan</t>
        </is>
      </c>
      <c r="C2035" t="inlineStr">
        <is>
          <t>Föryngringsavverkning</t>
        </is>
      </c>
      <c r="D2035" s="1" t="n">
        <v>46205</v>
      </c>
      <c r="E2035" s="1" t="n">
        <v>46248</v>
      </c>
      <c r="F2035" t="inlineStr">
        <is>
          <t>BLEKINGE LÄN</t>
        </is>
      </c>
      <c r="G2035" t="inlineStr">
        <is>
          <t>RONNEBY</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33273-2026</t>
        </is>
      </c>
      <c r="B2036" t="inlineStr">
        <is>
          <t>avverkningsanmälan</t>
        </is>
      </c>
      <c r="C2036" t="inlineStr">
        <is>
          <t>Föryngringsavverkning</t>
        </is>
      </c>
      <c r="D2036" s="1" t="n">
        <v>46246</v>
      </c>
      <c r="E2036" s="1" t="n">
        <v>46248</v>
      </c>
      <c r="F2036" t="inlineStr">
        <is>
          <t>BLEKINGE LÄN</t>
        </is>
      </c>
      <c r="G2036" t="inlineStr">
        <is>
          <t>KARLSKRONA</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1231-2026</t>
        </is>
      </c>
      <c r="B2037" t="inlineStr">
        <is>
          <t>avverkningsanmälan</t>
        </is>
      </c>
      <c r="C2037" t="inlineStr">
        <is>
          <t>Föryngringsavverkning</t>
        </is>
      </c>
      <c r="D2037" s="1" t="n">
        <v>46031</v>
      </c>
      <c r="E2037" s="1" t="n">
        <v>46248</v>
      </c>
      <c r="F2037" t="inlineStr">
        <is>
          <t>BLEKINGE LÄN</t>
        </is>
      </c>
      <c r="G2037" t="inlineStr">
        <is>
          <t>KARLSKRONA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55077-2025</t>
        </is>
      </c>
      <c r="B2038" t="inlineStr">
        <is>
          <t>avverkningsanmälan</t>
        </is>
      </c>
      <c r="C2038" t="inlineStr">
        <is>
          <t>Föryngringsavverkning</t>
        </is>
      </c>
      <c r="D2038" s="1" t="n">
        <v>45967</v>
      </c>
      <c r="E2038" s="1" t="n">
        <v>46248</v>
      </c>
      <c r="F2038" t="inlineStr">
        <is>
          <t>BLEKINGE LÄN</t>
        </is>
      </c>
      <c r="G2038" t="inlineStr">
        <is>
          <t>KARLSHAMN</t>
        </is>
      </c>
      <c r="H2038" t="inlineStr">
        <is>
          <t>Sveaskog</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3225-2026</t>
        </is>
      </c>
      <c r="B2039" t="inlineStr">
        <is>
          <t>avverkningsanmälan</t>
        </is>
      </c>
      <c r="C2039" t="inlineStr">
        <is>
          <t>Föryngringsavverkning</t>
        </is>
      </c>
      <c r="D2039" s="1" t="n">
        <v>46041</v>
      </c>
      <c r="E2039" s="1" t="n">
        <v>46248</v>
      </c>
      <c r="F2039" t="inlineStr">
        <is>
          <t>BLEKINGE LÄN</t>
        </is>
      </c>
      <c r="G2039" t="inlineStr">
        <is>
          <t>KARLSHAMN</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3475-2026</t>
        </is>
      </c>
      <c r="B2040" t="inlineStr">
        <is>
          <t>avverkningsanmälan</t>
        </is>
      </c>
      <c r="C2040" t="inlineStr">
        <is>
          <t>Föryngringsavverkning</t>
        </is>
      </c>
      <c r="D2040" s="1" t="n">
        <v>46042</v>
      </c>
      <c r="E2040" s="1" t="n">
        <v>46248</v>
      </c>
      <c r="F2040" t="inlineStr">
        <is>
          <t>BLEKINGE LÄN</t>
        </is>
      </c>
      <c r="G2040" t="inlineStr">
        <is>
          <t>KARLSKRONA</t>
        </is>
      </c>
      <c r="I2040" t="n">
        <v>6.4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3542-2026</t>
        </is>
      </c>
      <c r="B2041" t="inlineStr">
        <is>
          <t>avverkningsanmälan</t>
        </is>
      </c>
      <c r="C2041" t="inlineStr">
        <is>
          <t>Föryngringsavverkning</t>
        </is>
      </c>
      <c r="D2041" s="1" t="n">
        <v>46042</v>
      </c>
      <c r="E2041" s="1" t="n">
        <v>46248</v>
      </c>
      <c r="F2041" t="inlineStr">
        <is>
          <t>BLEKINGE LÄN</t>
        </is>
      </c>
      <c r="G2041" t="inlineStr">
        <is>
          <t>OLOFSTRÖM</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3452-2026</t>
        </is>
      </c>
      <c r="B2042" t="inlineStr">
        <is>
          <t>avverkningsanmälan</t>
        </is>
      </c>
      <c r="C2042" t="inlineStr">
        <is>
          <t>Föryngringsavverkning</t>
        </is>
      </c>
      <c r="D2042" s="1" t="n">
        <v>46042</v>
      </c>
      <c r="E2042" s="1" t="n">
        <v>46248</v>
      </c>
      <c r="F2042" t="inlineStr">
        <is>
          <t>BLEKINGE LÄN</t>
        </is>
      </c>
      <c r="G2042" t="inlineStr">
        <is>
          <t>KARLSKRONA</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3455-2026</t>
        </is>
      </c>
      <c r="B2043" t="inlineStr">
        <is>
          <t>avverkningsanmälan</t>
        </is>
      </c>
      <c r="C2043" t="inlineStr">
        <is>
          <t>Föryngringsavverkning</t>
        </is>
      </c>
      <c r="D2043" s="1" t="n">
        <v>46042</v>
      </c>
      <c r="E2043" s="1" t="n">
        <v>46248</v>
      </c>
      <c r="F2043" t="inlineStr">
        <is>
          <t>BLEKINGE LÄN</t>
        </is>
      </c>
      <c r="G2043" t="inlineStr">
        <is>
          <t>KARLSKRONA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3456-2026</t>
        </is>
      </c>
      <c r="B2044" t="inlineStr">
        <is>
          <t>avverkningsanmälan</t>
        </is>
      </c>
      <c r="C2044" t="inlineStr">
        <is>
          <t>Föryngringsavverkning</t>
        </is>
      </c>
      <c r="D2044" s="1" t="n">
        <v>46042</v>
      </c>
      <c r="E2044" s="1" t="n">
        <v>46248</v>
      </c>
      <c r="F2044" t="inlineStr">
        <is>
          <t>BLEKINGE LÄN</t>
        </is>
      </c>
      <c r="G2044" t="inlineStr">
        <is>
          <t>RONNEBY</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4329-2026</t>
        </is>
      </c>
      <c r="B2045" t="inlineStr">
        <is>
          <t>avverkningsanmälan</t>
        </is>
      </c>
      <c r="C2045" t="inlineStr">
        <is>
          <t>Föryngringsavverkning</t>
        </is>
      </c>
      <c r="D2045" s="1" t="n">
        <v>46045</v>
      </c>
      <c r="E2045" s="1" t="n">
        <v>46248</v>
      </c>
      <c r="F2045" t="inlineStr">
        <is>
          <t>BLEKINGE LÄN</t>
        </is>
      </c>
      <c r="G2045" t="inlineStr">
        <is>
          <t>OLOFSTRÖM</t>
        </is>
      </c>
      <c r="H2045" t="inlineStr">
        <is>
          <t>Kommuner</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6737-2026</t>
        </is>
      </c>
      <c r="B2046" t="inlineStr">
        <is>
          <t>avverkningsanmälan</t>
        </is>
      </c>
      <c r="C2046" t="inlineStr">
        <is>
          <t>Avverkning för annat ändamål</t>
        </is>
      </c>
      <c r="D2046" s="1" t="n">
        <v>46055</v>
      </c>
      <c r="E2046" s="1" t="n">
        <v>46248</v>
      </c>
      <c r="F2046" t="inlineStr">
        <is>
          <t>BLEKINGE LÄN</t>
        </is>
      </c>
      <c r="G2046" t="inlineStr">
        <is>
          <t>KARLSKRONA</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5132-2026</t>
        </is>
      </c>
      <c r="B2047" t="inlineStr">
        <is>
          <t>avverkningsanmälan</t>
        </is>
      </c>
      <c r="C2047" t="inlineStr">
        <is>
          <t>Föryngringsavverkning</t>
        </is>
      </c>
      <c r="D2047" s="1" t="n">
        <v>46049</v>
      </c>
      <c r="E2047" s="1" t="n">
        <v>46248</v>
      </c>
      <c r="F2047" t="inlineStr">
        <is>
          <t>BLEKINGE LÄN</t>
        </is>
      </c>
      <c r="G2047" t="inlineStr">
        <is>
          <t>KARLSKRONA</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49688-2025</t>
        </is>
      </c>
      <c r="B2048" t="inlineStr">
        <is>
          <t>avverkningsanmälan</t>
        </is>
      </c>
      <c r="C2048" t="inlineStr">
        <is>
          <t>Föryngringsavverkning</t>
        </is>
      </c>
      <c r="D2048" s="1" t="n">
        <v>45939</v>
      </c>
      <c r="E2048" s="1" t="n">
        <v>46248</v>
      </c>
      <c r="F2048" t="inlineStr">
        <is>
          <t>BLEKINGE LÄN</t>
        </is>
      </c>
      <c r="G2048" t="inlineStr">
        <is>
          <t>SÖLVESBORG</t>
        </is>
      </c>
      <c r="I2048" t="n">
        <v>16.1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4518-2026</t>
        </is>
      </c>
      <c r="B2049" t="inlineStr">
        <is>
          <t>avverkningsanmälan</t>
        </is>
      </c>
      <c r="C2049" t="inlineStr">
        <is>
          <t>Föryngringsavverkning</t>
        </is>
      </c>
      <c r="D2049" s="1" t="n">
        <v>46046</v>
      </c>
      <c r="E2049" s="1" t="n">
        <v>46248</v>
      </c>
      <c r="F2049" t="inlineStr">
        <is>
          <t>BLEKINGE LÄN</t>
        </is>
      </c>
      <c r="G2049" t="inlineStr">
        <is>
          <t>RONNEBY</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4884-2026</t>
        </is>
      </c>
      <c r="B2050" t="inlineStr">
        <is>
          <t>avverkningsanmälan</t>
        </is>
      </c>
      <c r="C2050" t="inlineStr">
        <is>
          <t>Föryngringsavverkning</t>
        </is>
      </c>
      <c r="D2050" s="1" t="n">
        <v>46048</v>
      </c>
      <c r="E2050" s="1" t="n">
        <v>46248</v>
      </c>
      <c r="F2050" t="inlineStr">
        <is>
          <t>BLEKINGE LÄN</t>
        </is>
      </c>
      <c r="G2050" t="inlineStr">
        <is>
          <t>RONNEBY</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5799-2026</t>
        </is>
      </c>
      <c r="B2051" t="inlineStr">
        <is>
          <t>avverkningsanmälan</t>
        </is>
      </c>
      <c r="C2051" t="inlineStr">
        <is>
          <t>Avverkning för annat ändamål</t>
        </is>
      </c>
      <c r="D2051" s="1" t="n">
        <v>46051</v>
      </c>
      <c r="E2051" s="1" t="n">
        <v>46248</v>
      </c>
      <c r="F2051" t="inlineStr">
        <is>
          <t>BLEKINGE LÄN</t>
        </is>
      </c>
      <c r="G2051" t="inlineStr">
        <is>
          <t>KARLSKRONA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5445-2026</t>
        </is>
      </c>
      <c r="B2052" t="inlineStr">
        <is>
          <t>avverkningsanmälan</t>
        </is>
      </c>
      <c r="C2052" t="inlineStr">
        <is>
          <t>Föryngringsavverkning</t>
        </is>
      </c>
      <c r="D2052" s="1" t="n">
        <v>46050</v>
      </c>
      <c r="E2052" s="1" t="n">
        <v>46248</v>
      </c>
      <c r="F2052" t="inlineStr">
        <is>
          <t>BLEKINGE LÄN</t>
        </is>
      </c>
      <c r="G2052" t="inlineStr">
        <is>
          <t>RONNEBY</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5801-2026</t>
        </is>
      </c>
      <c r="B2053" t="inlineStr">
        <is>
          <t>avverkningsanmälan</t>
        </is>
      </c>
      <c r="C2053" t="inlineStr">
        <is>
          <t>Föryngringsavverkning</t>
        </is>
      </c>
      <c r="D2053" s="1" t="n">
        <v>46051</v>
      </c>
      <c r="E2053" s="1" t="n">
        <v>46248</v>
      </c>
      <c r="F2053" t="inlineStr">
        <is>
          <t>BLEKINGE LÄN</t>
        </is>
      </c>
      <c r="G2053" t="inlineStr">
        <is>
          <t>KARLSKRONA</t>
        </is>
      </c>
      <c r="I2053" t="n">
        <v>7.1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5465-2026</t>
        </is>
      </c>
      <c r="B2054" t="inlineStr">
        <is>
          <t>avverkningsanmälan</t>
        </is>
      </c>
      <c r="C2054" t="inlineStr">
        <is>
          <t>Föryngringsavverkning</t>
        </is>
      </c>
      <c r="D2054" s="1" t="n">
        <v>46050</v>
      </c>
      <c r="E2054" s="1" t="n">
        <v>46248</v>
      </c>
      <c r="F2054" t="inlineStr">
        <is>
          <t>BLEKINGE LÄN</t>
        </is>
      </c>
      <c r="G2054" t="inlineStr">
        <is>
          <t>OLOFSTRÖM</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5802-2026</t>
        </is>
      </c>
      <c r="B2055" t="inlineStr">
        <is>
          <t>avverkningsanmälan</t>
        </is>
      </c>
      <c r="C2055" t="inlineStr">
        <is>
          <t>Föryngringsavverkning</t>
        </is>
      </c>
      <c r="D2055" s="1" t="n">
        <v>46051</v>
      </c>
      <c r="E2055" s="1" t="n">
        <v>46248</v>
      </c>
      <c r="F2055" t="inlineStr">
        <is>
          <t>BLEKINGE LÄN</t>
        </is>
      </c>
      <c r="G2055" t="inlineStr">
        <is>
          <t>KARLSKRONA</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6102-2026</t>
        </is>
      </c>
      <c r="B2056" t="inlineStr">
        <is>
          <t>avverkningsanmälan</t>
        </is>
      </c>
      <c r="C2056" t="inlineStr">
        <is>
          <t>Föryngringsavverkning</t>
        </is>
      </c>
      <c r="D2056" s="1" t="n">
        <v>46052</v>
      </c>
      <c r="E2056" s="1" t="n">
        <v>46248</v>
      </c>
      <c r="F2056" t="inlineStr">
        <is>
          <t>BLEKINGE LÄN</t>
        </is>
      </c>
      <c r="G2056" t="inlineStr">
        <is>
          <t>KARLSKRONA</t>
        </is>
      </c>
      <c r="I2056" t="n">
        <v>6.2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5904-2026</t>
        </is>
      </c>
      <c r="B2057" t="inlineStr">
        <is>
          <t>avverkningsanmälan</t>
        </is>
      </c>
      <c r="C2057" t="inlineStr">
        <is>
          <t>Föryngringsavverkning</t>
        </is>
      </c>
      <c r="D2057" s="1" t="n">
        <v>46052</v>
      </c>
      <c r="E2057" s="1" t="n">
        <v>46248</v>
      </c>
      <c r="F2057" t="inlineStr">
        <is>
          <t>BLEKINGE LÄN</t>
        </is>
      </c>
      <c r="G2057" t="inlineStr">
        <is>
          <t>RONNEBY</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5905-2026</t>
        </is>
      </c>
      <c r="B2058" t="inlineStr">
        <is>
          <t>avverkningsanmälan</t>
        </is>
      </c>
      <c r="C2058" t="inlineStr">
        <is>
          <t>Föryngringsavverkning</t>
        </is>
      </c>
      <c r="D2058" s="1" t="n">
        <v>46052</v>
      </c>
      <c r="E2058" s="1" t="n">
        <v>46248</v>
      </c>
      <c r="F2058" t="inlineStr">
        <is>
          <t>BLEKINGE LÄN</t>
        </is>
      </c>
      <c r="G2058" t="inlineStr">
        <is>
          <t>RONNEBY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48751-2025</t>
        </is>
      </c>
      <c r="B2059" t="inlineStr">
        <is>
          <t>avverkningsanmälan</t>
        </is>
      </c>
      <c r="C2059" t="inlineStr">
        <is>
          <t>Föryngringsavverkning</t>
        </is>
      </c>
      <c r="D2059" s="1" t="n">
        <v>45936</v>
      </c>
      <c r="E2059" s="1" t="n">
        <v>46248</v>
      </c>
      <c r="F2059" t="inlineStr">
        <is>
          <t>BLEKINGE LÄN</t>
        </is>
      </c>
      <c r="G2059" t="inlineStr">
        <is>
          <t>SÖLVESBORG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6222-2026</t>
        </is>
      </c>
      <c r="B2060" t="inlineStr">
        <is>
          <t>avverkningsanmälan</t>
        </is>
      </c>
      <c r="C2060" t="inlineStr">
        <is>
          <t>Föryngringsavverkning</t>
        </is>
      </c>
      <c r="D2060" s="1" t="n">
        <v>46055</v>
      </c>
      <c r="E2060" s="1" t="n">
        <v>46248</v>
      </c>
      <c r="F2060" t="inlineStr">
        <is>
          <t>BLEKINGE LÄN</t>
        </is>
      </c>
      <c r="G2060" t="inlineStr">
        <is>
          <t>KARLSHAMN</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6881-2026</t>
        </is>
      </c>
      <c r="B2061" t="inlineStr">
        <is>
          <t>avverkningsanmälan</t>
        </is>
      </c>
      <c r="C2061" t="inlineStr">
        <is>
          <t>Föryngringsavverkning</t>
        </is>
      </c>
      <c r="D2061" s="1" t="n">
        <v>46057</v>
      </c>
      <c r="E2061" s="1" t="n">
        <v>46248</v>
      </c>
      <c r="F2061" t="inlineStr">
        <is>
          <t>BLEKINGE LÄN</t>
        </is>
      </c>
      <c r="G2061" t="inlineStr">
        <is>
          <t>KARLSHAMN</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6602-2026</t>
        </is>
      </c>
      <c r="B2062" t="inlineStr">
        <is>
          <t>avverkningsanmälan</t>
        </is>
      </c>
      <c r="C2062" t="inlineStr">
        <is>
          <t>Föryngringsavverkning</t>
        </is>
      </c>
      <c r="D2062" s="1" t="n">
        <v>46056</v>
      </c>
      <c r="E2062" s="1" t="n">
        <v>46248</v>
      </c>
      <c r="F2062" t="inlineStr">
        <is>
          <t>BLEKINGE LÄN</t>
        </is>
      </c>
      <c r="G2062" t="inlineStr">
        <is>
          <t>KARLSKRONA</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6748-2026</t>
        </is>
      </c>
      <c r="B2063" t="inlineStr">
        <is>
          <t>avverkningsanmälan</t>
        </is>
      </c>
      <c r="C2063" t="inlineStr">
        <is>
          <t>Föryngringsavverkning</t>
        </is>
      </c>
      <c r="D2063" s="1" t="n">
        <v>46056</v>
      </c>
      <c r="E2063" s="1" t="n">
        <v>46248</v>
      </c>
      <c r="F2063" t="inlineStr">
        <is>
          <t>BLEKINGE LÄN</t>
        </is>
      </c>
      <c r="G2063" t="inlineStr">
        <is>
          <t>OLOFSTRÖM</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7508-2026</t>
        </is>
      </c>
      <c r="B2064" t="inlineStr">
        <is>
          <t>avverkningsanmälan</t>
        </is>
      </c>
      <c r="C2064" t="inlineStr">
        <is>
          <t>Föryngringsavverkning</t>
        </is>
      </c>
      <c r="D2064" s="1" t="n">
        <v>46059</v>
      </c>
      <c r="E2064" s="1" t="n">
        <v>46248</v>
      </c>
      <c r="F2064" t="inlineStr">
        <is>
          <t>BLEKINGE LÄN</t>
        </is>
      </c>
      <c r="G2064" t="inlineStr">
        <is>
          <t>RONNEBY</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7516-2026</t>
        </is>
      </c>
      <c r="B2065" t="inlineStr">
        <is>
          <t>avverkningsanmälan</t>
        </is>
      </c>
      <c r="C2065" t="inlineStr">
        <is>
          <t>Föryngringsavverkning</t>
        </is>
      </c>
      <c r="D2065" s="1" t="n">
        <v>46059</v>
      </c>
      <c r="E2065" s="1" t="n">
        <v>46248</v>
      </c>
      <c r="F2065" t="inlineStr">
        <is>
          <t>BLEKINGE LÄN</t>
        </is>
      </c>
      <c r="G2065" t="inlineStr">
        <is>
          <t>RONNEBY</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7557-2026</t>
        </is>
      </c>
      <c r="B2066" t="inlineStr">
        <is>
          <t>avverkningsanmälan</t>
        </is>
      </c>
      <c r="C2066" t="inlineStr">
        <is>
          <t>Föryngringsavverkning</t>
        </is>
      </c>
      <c r="D2066" s="1" t="n">
        <v>46059</v>
      </c>
      <c r="E2066" s="1" t="n">
        <v>46248</v>
      </c>
      <c r="F2066" t="inlineStr">
        <is>
          <t>BLEKINGE LÄN</t>
        </is>
      </c>
      <c r="G2066" t="inlineStr">
        <is>
          <t>KARLSKRONA</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8428-2026</t>
        </is>
      </c>
      <c r="B2067" t="inlineStr">
        <is>
          <t>avverkningsanmälan</t>
        </is>
      </c>
      <c r="C2067" t="inlineStr">
        <is>
          <t>Föryngringsavverkning</t>
        </is>
      </c>
      <c r="D2067" s="1" t="n">
        <v>46065</v>
      </c>
      <c r="E2067" s="1" t="n">
        <v>46248</v>
      </c>
      <c r="F2067" t="inlineStr">
        <is>
          <t>BLEKINGE LÄN</t>
        </is>
      </c>
      <c r="G2067" t="inlineStr">
        <is>
          <t>OLOFSTRÖM</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7810-2026</t>
        </is>
      </c>
      <c r="B2068" t="inlineStr">
        <is>
          <t>avverkningsanmälan</t>
        </is>
      </c>
      <c r="C2068" t="inlineStr">
        <is>
          <t>Föryngringsavverkning</t>
        </is>
      </c>
      <c r="D2068" s="1" t="n">
        <v>46059</v>
      </c>
      <c r="E2068" s="1" t="n">
        <v>46248</v>
      </c>
      <c r="F2068" t="inlineStr">
        <is>
          <t>BLEKINGE LÄN</t>
        </is>
      </c>
      <c r="G2068" t="inlineStr">
        <is>
          <t>OLOFSTRÖM</t>
        </is>
      </c>
      <c r="I2068" t="n">
        <v>16.2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7757-2026</t>
        </is>
      </c>
      <c r="B2069" t="inlineStr">
        <is>
          <t>avverkningsanmälan</t>
        </is>
      </c>
      <c r="C2069" t="inlineStr">
        <is>
          <t>Föryngringsavverkning</t>
        </is>
      </c>
      <c r="D2069" s="1" t="n">
        <v>46059</v>
      </c>
      <c r="E2069" s="1" t="n">
        <v>46248</v>
      </c>
      <c r="F2069" t="inlineStr">
        <is>
          <t>BLEKINGE LÄN</t>
        </is>
      </c>
      <c r="G2069" t="inlineStr">
        <is>
          <t>OLOFSTRÖM</t>
        </is>
      </c>
      <c r="I2069" t="n">
        <v>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9029-2026</t>
        </is>
      </c>
      <c r="B2070" t="inlineStr">
        <is>
          <t>avverkningsanmälan</t>
        </is>
      </c>
      <c r="C2070" t="inlineStr">
        <is>
          <t>Föryngringsavverkning</t>
        </is>
      </c>
      <c r="D2070" s="1" t="n">
        <v>46069</v>
      </c>
      <c r="E2070" s="1" t="n">
        <v>46248</v>
      </c>
      <c r="F2070" t="inlineStr">
        <is>
          <t>BLEKINGE LÄN</t>
        </is>
      </c>
      <c r="G2070" t="inlineStr">
        <is>
          <t>KARLSKRONA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8747-2026</t>
        </is>
      </c>
      <c r="B2071" t="inlineStr">
        <is>
          <t>avverkningsanmälan</t>
        </is>
      </c>
      <c r="C2071" t="inlineStr">
        <is>
          <t>Föryngringsavverkning</t>
        </is>
      </c>
      <c r="D2071" s="1" t="n">
        <v>46066</v>
      </c>
      <c r="E2071" s="1" t="n">
        <v>46248</v>
      </c>
      <c r="F2071" t="inlineStr">
        <is>
          <t>BLEKINGE LÄN</t>
        </is>
      </c>
      <c r="G2071" t="inlineStr">
        <is>
          <t>RONNEBY</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8847-2026</t>
        </is>
      </c>
      <c r="B2072" t="inlineStr">
        <is>
          <t>avverkningsanmälan</t>
        </is>
      </c>
      <c r="C2072" t="inlineStr">
        <is>
          <t>Föryngringsavverkning</t>
        </is>
      </c>
      <c r="D2072" s="1" t="n">
        <v>46066</v>
      </c>
      <c r="E2072" s="1" t="n">
        <v>46248</v>
      </c>
      <c r="F2072" t="inlineStr">
        <is>
          <t>BLEKINGE LÄN</t>
        </is>
      </c>
      <c r="G2072" t="inlineStr">
        <is>
          <t>KARLSKRONA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58920-2025</t>
        </is>
      </c>
      <c r="B2073" t="inlineStr">
        <is>
          <t>avverkningsanmälan</t>
        </is>
      </c>
      <c r="C2073" t="inlineStr">
        <is>
          <t>Föryngringsavverkning</t>
        </is>
      </c>
      <c r="D2073" s="1" t="n">
        <v>45987</v>
      </c>
      <c r="E2073" s="1" t="n">
        <v>46248</v>
      </c>
      <c r="F2073" t="inlineStr">
        <is>
          <t>BLEKINGE LÄN</t>
        </is>
      </c>
      <c r="G2073" t="inlineStr">
        <is>
          <t>KARLSHAMN</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9096-2026</t>
        </is>
      </c>
      <c r="B2074" t="inlineStr">
        <is>
          <t>avverkningsanmälan</t>
        </is>
      </c>
      <c r="C2074" t="inlineStr">
        <is>
          <t>Föryngringsavverkning</t>
        </is>
      </c>
      <c r="D2074" s="1" t="n">
        <v>46069</v>
      </c>
      <c r="E2074" s="1" t="n">
        <v>46248</v>
      </c>
      <c r="F2074" t="inlineStr">
        <is>
          <t>BLEKINGE LÄN</t>
        </is>
      </c>
      <c r="G2074" t="inlineStr">
        <is>
          <t>RONNEBY</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9291-2026</t>
        </is>
      </c>
      <c r="B2075" t="inlineStr">
        <is>
          <t>avverkningsanmälan</t>
        </is>
      </c>
      <c r="C2075" t="inlineStr">
        <is>
          <t>Föryngringsavverkning</t>
        </is>
      </c>
      <c r="D2075" s="1" t="n">
        <v>46070</v>
      </c>
      <c r="E2075" s="1" t="n">
        <v>46248</v>
      </c>
      <c r="F2075" t="inlineStr">
        <is>
          <t>BLEKINGE LÄN</t>
        </is>
      </c>
      <c r="G2075" t="inlineStr">
        <is>
          <t>OLOFSTRÖM</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9448-2026</t>
        </is>
      </c>
      <c r="B2076" t="inlineStr">
        <is>
          <t>avverkningsanmälan</t>
        </is>
      </c>
      <c r="C2076" t="inlineStr">
        <is>
          <t>Föryngringsavverkning</t>
        </is>
      </c>
      <c r="D2076" s="1" t="n">
        <v>46071</v>
      </c>
      <c r="E2076" s="1" t="n">
        <v>46248</v>
      </c>
      <c r="F2076" t="inlineStr">
        <is>
          <t>BLEKINGE LÄN</t>
        </is>
      </c>
      <c r="G2076" t="inlineStr">
        <is>
          <t>RONNEBY</t>
        </is>
      </c>
      <c r="H2076" t="inlineStr">
        <is>
          <t>Övriga Aktiebolag</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9279-2026</t>
        </is>
      </c>
      <c r="B2077" t="inlineStr">
        <is>
          <t>avverkningsanmälan</t>
        </is>
      </c>
      <c r="C2077" t="inlineStr">
        <is>
          <t>Föryngringsavverkning</t>
        </is>
      </c>
      <c r="D2077" s="1" t="n">
        <v>46070</v>
      </c>
      <c r="E2077" s="1" t="n">
        <v>46248</v>
      </c>
      <c r="F2077" t="inlineStr">
        <is>
          <t>BLEKINGE LÄN</t>
        </is>
      </c>
      <c r="G2077" t="inlineStr">
        <is>
          <t>OLOFSTRÖM</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9309-2026</t>
        </is>
      </c>
      <c r="B2078" t="inlineStr">
        <is>
          <t>avverkningsanmälan</t>
        </is>
      </c>
      <c r="C2078" t="inlineStr">
        <is>
          <t>Föryngringsavverkning</t>
        </is>
      </c>
      <c r="D2078" s="1" t="n">
        <v>46070</v>
      </c>
      <c r="E2078" s="1" t="n">
        <v>46248</v>
      </c>
      <c r="F2078" t="inlineStr">
        <is>
          <t>BLEKINGE LÄN</t>
        </is>
      </c>
      <c r="G2078" t="inlineStr">
        <is>
          <t>OLOFSTRÖM</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9452-2026</t>
        </is>
      </c>
      <c r="B2079" t="inlineStr">
        <is>
          <t>avverkningsanmälan</t>
        </is>
      </c>
      <c r="C2079" t="inlineStr">
        <is>
          <t>Föryngringsavverkning</t>
        </is>
      </c>
      <c r="D2079" s="1" t="n">
        <v>46071</v>
      </c>
      <c r="E2079" s="1" t="n">
        <v>46248</v>
      </c>
      <c r="F2079" t="inlineStr">
        <is>
          <t>BLEKINGE LÄN</t>
        </is>
      </c>
      <c r="G2079" t="inlineStr">
        <is>
          <t>RONNEBY</t>
        </is>
      </c>
      <c r="H2079" t="inlineStr">
        <is>
          <t>Övriga Aktiebolag</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9995-2026</t>
        </is>
      </c>
      <c r="B2080" t="inlineStr">
        <is>
          <t>avverkningsanmälan</t>
        </is>
      </c>
      <c r="C2080" t="inlineStr">
        <is>
          <t>Föryngringsavverkning</t>
        </is>
      </c>
      <c r="D2080" s="1" t="n">
        <v>46073</v>
      </c>
      <c r="E2080" s="1" t="n">
        <v>46248</v>
      </c>
      <c r="F2080" t="inlineStr">
        <is>
          <t>BLEKINGE LÄN</t>
        </is>
      </c>
      <c r="G2080" t="inlineStr">
        <is>
          <t>RONNEBY</t>
        </is>
      </c>
      <c r="H2080" t="inlineStr">
        <is>
          <t>Kyrkan</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10002-2026</t>
        </is>
      </c>
      <c r="B2081" t="inlineStr">
        <is>
          <t>avverkningsanmälan</t>
        </is>
      </c>
      <c r="C2081" t="inlineStr">
        <is>
          <t>Föryngringsavverkning</t>
        </is>
      </c>
      <c r="D2081" s="1" t="n">
        <v>46073</v>
      </c>
      <c r="E2081" s="1" t="n">
        <v>46248</v>
      </c>
      <c r="F2081" t="inlineStr">
        <is>
          <t>BLEKINGE LÄN</t>
        </is>
      </c>
      <c r="G2081" t="inlineStr">
        <is>
          <t>RONNEBY</t>
        </is>
      </c>
      <c r="H2081" t="inlineStr">
        <is>
          <t>Kyrkan</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10807-2026</t>
        </is>
      </c>
      <c r="B2082" t="inlineStr">
        <is>
          <t>avverkningsanmälan</t>
        </is>
      </c>
      <c r="C2082" t="inlineStr">
        <is>
          <t>Föryngringsavverkning</t>
        </is>
      </c>
      <c r="D2082" s="1" t="n">
        <v>46078</v>
      </c>
      <c r="E2082" s="1" t="n">
        <v>46248</v>
      </c>
      <c r="F2082" t="inlineStr">
        <is>
          <t>BLEKINGE LÄN</t>
        </is>
      </c>
      <c r="G2082" t="inlineStr">
        <is>
          <t>RONNEBY</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10812-2026</t>
        </is>
      </c>
      <c r="B2083" t="inlineStr">
        <is>
          <t>avverkningsanmälan</t>
        </is>
      </c>
      <c r="C2083" t="inlineStr">
        <is>
          <t>Föryngringsavverkning</t>
        </is>
      </c>
      <c r="D2083" s="1" t="n">
        <v>46078</v>
      </c>
      <c r="E2083" s="1" t="n">
        <v>46248</v>
      </c>
      <c r="F2083" t="inlineStr">
        <is>
          <t>BLEKINGE LÄN</t>
        </is>
      </c>
      <c r="G2083" t="inlineStr">
        <is>
          <t>RONNEBY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10701-2026</t>
        </is>
      </c>
      <c r="B2084" t="inlineStr">
        <is>
          <t>avverkningsanmälan</t>
        </is>
      </c>
      <c r="C2084" t="inlineStr">
        <is>
          <t>Föryngringsavverkning</t>
        </is>
      </c>
      <c r="D2084" s="1" t="n">
        <v>46078</v>
      </c>
      <c r="E2084" s="1" t="n">
        <v>46248</v>
      </c>
      <c r="F2084" t="inlineStr">
        <is>
          <t>BLEKINGE LÄN</t>
        </is>
      </c>
      <c r="G2084" t="inlineStr">
        <is>
          <t>OLOFSTRÖM</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10567-2026</t>
        </is>
      </c>
      <c r="B2085" t="inlineStr">
        <is>
          <t>avverkningsanmälan</t>
        </is>
      </c>
      <c r="C2085" t="inlineStr">
        <is>
          <t>Föryngringsavverkning</t>
        </is>
      </c>
      <c r="D2085" s="1" t="n">
        <v>46077</v>
      </c>
      <c r="E2085" s="1" t="n">
        <v>46248</v>
      </c>
      <c r="F2085" t="inlineStr">
        <is>
          <t>BLEKINGE LÄN</t>
        </is>
      </c>
      <c r="G2085" t="inlineStr">
        <is>
          <t>RONNEBY</t>
        </is>
      </c>
      <c r="H2085" t="inlineStr">
        <is>
          <t>Övriga Aktiebolag</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10813-2026</t>
        </is>
      </c>
      <c r="B2086" t="inlineStr">
        <is>
          <t>avverkningsanmälan</t>
        </is>
      </c>
      <c r="C2086" t="inlineStr">
        <is>
          <t>Föryngringsavverkning</t>
        </is>
      </c>
      <c r="D2086" s="1" t="n">
        <v>46078</v>
      </c>
      <c r="E2086" s="1" t="n">
        <v>46248</v>
      </c>
      <c r="F2086" t="inlineStr">
        <is>
          <t>BLEKINGE LÄN</t>
        </is>
      </c>
      <c r="G2086" t="inlineStr">
        <is>
          <t>RONNEBY</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10803-2026</t>
        </is>
      </c>
      <c r="B2087" t="inlineStr">
        <is>
          <t>avverkningsanmälan</t>
        </is>
      </c>
      <c r="C2087" t="inlineStr">
        <is>
          <t>Föryngringsavverkning</t>
        </is>
      </c>
      <c r="D2087" s="1" t="n">
        <v>46078</v>
      </c>
      <c r="E2087" s="1" t="n">
        <v>46248</v>
      </c>
      <c r="F2087" t="inlineStr">
        <is>
          <t>BLEKINGE LÄN</t>
        </is>
      </c>
      <c r="G2087" t="inlineStr">
        <is>
          <t>RONNEBY</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10804-2026</t>
        </is>
      </c>
      <c r="B2088" t="inlineStr">
        <is>
          <t>avverkningsanmälan</t>
        </is>
      </c>
      <c r="C2088" t="inlineStr">
        <is>
          <t>Föryngringsavverkning</t>
        </is>
      </c>
      <c r="D2088" s="1" t="n">
        <v>46078</v>
      </c>
      <c r="E2088" s="1" t="n">
        <v>46248</v>
      </c>
      <c r="F2088" t="inlineStr">
        <is>
          <t>BLEKINGE LÄN</t>
        </is>
      </c>
      <c r="G2088" t="inlineStr">
        <is>
          <t>RONNEBY</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11067-2026</t>
        </is>
      </c>
      <c r="B2089" t="inlineStr">
        <is>
          <t>avverkningsanmälan</t>
        </is>
      </c>
      <c r="C2089" t="inlineStr">
        <is>
          <t>Föryngringsavverkning</t>
        </is>
      </c>
      <c r="D2089" s="1" t="n">
        <v>46079</v>
      </c>
      <c r="E2089" s="1" t="n">
        <v>46248</v>
      </c>
      <c r="F2089" t="inlineStr">
        <is>
          <t>BLEKINGE LÄN</t>
        </is>
      </c>
      <c r="G2089" t="inlineStr">
        <is>
          <t>RONNEBY</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11106-2026</t>
        </is>
      </c>
      <c r="B2090" t="inlineStr">
        <is>
          <t>avverkningsanmälan</t>
        </is>
      </c>
      <c r="C2090" t="inlineStr">
        <is>
          <t>Föryngringsavverkning</t>
        </is>
      </c>
      <c r="D2090" s="1" t="n">
        <v>46079</v>
      </c>
      <c r="E2090" s="1" t="n">
        <v>46248</v>
      </c>
      <c r="F2090" t="inlineStr">
        <is>
          <t>BLEKINGE LÄN</t>
        </is>
      </c>
      <c r="G2090" t="inlineStr">
        <is>
          <t>RONNEBY</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11112-2026</t>
        </is>
      </c>
      <c r="B2091" t="inlineStr">
        <is>
          <t>avverkningsanmälan</t>
        </is>
      </c>
      <c r="C2091" t="inlineStr">
        <is>
          <t>Föryngringsavverkning</t>
        </is>
      </c>
      <c r="D2091" s="1" t="n">
        <v>46079</v>
      </c>
      <c r="E2091" s="1" t="n">
        <v>46248</v>
      </c>
      <c r="F2091" t="inlineStr">
        <is>
          <t>BLEKINGE LÄN</t>
        </is>
      </c>
      <c r="G2091" t="inlineStr">
        <is>
          <t>RONNEBY</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11104-2026</t>
        </is>
      </c>
      <c r="B2092" t="inlineStr">
        <is>
          <t>avverkningsanmälan</t>
        </is>
      </c>
      <c r="C2092" t="inlineStr">
        <is>
          <t>Föryngringsavverkning</t>
        </is>
      </c>
      <c r="D2092" s="1" t="n">
        <v>46079</v>
      </c>
      <c r="E2092" s="1" t="n">
        <v>46248</v>
      </c>
      <c r="F2092" t="inlineStr">
        <is>
          <t>BLEKINGE LÄN</t>
        </is>
      </c>
      <c r="G2092" t="inlineStr">
        <is>
          <t>RONNEBY</t>
        </is>
      </c>
      <c r="I2092" t="n">
        <v>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6620-2026</t>
        </is>
      </c>
      <c r="B2093" t="inlineStr">
        <is>
          <t>avverkningsanmälan</t>
        </is>
      </c>
      <c r="C2093" t="inlineStr">
        <is>
          <t>Föryngringsavverkning</t>
        </is>
      </c>
      <c r="D2093" s="1" t="n">
        <v>46056</v>
      </c>
      <c r="E2093" s="1" t="n">
        <v>46248</v>
      </c>
      <c r="F2093" t="inlineStr">
        <is>
          <t>BLEKINGE LÄN</t>
        </is>
      </c>
      <c r="G2093" t="inlineStr">
        <is>
          <t>KARLSKRONA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11544-2026</t>
        </is>
      </c>
      <c r="B2094" t="inlineStr">
        <is>
          <t>avverkningsanmälan</t>
        </is>
      </c>
      <c r="C2094" t="inlineStr">
        <is>
          <t>Föryngringsavverkning</t>
        </is>
      </c>
      <c r="D2094" s="1" t="n">
        <v>46083</v>
      </c>
      <c r="E2094" s="1" t="n">
        <v>46248</v>
      </c>
      <c r="F2094" t="inlineStr">
        <is>
          <t>BLEKINGE LÄN</t>
        </is>
      </c>
      <c r="G2094" t="inlineStr">
        <is>
          <t>KARLSHAMN</t>
        </is>
      </c>
      <c r="I2094" t="n">
        <v>10.8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11528-2026</t>
        </is>
      </c>
      <c r="B2095" t="inlineStr">
        <is>
          <t>avverkningsanmälan</t>
        </is>
      </c>
      <c r="C2095" t="inlineStr">
        <is>
          <t>Föryngringsavverkning</t>
        </is>
      </c>
      <c r="D2095" s="1" t="n">
        <v>46083</v>
      </c>
      <c r="E2095" s="1" t="n">
        <v>46248</v>
      </c>
      <c r="F2095" t="inlineStr">
        <is>
          <t>BLEKINGE LÄN</t>
        </is>
      </c>
      <c r="G2095" t="inlineStr">
        <is>
          <t>SÖLVESBORG</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12077-2026</t>
        </is>
      </c>
      <c r="B2096" t="inlineStr">
        <is>
          <t>avverkningsanmälan</t>
        </is>
      </c>
      <c r="C2096" t="inlineStr">
        <is>
          <t>Föryngringsavverkning</t>
        </is>
      </c>
      <c r="D2096" s="1" t="n">
        <v>46086</v>
      </c>
      <c r="E2096" s="1" t="n">
        <v>46248</v>
      </c>
      <c r="F2096" t="inlineStr">
        <is>
          <t>BLEKINGE LÄN</t>
        </is>
      </c>
      <c r="G2096" t="inlineStr">
        <is>
          <t>RONNEBY</t>
        </is>
      </c>
      <c r="H2096" t="inlineStr">
        <is>
          <t>Övriga Aktiebolag</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12125-2026</t>
        </is>
      </c>
      <c r="B2097" t="inlineStr">
        <is>
          <t>avverkningsanmälan</t>
        </is>
      </c>
      <c r="C2097" t="inlineStr">
        <is>
          <t>Föryngringsavverkning</t>
        </is>
      </c>
      <c r="D2097" s="1" t="n">
        <v>46086</v>
      </c>
      <c r="E2097" s="1" t="n">
        <v>46248</v>
      </c>
      <c r="F2097" t="inlineStr">
        <is>
          <t>BLEKINGE LÄN</t>
        </is>
      </c>
      <c r="G2097" t="inlineStr">
        <is>
          <t>RONNEBY</t>
        </is>
      </c>
      <c r="I2097" t="n">
        <v>4.3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12577-2026</t>
        </is>
      </c>
      <c r="B2098" t="inlineStr">
        <is>
          <t>avverkningsanmälan</t>
        </is>
      </c>
      <c r="C2098" t="inlineStr">
        <is>
          <t>Föryngringsavverkning</t>
        </is>
      </c>
      <c r="D2098" s="1" t="n">
        <v>46090</v>
      </c>
      <c r="E2098" s="1" t="n">
        <v>46248</v>
      </c>
      <c r="F2098" t="inlineStr">
        <is>
          <t>BLEKINGE LÄN</t>
        </is>
      </c>
      <c r="G2098" t="inlineStr">
        <is>
          <t>KARLSHAMN</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12230-2026</t>
        </is>
      </c>
      <c r="B2099" t="inlineStr">
        <is>
          <t>avverkningsanmälan</t>
        </is>
      </c>
      <c r="C2099" t="inlineStr">
        <is>
          <t>Föryngringsavverkning</t>
        </is>
      </c>
      <c r="D2099" s="1" t="n">
        <v>46087</v>
      </c>
      <c r="E2099" s="1" t="n">
        <v>46248</v>
      </c>
      <c r="F2099" t="inlineStr">
        <is>
          <t>BLEKINGE LÄN</t>
        </is>
      </c>
      <c r="G2099" t="inlineStr">
        <is>
          <t>KARLSKRONA</t>
        </is>
      </c>
      <c r="H2099" t="inlineStr">
        <is>
          <t>Kommuner</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12852-2026</t>
        </is>
      </c>
      <c r="B2100" t="inlineStr">
        <is>
          <t>avverkningsanmälan</t>
        </is>
      </c>
      <c r="C2100" t="inlineStr">
        <is>
          <t>Föryngringsavverkning</t>
        </is>
      </c>
      <c r="D2100" s="1" t="n">
        <v>46092</v>
      </c>
      <c r="E2100" s="1" t="n">
        <v>46248</v>
      </c>
      <c r="F2100" t="inlineStr">
        <is>
          <t>BLEKINGE LÄN</t>
        </is>
      </c>
      <c r="G2100" t="inlineStr">
        <is>
          <t>KARLSKRONA</t>
        </is>
      </c>
      <c r="H2100" t="inlineStr">
        <is>
          <t>Kommuner</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13523-2026</t>
        </is>
      </c>
      <c r="B2101" t="inlineStr">
        <is>
          <t>avverkningsanmälan</t>
        </is>
      </c>
      <c r="C2101" t="inlineStr">
        <is>
          <t>Föryngringsavverkning</t>
        </is>
      </c>
      <c r="D2101" s="1" t="n">
        <v>46094</v>
      </c>
      <c r="E2101" s="1" t="n">
        <v>46248</v>
      </c>
      <c r="F2101" t="inlineStr">
        <is>
          <t>BLEKINGE LÄN</t>
        </is>
      </c>
      <c r="G2101" t="inlineStr">
        <is>
          <t>KARLSHAMN</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13733-2026</t>
        </is>
      </c>
      <c r="B2102" t="inlineStr">
        <is>
          <t>avverkningsanmälan</t>
        </is>
      </c>
      <c r="C2102" t="inlineStr">
        <is>
          <t>Föryngringsavverkning</t>
        </is>
      </c>
      <c r="D2102" s="1" t="n">
        <v>46097</v>
      </c>
      <c r="E2102" s="1" t="n">
        <v>46248</v>
      </c>
      <c r="F2102" t="inlineStr">
        <is>
          <t>BLEKINGE LÄN</t>
        </is>
      </c>
      <c r="G2102" t="inlineStr">
        <is>
          <t>KARLSHAMN</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13758-2026</t>
        </is>
      </c>
      <c r="B2103" t="inlineStr">
        <is>
          <t>avverkningsanmälan</t>
        </is>
      </c>
      <c r="C2103" t="inlineStr">
        <is>
          <t>Föryngringsavverkning</t>
        </is>
      </c>
      <c r="D2103" s="1" t="n">
        <v>46097</v>
      </c>
      <c r="E2103" s="1" t="n">
        <v>46248</v>
      </c>
      <c r="F2103" t="inlineStr">
        <is>
          <t>BLEKINGE LÄN</t>
        </is>
      </c>
      <c r="G2103" t="inlineStr">
        <is>
          <t>OLOFSTRÖM</t>
        </is>
      </c>
      <c r="H2103" t="inlineStr">
        <is>
          <t>Övriga Aktiebolag</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13644-2026</t>
        </is>
      </c>
      <c r="B2104" t="inlineStr">
        <is>
          <t>avverkningsanmälan</t>
        </is>
      </c>
      <c r="C2104" t="inlineStr">
        <is>
          <t>Föryngringsavverkning</t>
        </is>
      </c>
      <c r="D2104" s="1" t="n">
        <v>46097</v>
      </c>
      <c r="E2104" s="1" t="n">
        <v>46248</v>
      </c>
      <c r="F2104" t="inlineStr">
        <is>
          <t>BLEKINGE LÄN</t>
        </is>
      </c>
      <c r="G2104" t="inlineStr">
        <is>
          <t>KARLSKRONA</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13602-2026</t>
        </is>
      </c>
      <c r="B2105" t="inlineStr">
        <is>
          <t>avverkningsanmälan</t>
        </is>
      </c>
      <c r="C2105" t="inlineStr">
        <is>
          <t>Föryngringsavverkning</t>
        </is>
      </c>
      <c r="D2105" s="1" t="n">
        <v>46097</v>
      </c>
      <c r="E2105" s="1" t="n">
        <v>46248</v>
      </c>
      <c r="F2105" t="inlineStr">
        <is>
          <t>BLEKINGE LÄN</t>
        </is>
      </c>
      <c r="G2105" t="inlineStr">
        <is>
          <t>KARLSHAMN</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14335-2026</t>
        </is>
      </c>
      <c r="B2106" t="inlineStr">
        <is>
          <t>avverkningsanmälan</t>
        </is>
      </c>
      <c r="C2106" t="inlineStr">
        <is>
          <t>Föryngringsavverkning</t>
        </is>
      </c>
      <c r="D2106" s="1" t="n">
        <v>46100</v>
      </c>
      <c r="E2106" s="1" t="n">
        <v>46248</v>
      </c>
      <c r="F2106" t="inlineStr">
        <is>
          <t>BLEKINGE LÄN</t>
        </is>
      </c>
      <c r="G2106" t="inlineStr">
        <is>
          <t>KARLSHAMN</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15095-2026</t>
        </is>
      </c>
      <c r="B2107" t="inlineStr">
        <is>
          <t>avverkningsanmälan</t>
        </is>
      </c>
      <c r="C2107" t="inlineStr">
        <is>
          <t>Föryngringsavverkning</t>
        </is>
      </c>
      <c r="D2107" s="1" t="n">
        <v>46104</v>
      </c>
      <c r="E2107" s="1" t="n">
        <v>46248</v>
      </c>
      <c r="F2107" t="inlineStr">
        <is>
          <t>BLEKINGE LÄN</t>
        </is>
      </c>
      <c r="G2107" t="inlineStr">
        <is>
          <t>RONNEBY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15134-2026</t>
        </is>
      </c>
      <c r="B2108" t="inlineStr">
        <is>
          <t>avverkningsanmälan</t>
        </is>
      </c>
      <c r="C2108" t="inlineStr">
        <is>
          <t>Föryngringsavverkning</t>
        </is>
      </c>
      <c r="D2108" s="1" t="n">
        <v>46104</v>
      </c>
      <c r="E2108" s="1" t="n">
        <v>46248</v>
      </c>
      <c r="F2108" t="inlineStr">
        <is>
          <t>BLEKINGE LÄN</t>
        </is>
      </c>
      <c r="G2108" t="inlineStr">
        <is>
          <t>KARLSHAMN</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15091-2026</t>
        </is>
      </c>
      <c r="B2109" t="inlineStr">
        <is>
          <t>avverkningsanmälan</t>
        </is>
      </c>
      <c r="C2109" t="inlineStr">
        <is>
          <t>Föryngringsavverkning</t>
        </is>
      </c>
      <c r="D2109" s="1" t="n">
        <v>46104</v>
      </c>
      <c r="E2109" s="1" t="n">
        <v>46248</v>
      </c>
      <c r="F2109" t="inlineStr">
        <is>
          <t>BLEKINGE LÄN</t>
        </is>
      </c>
      <c r="G2109" t="inlineStr">
        <is>
          <t>RONNEBY</t>
        </is>
      </c>
      <c r="I2109" t="n">
        <v>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14904-2026</t>
        </is>
      </c>
      <c r="B2110" t="inlineStr">
        <is>
          <t>avverkningsanmälan</t>
        </is>
      </c>
      <c r="C2110" t="inlineStr">
        <is>
          <t>Föryngringsavverkning</t>
        </is>
      </c>
      <c r="D2110" s="1" t="n">
        <v>46104</v>
      </c>
      <c r="E2110" s="1" t="n">
        <v>46248</v>
      </c>
      <c r="F2110" t="inlineStr">
        <is>
          <t>BLEKINGE LÄN</t>
        </is>
      </c>
      <c r="G2110" t="inlineStr">
        <is>
          <t>OLOFSTRÖM</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15102-2026</t>
        </is>
      </c>
      <c r="B2111" t="inlineStr">
        <is>
          <t>avverkningsanmälan</t>
        </is>
      </c>
      <c r="C2111" t="inlineStr">
        <is>
          <t>Föryngringsavverkning</t>
        </is>
      </c>
      <c r="D2111" s="1" t="n">
        <v>46104</v>
      </c>
      <c r="E2111" s="1" t="n">
        <v>46248</v>
      </c>
      <c r="F2111" t="inlineStr">
        <is>
          <t>BLEKINGE LÄN</t>
        </is>
      </c>
      <c r="G2111" t="inlineStr">
        <is>
          <t>RONNEBY</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15688-2026</t>
        </is>
      </c>
      <c r="B2112" t="inlineStr">
        <is>
          <t>avverkningsanmälan</t>
        </is>
      </c>
      <c r="C2112" t="inlineStr">
        <is>
          <t>Föryngringsavverkning</t>
        </is>
      </c>
      <c r="D2112" s="1" t="n">
        <v>46106</v>
      </c>
      <c r="E2112" s="1" t="n">
        <v>46248</v>
      </c>
      <c r="F2112" t="inlineStr">
        <is>
          <t>BLEKINGE LÄN</t>
        </is>
      </c>
      <c r="G2112" t="inlineStr">
        <is>
          <t>OLOFSTRÖM</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15206-2026</t>
        </is>
      </c>
      <c r="B2113" t="inlineStr">
        <is>
          <t>avverkningsanmälan</t>
        </is>
      </c>
      <c r="C2113" t="inlineStr">
        <is>
          <t>Föryngringsavverkning</t>
        </is>
      </c>
      <c r="D2113" s="1" t="n">
        <v>46105</v>
      </c>
      <c r="E2113" s="1" t="n">
        <v>46248</v>
      </c>
      <c r="F2113" t="inlineStr">
        <is>
          <t>BLEKINGE LÄN</t>
        </is>
      </c>
      <c r="G2113" t="inlineStr">
        <is>
          <t>RONNEBY</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15468-2026</t>
        </is>
      </c>
      <c r="B2114" t="inlineStr">
        <is>
          <t>avverkningsanmälan</t>
        </is>
      </c>
      <c r="C2114" t="inlineStr">
        <is>
          <t>Föryngringsavverkning</t>
        </is>
      </c>
      <c r="D2114" s="1" t="n">
        <v>46106</v>
      </c>
      <c r="E2114" s="1" t="n">
        <v>46248</v>
      </c>
      <c r="F2114" t="inlineStr">
        <is>
          <t>BLEKINGE LÄN</t>
        </is>
      </c>
      <c r="G2114" t="inlineStr">
        <is>
          <t>KARLSKRONA</t>
        </is>
      </c>
      <c r="H2114" t="inlineStr">
        <is>
          <t>Kommuner</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15471-2026</t>
        </is>
      </c>
      <c r="B2115" t="inlineStr">
        <is>
          <t>avverkningsanmälan</t>
        </is>
      </c>
      <c r="C2115" t="inlineStr">
        <is>
          <t>Föryngringsavverkning</t>
        </is>
      </c>
      <c r="D2115" s="1" t="n">
        <v>46106</v>
      </c>
      <c r="E2115" s="1" t="n">
        <v>46248</v>
      </c>
      <c r="F2115" t="inlineStr">
        <is>
          <t>BLEKINGE LÄN</t>
        </is>
      </c>
      <c r="G2115" t="inlineStr">
        <is>
          <t>KARLSHAMN</t>
        </is>
      </c>
      <c r="H2115" t="inlineStr">
        <is>
          <t>Sveaskog</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15621-2026</t>
        </is>
      </c>
      <c r="B2116" t="inlineStr">
        <is>
          <t>avverkningsanmälan</t>
        </is>
      </c>
      <c r="C2116" t="inlineStr">
        <is>
          <t>Föryngringsavverkning</t>
        </is>
      </c>
      <c r="D2116" s="1" t="n">
        <v>46106</v>
      </c>
      <c r="E2116" s="1" t="n">
        <v>46248</v>
      </c>
      <c r="F2116" t="inlineStr">
        <is>
          <t>BLEKINGE LÄN</t>
        </is>
      </c>
      <c r="G2116" t="inlineStr">
        <is>
          <t>KARLSHAMN</t>
        </is>
      </c>
      <c r="H2116" t="inlineStr">
        <is>
          <t>Övriga Aktiebolag</t>
        </is>
      </c>
      <c r="I2116" t="n">
        <v>8.800000000000001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9288-2026</t>
        </is>
      </c>
      <c r="B2117" t="inlineStr">
        <is>
          <t>avverkningsanmälan</t>
        </is>
      </c>
      <c r="C2117" t="inlineStr">
        <is>
          <t>Föryngringsavverkning</t>
        </is>
      </c>
      <c r="D2117" s="1" t="n">
        <v>46070</v>
      </c>
      <c r="E2117" s="1" t="n">
        <v>46248</v>
      </c>
      <c r="F2117" t="inlineStr">
        <is>
          <t>BLEKINGE LÄN</t>
        </is>
      </c>
      <c r="G2117" t="inlineStr">
        <is>
          <t>OLOFSTRÖM</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15111-2026</t>
        </is>
      </c>
      <c r="B2118" t="inlineStr">
        <is>
          <t>avverkningsanmälan</t>
        </is>
      </c>
      <c r="C2118" t="inlineStr">
        <is>
          <t>Föryngringsavverkning</t>
        </is>
      </c>
      <c r="D2118" s="1" t="n">
        <v>46104</v>
      </c>
      <c r="E2118" s="1" t="n">
        <v>46248</v>
      </c>
      <c r="F2118" t="inlineStr">
        <is>
          <t>BLEKINGE LÄN</t>
        </is>
      </c>
      <c r="G2118" t="inlineStr">
        <is>
          <t>RONNEBY</t>
        </is>
      </c>
      <c r="I2118" t="n">
        <v>4.2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16594-2026</t>
        </is>
      </c>
      <c r="B2119" t="inlineStr">
        <is>
          <t>avverkningsanmälan</t>
        </is>
      </c>
      <c r="C2119" t="inlineStr">
        <is>
          <t>Föryngringsavverkning</t>
        </is>
      </c>
      <c r="D2119" s="1" t="n">
        <v>46112</v>
      </c>
      <c r="E2119" s="1" t="n">
        <v>46248</v>
      </c>
      <c r="F2119" t="inlineStr">
        <is>
          <t>BLEKINGE LÄN</t>
        </is>
      </c>
      <c r="G2119" t="inlineStr">
        <is>
          <t>KARLSKRONA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29389-2025</t>
        </is>
      </c>
      <c r="B2120" t="inlineStr">
        <is>
          <t>avverkningsanmälan</t>
        </is>
      </c>
      <c r="C2120" t="inlineStr">
        <is>
          <t>Föryngringsavverkning</t>
        </is>
      </c>
      <c r="D2120" s="1" t="n">
        <v>45824</v>
      </c>
      <c r="E2120" s="1" t="n">
        <v>46248</v>
      </c>
      <c r="F2120" t="inlineStr">
        <is>
          <t>BLEKINGE LÄN</t>
        </is>
      </c>
      <c r="G2120" t="inlineStr">
        <is>
          <t>KARLSHAMN</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52199-2025</t>
        </is>
      </c>
      <c r="B2121" t="inlineStr">
        <is>
          <t>avverkningsanmälan</t>
        </is>
      </c>
      <c r="C2121" t="inlineStr">
        <is>
          <t>Föryngringsavverkning</t>
        </is>
      </c>
      <c r="D2121" s="1" t="n">
        <v>45953</v>
      </c>
      <c r="E2121" s="1" t="n">
        <v>46248</v>
      </c>
      <c r="F2121" t="inlineStr">
        <is>
          <t>BLEKINGE LÄN</t>
        </is>
      </c>
      <c r="G2121" t="inlineStr">
        <is>
          <t>KARLSHAMN</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16469-2026</t>
        </is>
      </c>
      <c r="B2122" t="inlineStr">
        <is>
          <t>avverkningsanmälan</t>
        </is>
      </c>
      <c r="C2122" t="inlineStr">
        <is>
          <t>Föryngringsavverkning</t>
        </is>
      </c>
      <c r="D2122" s="1" t="n">
        <v>46112</v>
      </c>
      <c r="E2122" s="1" t="n">
        <v>46248</v>
      </c>
      <c r="F2122" t="inlineStr">
        <is>
          <t>BLEKINGE LÄN</t>
        </is>
      </c>
      <c r="G2122" t="inlineStr">
        <is>
          <t>KARLSKRONA</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52195-2025</t>
        </is>
      </c>
      <c r="B2123" t="inlineStr">
        <is>
          <t>avverkningsanmälan</t>
        </is>
      </c>
      <c r="C2123" t="inlineStr">
        <is>
          <t>Föryngringsavverkning</t>
        </is>
      </c>
      <c r="D2123" s="1" t="n">
        <v>45953</v>
      </c>
      <c r="E2123" s="1" t="n">
        <v>46248</v>
      </c>
      <c r="F2123" t="inlineStr">
        <is>
          <t>BLEKINGE LÄN</t>
        </is>
      </c>
      <c r="G2123" t="inlineStr">
        <is>
          <t>KARLSHAMN</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16492-2026</t>
        </is>
      </c>
      <c r="B2124" t="inlineStr">
        <is>
          <t>avverkningsanmälan</t>
        </is>
      </c>
      <c r="C2124" t="inlineStr">
        <is>
          <t>Föryngringsavverkning</t>
        </is>
      </c>
      <c r="D2124" s="1" t="n">
        <v>46112</v>
      </c>
      <c r="E2124" s="1" t="n">
        <v>46248</v>
      </c>
      <c r="F2124" t="inlineStr">
        <is>
          <t>BLEKINGE LÄN</t>
        </is>
      </c>
      <c r="G2124" t="inlineStr">
        <is>
          <t>RONNEBY</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16901-2026</t>
        </is>
      </c>
      <c r="B2125" t="inlineStr">
        <is>
          <t>avverkningsanmälan</t>
        </is>
      </c>
      <c r="C2125" t="inlineStr">
        <is>
          <t>Föryngringsavverkning</t>
        </is>
      </c>
      <c r="D2125" s="1" t="n">
        <v>46113</v>
      </c>
      <c r="E2125" s="1" t="n">
        <v>46248</v>
      </c>
      <c r="F2125" t="inlineStr">
        <is>
          <t>BLEKINGE LÄN</t>
        </is>
      </c>
      <c r="G2125" t="inlineStr">
        <is>
          <t>KARLSHAMN</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16905-2026</t>
        </is>
      </c>
      <c r="B2126" t="inlineStr">
        <is>
          <t>avverkningsanmälan</t>
        </is>
      </c>
      <c r="C2126" t="inlineStr">
        <is>
          <t>Föryngringsavverkning</t>
        </is>
      </c>
      <c r="D2126" s="1" t="n">
        <v>46113</v>
      </c>
      <c r="E2126" s="1" t="n">
        <v>46248</v>
      </c>
      <c r="F2126" t="inlineStr">
        <is>
          <t>BLEKINGE LÄN</t>
        </is>
      </c>
      <c r="G2126" t="inlineStr">
        <is>
          <t>KARLSHAMN</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16909-2026</t>
        </is>
      </c>
      <c r="B2127" t="inlineStr">
        <is>
          <t>avverkningsanmälan</t>
        </is>
      </c>
      <c r="C2127" t="inlineStr">
        <is>
          <t>Föryngringsavverkning</t>
        </is>
      </c>
      <c r="D2127" s="1" t="n">
        <v>46113</v>
      </c>
      <c r="E2127" s="1" t="n">
        <v>46248</v>
      </c>
      <c r="F2127" t="inlineStr">
        <is>
          <t>BLEKINGE LÄN</t>
        </is>
      </c>
      <c r="G2127" t="inlineStr">
        <is>
          <t>KARLSHAMN</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16699-2026</t>
        </is>
      </c>
      <c r="B2128" t="inlineStr">
        <is>
          <t>avverkningsanmälan</t>
        </is>
      </c>
      <c r="C2128" t="inlineStr">
        <is>
          <t>Föryngringsavverkning</t>
        </is>
      </c>
      <c r="D2128" s="1" t="n">
        <v>46113</v>
      </c>
      <c r="E2128" s="1" t="n">
        <v>46248</v>
      </c>
      <c r="F2128" t="inlineStr">
        <is>
          <t>BLEKINGE LÄN</t>
        </is>
      </c>
      <c r="G2128" t="inlineStr">
        <is>
          <t>KARLSKRONA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16701-2026</t>
        </is>
      </c>
      <c r="B2129" t="inlineStr">
        <is>
          <t>avverkningsanmälan</t>
        </is>
      </c>
      <c r="C2129" t="inlineStr">
        <is>
          <t>Föryngringsavverkning</t>
        </is>
      </c>
      <c r="D2129" s="1" t="n">
        <v>46113</v>
      </c>
      <c r="E2129" s="1" t="n">
        <v>46248</v>
      </c>
      <c r="F2129" t="inlineStr">
        <is>
          <t>BLEKINGE LÄN</t>
        </is>
      </c>
      <c r="G2129" t="inlineStr">
        <is>
          <t>KARLSKRONA</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16730-2026</t>
        </is>
      </c>
      <c r="B2130" t="inlineStr">
        <is>
          <t>avverkningsanmälan</t>
        </is>
      </c>
      <c r="C2130" t="inlineStr">
        <is>
          <t>Föryngringsavverkning</t>
        </is>
      </c>
      <c r="D2130" s="1" t="n">
        <v>46113</v>
      </c>
      <c r="E2130" s="1" t="n">
        <v>46248</v>
      </c>
      <c r="F2130" t="inlineStr">
        <is>
          <t>BLEKINGE LÄN</t>
        </is>
      </c>
      <c r="G2130" t="inlineStr">
        <is>
          <t>KARLSKRONA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16720-2026</t>
        </is>
      </c>
      <c r="B2131" t="inlineStr">
        <is>
          <t>avverkningsanmälan</t>
        </is>
      </c>
      <c r="C2131" t="inlineStr">
        <is>
          <t>Föryngringsavverkning</t>
        </is>
      </c>
      <c r="D2131" s="1" t="n">
        <v>46113</v>
      </c>
      <c r="E2131" s="1" t="n">
        <v>46248</v>
      </c>
      <c r="F2131" t="inlineStr">
        <is>
          <t>BLEKINGE LÄN</t>
        </is>
      </c>
      <c r="G2131" t="inlineStr">
        <is>
          <t>KARLSKRONA</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16702-2026</t>
        </is>
      </c>
      <c r="B2132" t="inlineStr">
        <is>
          <t>avverkningsanmälan</t>
        </is>
      </c>
      <c r="C2132" t="inlineStr">
        <is>
          <t>Föryngringsavverkning</t>
        </is>
      </c>
      <c r="D2132" s="1" t="n">
        <v>46113</v>
      </c>
      <c r="E2132" s="1" t="n">
        <v>46248</v>
      </c>
      <c r="F2132" t="inlineStr">
        <is>
          <t>BLEKINGE LÄN</t>
        </is>
      </c>
      <c r="G2132" t="inlineStr">
        <is>
          <t>KARLSKRONA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16745-2026</t>
        </is>
      </c>
      <c r="B2133" t="inlineStr">
        <is>
          <t>avverkningsanmälan</t>
        </is>
      </c>
      <c r="C2133" t="inlineStr">
        <is>
          <t>Föryngringsavverkning</t>
        </is>
      </c>
      <c r="D2133" s="1" t="n">
        <v>46113</v>
      </c>
      <c r="E2133" s="1" t="n">
        <v>46248</v>
      </c>
      <c r="F2133" t="inlineStr">
        <is>
          <t>BLEKINGE LÄN</t>
        </is>
      </c>
      <c r="G2133" t="inlineStr">
        <is>
          <t>KARLSKRONA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16747-2026</t>
        </is>
      </c>
      <c r="B2134" t="inlineStr">
        <is>
          <t>avverkningsanmälan</t>
        </is>
      </c>
      <c r="C2134" t="inlineStr">
        <is>
          <t>Föryngringsavverkning</t>
        </is>
      </c>
      <c r="D2134" s="1" t="n">
        <v>46113</v>
      </c>
      <c r="E2134" s="1" t="n">
        <v>46248</v>
      </c>
      <c r="F2134" t="inlineStr">
        <is>
          <t>BLEKINGE LÄN</t>
        </is>
      </c>
      <c r="G2134" t="inlineStr">
        <is>
          <t>KARLSKRONA</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16753-2026</t>
        </is>
      </c>
      <c r="B2135" t="inlineStr">
        <is>
          <t>avverkningsanmälan</t>
        </is>
      </c>
      <c r="C2135" t="inlineStr">
        <is>
          <t>Avverkning för annat ändamål</t>
        </is>
      </c>
      <c r="D2135" s="1" t="n">
        <v>46113</v>
      </c>
      <c r="E2135" s="1" t="n">
        <v>46248</v>
      </c>
      <c r="F2135" t="inlineStr">
        <is>
          <t>BLEKINGE LÄN</t>
        </is>
      </c>
      <c r="G2135" t="inlineStr">
        <is>
          <t>KARLSKRONA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2567-2023</t>
        </is>
      </c>
      <c r="B2136" t="inlineStr">
        <is>
          <t>avverkningsanmälan</t>
        </is>
      </c>
      <c r="C2136" t="inlineStr">
        <is>
          <t>Föryngringsavverkning</t>
        </is>
      </c>
      <c r="D2136" s="1" t="n">
        <v>44943</v>
      </c>
      <c r="E2136" s="1" t="n">
        <v>46248</v>
      </c>
      <c r="F2136" t="inlineStr">
        <is>
          <t>BLEKINGE LÄN</t>
        </is>
      </c>
      <c r="G2136" t="inlineStr">
        <is>
          <t>KARLSHAMN</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17232-2026</t>
        </is>
      </c>
      <c r="B2137" t="inlineStr">
        <is>
          <t>avverkningsanmälan</t>
        </is>
      </c>
      <c r="C2137" t="inlineStr">
        <is>
          <t>Föryngringsavverkning</t>
        </is>
      </c>
      <c r="D2137" s="1" t="n">
        <v>46119</v>
      </c>
      <c r="E2137" s="1" t="n">
        <v>46248</v>
      </c>
      <c r="F2137" t="inlineStr">
        <is>
          <t>BLEKINGE LÄN</t>
        </is>
      </c>
      <c r="G2137" t="inlineStr">
        <is>
          <t>OLOFSTRÖM</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17398-2026</t>
        </is>
      </c>
      <c r="B2138" t="inlineStr">
        <is>
          <t>avverkningsanmälan</t>
        </is>
      </c>
      <c r="C2138" t="inlineStr">
        <is>
          <t>Föryngringsavverkning</t>
        </is>
      </c>
      <c r="D2138" s="1" t="n">
        <v>46119</v>
      </c>
      <c r="E2138" s="1" t="n">
        <v>46248</v>
      </c>
      <c r="F2138" t="inlineStr">
        <is>
          <t>BLEKINGE LÄN</t>
        </is>
      </c>
      <c r="G2138" t="inlineStr">
        <is>
          <t>RONNEBY</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17459-2026</t>
        </is>
      </c>
      <c r="B2139" t="inlineStr">
        <is>
          <t>avverkningsanmälan</t>
        </is>
      </c>
      <c r="C2139" t="inlineStr">
        <is>
          <t>Föryngringsavverkning</t>
        </is>
      </c>
      <c r="D2139" s="1" t="n">
        <v>46120</v>
      </c>
      <c r="E2139" s="1" t="n">
        <v>46248</v>
      </c>
      <c r="F2139" t="inlineStr">
        <is>
          <t>BLEKINGE LÄN</t>
        </is>
      </c>
      <c r="G2139" t="inlineStr">
        <is>
          <t>OLOFSTRÖM</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17768-2026</t>
        </is>
      </c>
      <c r="B2140" t="inlineStr">
        <is>
          <t>avverkningsanmälan</t>
        </is>
      </c>
      <c r="C2140" t="inlineStr">
        <is>
          <t>Föryngringsavverkning</t>
        </is>
      </c>
      <c r="D2140" s="1" t="n">
        <v>46122</v>
      </c>
      <c r="E2140" s="1" t="n">
        <v>46248</v>
      </c>
      <c r="F2140" t="inlineStr">
        <is>
          <t>BLEKINGE LÄN</t>
        </is>
      </c>
      <c r="G2140" t="inlineStr">
        <is>
          <t>KARLSHAMN</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18109-2026</t>
        </is>
      </c>
      <c r="B2141" t="inlineStr">
        <is>
          <t>avverkningsanmälan</t>
        </is>
      </c>
      <c r="C2141" t="inlineStr">
        <is>
          <t>Föryngringsavverkning</t>
        </is>
      </c>
      <c r="D2141" s="1" t="n">
        <v>46125</v>
      </c>
      <c r="E2141" s="1" t="n">
        <v>46248</v>
      </c>
      <c r="F2141" t="inlineStr">
        <is>
          <t>BLEKINGE LÄN</t>
        </is>
      </c>
      <c r="G2141" t="inlineStr">
        <is>
          <t>KARLSKRONA</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18305-2026</t>
        </is>
      </c>
      <c r="B2142" t="inlineStr">
        <is>
          <t>avverkningsanmälan</t>
        </is>
      </c>
      <c r="C2142" t="inlineStr">
        <is>
          <t>Föryngringsavverkning</t>
        </is>
      </c>
      <c r="D2142" s="1" t="n">
        <v>46126</v>
      </c>
      <c r="E2142" s="1" t="n">
        <v>46248</v>
      </c>
      <c r="F2142" t="inlineStr">
        <is>
          <t>BLEKINGE LÄN</t>
        </is>
      </c>
      <c r="G2142" t="inlineStr">
        <is>
          <t>RONNEBY</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18329-2026</t>
        </is>
      </c>
      <c r="B2143" t="inlineStr">
        <is>
          <t>avverkningsanmälan</t>
        </is>
      </c>
      <c r="C2143" t="inlineStr">
        <is>
          <t>Föryngringsavverkning</t>
        </is>
      </c>
      <c r="D2143" s="1" t="n">
        <v>46126</v>
      </c>
      <c r="E2143" s="1" t="n">
        <v>46248</v>
      </c>
      <c r="F2143" t="inlineStr">
        <is>
          <t>BLEKINGE LÄN</t>
        </is>
      </c>
      <c r="G2143" t="inlineStr">
        <is>
          <t>RONNEBY</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18046-2026</t>
        </is>
      </c>
      <c r="B2144" t="inlineStr">
        <is>
          <t>avverkningsanmälan</t>
        </is>
      </c>
      <c r="C2144" t="inlineStr">
        <is>
          <t>Föryngringsavverkning</t>
        </is>
      </c>
      <c r="D2144" s="1" t="n">
        <v>46125</v>
      </c>
      <c r="E2144" s="1" t="n">
        <v>46248</v>
      </c>
      <c r="F2144" t="inlineStr">
        <is>
          <t>BLEKINGE LÄN</t>
        </is>
      </c>
      <c r="G2144" t="inlineStr">
        <is>
          <t>OLOFSTRÖM</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27791-2022</t>
        </is>
      </c>
      <c r="B2145" t="inlineStr">
        <is>
          <t>avverkningsanmälan</t>
        </is>
      </c>
      <c r="C2145" t="inlineStr">
        <is>
          <t>Föryngringsavverkning</t>
        </is>
      </c>
      <c r="D2145" s="1" t="n">
        <v>44743</v>
      </c>
      <c r="E2145" s="1" t="n">
        <v>46248</v>
      </c>
      <c r="F2145" t="inlineStr">
        <is>
          <t>BLEKINGE LÄN</t>
        </is>
      </c>
      <c r="G2145" t="inlineStr">
        <is>
          <t>OLOFSTRÖM</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18472-2026</t>
        </is>
      </c>
      <c r="B2146" t="inlineStr">
        <is>
          <t>avverkningsanmälan</t>
        </is>
      </c>
      <c r="C2146" t="inlineStr">
        <is>
          <t>Föryngringsavverkning</t>
        </is>
      </c>
      <c r="D2146" s="1" t="n">
        <v>46127</v>
      </c>
      <c r="E2146" s="1" t="n">
        <v>46248</v>
      </c>
      <c r="F2146" t="inlineStr">
        <is>
          <t>BLEKINGE LÄN</t>
        </is>
      </c>
      <c r="G2146" t="inlineStr">
        <is>
          <t>OLOFSTRÖM</t>
        </is>
      </c>
      <c r="I2146" t="n">
        <v>5.9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19464-2026</t>
        </is>
      </c>
      <c r="B2147" t="inlineStr">
        <is>
          <t>avverkningsanmälan</t>
        </is>
      </c>
      <c r="C2147" t="inlineStr">
        <is>
          <t>Föryngringsavverkning</t>
        </is>
      </c>
      <c r="D2147" s="1" t="n">
        <v>46133</v>
      </c>
      <c r="E2147" s="1" t="n">
        <v>46248</v>
      </c>
      <c r="F2147" t="inlineStr">
        <is>
          <t>BLEKINGE LÄN</t>
        </is>
      </c>
      <c r="G2147" t="inlineStr">
        <is>
          <t>RONNEBY</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49786-2022</t>
        </is>
      </c>
      <c r="B2148" t="inlineStr">
        <is>
          <t>avverkningsanmälan</t>
        </is>
      </c>
      <c r="C2148" t="inlineStr">
        <is>
          <t>Föryngringsavverkning</t>
        </is>
      </c>
      <c r="D2148" s="1" t="n">
        <v>44862</v>
      </c>
      <c r="E2148" s="1" t="n">
        <v>46248</v>
      </c>
      <c r="F2148" t="inlineStr">
        <is>
          <t>BLEKINGE LÄN</t>
        </is>
      </c>
      <c r="G2148" t="inlineStr">
        <is>
          <t>OLOFSTRÖM</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42437-2025</t>
        </is>
      </c>
      <c r="B2149" t="inlineStr">
        <is>
          <t>avverkningsanmälan</t>
        </is>
      </c>
      <c r="C2149" t="inlineStr">
        <is>
          <t>Föryngringsavverkning</t>
        </is>
      </c>
      <c r="D2149" s="1" t="n">
        <v>45905</v>
      </c>
      <c r="E2149" s="1" t="n">
        <v>46248</v>
      </c>
      <c r="F2149" t="inlineStr">
        <is>
          <t>BLEKINGE LÄN</t>
        </is>
      </c>
      <c r="G2149" t="inlineStr">
        <is>
          <t>KARLSKRONA</t>
        </is>
      </c>
      <c r="H2149" t="inlineStr">
        <is>
          <t>Kommuner</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38515-2025</t>
        </is>
      </c>
      <c r="B2150" t="inlineStr">
        <is>
          <t>avverkningsanmälan</t>
        </is>
      </c>
      <c r="C2150" t="inlineStr">
        <is>
          <t>Föryngringsavverkning</t>
        </is>
      </c>
      <c r="D2150" s="1" t="n">
        <v>45884</v>
      </c>
      <c r="E2150" s="1" t="n">
        <v>46248</v>
      </c>
      <c r="F2150" t="inlineStr">
        <is>
          <t>BLEKINGE LÄN</t>
        </is>
      </c>
      <c r="G2150" t="inlineStr">
        <is>
          <t>KARLSHAMN</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14816-2025</t>
        </is>
      </c>
      <c r="B2151" t="inlineStr">
        <is>
          <t>avverkningsanmälan</t>
        </is>
      </c>
      <c r="C2151" t="inlineStr">
        <is>
          <t>Föryngringsavverkning</t>
        </is>
      </c>
      <c r="D2151" s="1" t="n">
        <v>45743</v>
      </c>
      <c r="E2151" s="1" t="n">
        <v>46248</v>
      </c>
      <c r="F2151" t="inlineStr">
        <is>
          <t>BLEKINGE LÄN</t>
        </is>
      </c>
      <c r="G2151" t="inlineStr">
        <is>
          <t>KARLSHAMN</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34932-2025</t>
        </is>
      </c>
      <c r="B2152" t="inlineStr">
        <is>
          <t>avverkningsanmälan</t>
        </is>
      </c>
      <c r="C2152" t="inlineStr">
        <is>
          <t>Föryngringsavverkning</t>
        </is>
      </c>
      <c r="D2152" s="1" t="n">
        <v>45849</v>
      </c>
      <c r="E2152" s="1" t="n">
        <v>46248</v>
      </c>
      <c r="F2152" t="inlineStr">
        <is>
          <t>BLEKINGE LÄN</t>
        </is>
      </c>
      <c r="G2152" t="inlineStr">
        <is>
          <t>OLOFSTRÖM</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44173-2025</t>
        </is>
      </c>
      <c r="B2153" t="inlineStr">
        <is>
          <t>avverkningsanmälan</t>
        </is>
      </c>
      <c r="C2153" t="inlineStr">
        <is>
          <t>Föryngringsavverkning</t>
        </is>
      </c>
      <c r="D2153" s="1" t="n">
        <v>45915</v>
      </c>
      <c r="E2153" s="1" t="n">
        <v>46248</v>
      </c>
      <c r="F2153" t="inlineStr">
        <is>
          <t>BLEKINGE LÄN</t>
        </is>
      </c>
      <c r="G2153" t="inlineStr">
        <is>
          <t>KARLSKRONA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47791-2024</t>
        </is>
      </c>
      <c r="B2154" t="inlineStr">
        <is>
          <t>avverkningsanmälan</t>
        </is>
      </c>
      <c r="C2154" t="inlineStr">
        <is>
          <t>Föryngringsavverkning</t>
        </is>
      </c>
      <c r="D2154" s="1" t="n">
        <v>45588</v>
      </c>
      <c r="E2154" s="1" t="n">
        <v>46248</v>
      </c>
      <c r="F2154" t="inlineStr">
        <is>
          <t>BLEKINGE LÄN</t>
        </is>
      </c>
      <c r="G2154" t="inlineStr">
        <is>
          <t>KARLSHAMN</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43595-2025</t>
        </is>
      </c>
      <c r="B2155" t="inlineStr">
        <is>
          <t>avverkningsanmälan</t>
        </is>
      </c>
      <c r="C2155" t="inlineStr">
        <is>
          <t>Föryngringsavverkning</t>
        </is>
      </c>
      <c r="D2155" s="1" t="n">
        <v>45911</v>
      </c>
      <c r="E2155" s="1" t="n">
        <v>46248</v>
      </c>
      <c r="F2155" t="inlineStr">
        <is>
          <t>BLEKINGE LÄN</t>
        </is>
      </c>
      <c r="G2155" t="inlineStr">
        <is>
          <t>KARLSKRONA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44951-2025</t>
        </is>
      </c>
      <c r="B2156" t="inlineStr">
        <is>
          <t>avverkningsanmälan</t>
        </is>
      </c>
      <c r="C2156" t="inlineStr">
        <is>
          <t>Föryngringsavverkning</t>
        </is>
      </c>
      <c r="D2156" s="1" t="n">
        <v>45918</v>
      </c>
      <c r="E2156" s="1" t="n">
        <v>46248</v>
      </c>
      <c r="F2156" t="inlineStr">
        <is>
          <t>BLEKINGE LÄN</t>
        </is>
      </c>
      <c r="G2156" t="inlineStr">
        <is>
          <t>KARLSHAMN</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7848-2026</t>
        </is>
      </c>
      <c r="B2157" t="inlineStr">
        <is>
          <t>avverkningsanmälan</t>
        </is>
      </c>
      <c r="C2157" t="inlineStr">
        <is>
          <t>Föryngringsavverkning</t>
        </is>
      </c>
      <c r="D2157" s="1" t="n">
        <v>46062</v>
      </c>
      <c r="E2157" s="1" t="n">
        <v>46248</v>
      </c>
      <c r="F2157" t="inlineStr">
        <is>
          <t>BLEKINGE LÄN</t>
        </is>
      </c>
      <c r="G2157" t="inlineStr">
        <is>
          <t>RONNEBY</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38405-2025</t>
        </is>
      </c>
      <c r="B2158" t="inlineStr">
        <is>
          <t>avverkningsanmälan</t>
        </is>
      </c>
      <c r="C2158" t="inlineStr">
        <is>
          <t>Föryngringsavverkning</t>
        </is>
      </c>
      <c r="D2158" s="1" t="n">
        <v>45883</v>
      </c>
      <c r="E2158" s="1" t="n">
        <v>46248</v>
      </c>
      <c r="F2158" t="inlineStr">
        <is>
          <t>BLEKINGE LÄN</t>
        </is>
      </c>
      <c r="G2158" t="inlineStr">
        <is>
          <t>OLOFSTRÖM</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56435-2024</t>
        </is>
      </c>
      <c r="B2159" t="inlineStr">
        <is>
          <t>avverkningsanmälan</t>
        </is>
      </c>
      <c r="C2159" t="inlineStr">
        <is>
          <t>Föryngringsavverkning</t>
        </is>
      </c>
      <c r="D2159" s="1" t="n">
        <v>45625</v>
      </c>
      <c r="E2159" s="1" t="n">
        <v>46248</v>
      </c>
      <c r="F2159" t="inlineStr">
        <is>
          <t>BLEKINGE LÄN</t>
        </is>
      </c>
      <c r="G2159" t="inlineStr">
        <is>
          <t>RONNEBY</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36270-2023</t>
        </is>
      </c>
      <c r="B2160" t="inlineStr">
        <is>
          <t>avverkningsanmälan</t>
        </is>
      </c>
      <c r="C2160" t="inlineStr">
        <is>
          <t>Föryngringsavverkning</t>
        </is>
      </c>
      <c r="D2160" s="1" t="n">
        <v>45151</v>
      </c>
      <c r="E2160" s="1" t="n">
        <v>46248</v>
      </c>
      <c r="F2160" t="inlineStr">
        <is>
          <t>BLEKINGE LÄN</t>
        </is>
      </c>
      <c r="G2160" t="inlineStr">
        <is>
          <t>KARLSHAMN</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48843-2025</t>
        </is>
      </c>
      <c r="B2161" t="inlineStr">
        <is>
          <t>avverkningsanmälan</t>
        </is>
      </c>
      <c r="C2161" t="inlineStr">
        <is>
          <t>Föryngringsavverkning</t>
        </is>
      </c>
      <c r="D2161" s="1" t="n">
        <v>45937</v>
      </c>
      <c r="E2161" s="1" t="n">
        <v>46248</v>
      </c>
      <c r="F2161" t="inlineStr">
        <is>
          <t>BLEKINGE LÄN</t>
        </is>
      </c>
      <c r="G2161" t="inlineStr">
        <is>
          <t>KARLSHAMN</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21589-2025</t>
        </is>
      </c>
      <c r="B2162" t="inlineStr">
        <is>
          <t>avverkningsanmälan</t>
        </is>
      </c>
      <c r="C2162" t="inlineStr">
        <is>
          <t>Föryngringsavverkning</t>
        </is>
      </c>
      <c r="D2162" s="1" t="n">
        <v>45783</v>
      </c>
      <c r="E2162" s="1" t="n">
        <v>46248</v>
      </c>
      <c r="F2162" t="inlineStr">
        <is>
          <t>BLEKINGE LÄN</t>
        </is>
      </c>
      <c r="G2162" t="inlineStr">
        <is>
          <t>KARLSKRONA</t>
        </is>
      </c>
      <c r="I2162" t="n">
        <v>11.5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33862-2023</t>
        </is>
      </c>
      <c r="B2163" t="inlineStr">
        <is>
          <t>avverkningsanmälan</t>
        </is>
      </c>
      <c r="C2163" t="inlineStr">
        <is>
          <t>Föryngringsavverkning</t>
        </is>
      </c>
      <c r="D2163" s="1" t="n">
        <v>45133</v>
      </c>
      <c r="E2163" s="1" t="n">
        <v>46248</v>
      </c>
      <c r="F2163" t="inlineStr">
        <is>
          <t>BLEKINGE LÄN</t>
        </is>
      </c>
      <c r="G2163" t="inlineStr">
        <is>
          <t>OLOFSTRÖM</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56512-2025</t>
        </is>
      </c>
      <c r="B2164" t="inlineStr">
        <is>
          <t>avverkningsanmälan</t>
        </is>
      </c>
      <c r="C2164" t="inlineStr">
        <is>
          <t>Föryngringsavverkning</t>
        </is>
      </c>
      <c r="D2164" s="1" t="n">
        <v>45975</v>
      </c>
      <c r="E2164" s="1" t="n">
        <v>46248</v>
      </c>
      <c r="F2164" t="inlineStr">
        <is>
          <t>BLEKINGE LÄN</t>
        </is>
      </c>
      <c r="G2164" t="inlineStr">
        <is>
          <t>KARLSHAMN</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58402-2025</t>
        </is>
      </c>
      <c r="B2165" t="inlineStr">
        <is>
          <t>avverkningsanmälan</t>
        </is>
      </c>
      <c r="C2165" t="inlineStr">
        <is>
          <t>Föryngringsavverkning</t>
        </is>
      </c>
      <c r="D2165" s="1" t="n">
        <v>45985</v>
      </c>
      <c r="E2165" s="1" t="n">
        <v>46248</v>
      </c>
      <c r="F2165" t="inlineStr">
        <is>
          <t>BLEKINGE LÄN</t>
        </is>
      </c>
      <c r="G2165" t="inlineStr">
        <is>
          <t>KARLSKRONA</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45052-2025</t>
        </is>
      </c>
      <c r="B2166" t="inlineStr">
        <is>
          <t>avverkningsanmälan</t>
        </is>
      </c>
      <c r="C2166" t="inlineStr">
        <is>
          <t>Föryngringsavverkning</t>
        </is>
      </c>
      <c r="D2166" s="1" t="n">
        <v>45919</v>
      </c>
      <c r="E2166" s="1" t="n">
        <v>46248</v>
      </c>
      <c r="F2166" t="inlineStr">
        <is>
          <t>BLEKINGE LÄN</t>
        </is>
      </c>
      <c r="G2166" t="inlineStr">
        <is>
          <t>KARLSHAMN</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2899-2025</t>
        </is>
      </c>
      <c r="B2167" t="inlineStr">
        <is>
          <t>avverkningsanmälan</t>
        </is>
      </c>
      <c r="C2167" t="inlineStr">
        <is>
          <t>Föryngringsavverkning</t>
        </is>
      </c>
      <c r="D2167" s="1" t="n">
        <v>45677</v>
      </c>
      <c r="E2167" s="1" t="n">
        <v>46248</v>
      </c>
      <c r="F2167" t="inlineStr">
        <is>
          <t>BLEKINGE LÄN</t>
        </is>
      </c>
      <c r="G2167" t="inlineStr">
        <is>
          <t>RONNEBY</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11257-2023</t>
        </is>
      </c>
      <c r="B2168" t="inlineStr">
        <is>
          <t>avverkningsanmälan</t>
        </is>
      </c>
      <c r="C2168" t="inlineStr">
        <is>
          <t>Föryngringsavverkning</t>
        </is>
      </c>
      <c r="D2168" s="1" t="n">
        <v>44992</v>
      </c>
      <c r="E2168" s="1" t="n">
        <v>46248</v>
      </c>
      <c r="F2168" t="inlineStr">
        <is>
          <t>BLEKINGE LÄN</t>
        </is>
      </c>
      <c r="G2168" t="inlineStr">
        <is>
          <t>RONNEBY</t>
        </is>
      </c>
      <c r="H2168" t="inlineStr">
        <is>
          <t>Övriga Aktiebolag</t>
        </is>
      </c>
      <c r="I2168" t="n">
        <v>7.2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20351-2026</t>
        </is>
      </c>
      <c r="B2169" t="inlineStr">
        <is>
          <t>avverkningsanmälan</t>
        </is>
      </c>
      <c r="C2169" t="inlineStr">
        <is>
          <t>Föryngringsavverkning</t>
        </is>
      </c>
      <c r="D2169" s="1" t="n">
        <v>46139</v>
      </c>
      <c r="E2169" s="1" t="n">
        <v>46248</v>
      </c>
      <c r="F2169" t="inlineStr">
        <is>
          <t>BLEKINGE LÄN</t>
        </is>
      </c>
      <c r="G2169" t="inlineStr">
        <is>
          <t>RONNEBY</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26889-2025</t>
        </is>
      </c>
      <c r="B2170" t="inlineStr">
        <is>
          <t>avverkningsanmälan</t>
        </is>
      </c>
      <c r="C2170" t="inlineStr">
        <is>
          <t>Föryngringsavverkning</t>
        </is>
      </c>
      <c r="D2170" s="1" t="n">
        <v>45811</v>
      </c>
      <c r="E2170" s="1" t="n">
        <v>46248</v>
      </c>
      <c r="F2170" t="inlineStr">
        <is>
          <t>BLEKINGE LÄN</t>
        </is>
      </c>
      <c r="G2170" t="inlineStr">
        <is>
          <t>RONNEBY</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20448-2025</t>
        </is>
      </c>
      <c r="B2171" t="inlineStr">
        <is>
          <t>avverkningsanmälan</t>
        </is>
      </c>
      <c r="C2171" t="inlineStr">
        <is>
          <t>Föryngringsavverkning</t>
        </is>
      </c>
      <c r="D2171" s="1" t="n">
        <v>45775</v>
      </c>
      <c r="E2171" s="1" t="n">
        <v>46248</v>
      </c>
      <c r="F2171" t="inlineStr">
        <is>
          <t>BLEKINGE LÄN</t>
        </is>
      </c>
      <c r="G2171" t="inlineStr">
        <is>
          <t>OLOFSTRÖM</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46712-2021</t>
        </is>
      </c>
      <c r="B2172" t="inlineStr">
        <is>
          <t>avverkningsanmälan</t>
        </is>
      </c>
      <c r="C2172" t="inlineStr">
        <is>
          <t>Föryngringsavverkning</t>
        </is>
      </c>
      <c r="D2172" s="1" t="n">
        <v>44445</v>
      </c>
      <c r="E2172" s="1" t="n">
        <v>46248</v>
      </c>
      <c r="F2172" t="inlineStr">
        <is>
          <t>BLEKINGE LÄN</t>
        </is>
      </c>
      <c r="G2172" t="inlineStr">
        <is>
          <t>KARLSKRONA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38518-2025</t>
        </is>
      </c>
      <c r="B2173" t="inlineStr">
        <is>
          <t>avverkningsanmälan</t>
        </is>
      </c>
      <c r="C2173" t="inlineStr">
        <is>
          <t>Föryngringsavverkning</t>
        </is>
      </c>
      <c r="D2173" s="1" t="n">
        <v>45884</v>
      </c>
      <c r="E2173" s="1" t="n">
        <v>46248</v>
      </c>
      <c r="F2173" t="inlineStr">
        <is>
          <t>BLEKINGE LÄN</t>
        </is>
      </c>
      <c r="G2173" t="inlineStr">
        <is>
          <t>KARLSHAMN</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41660-2024</t>
        </is>
      </c>
      <c r="B2174" t="inlineStr">
        <is>
          <t>avverkningsanmälan</t>
        </is>
      </c>
      <c r="C2174" t="inlineStr">
        <is>
          <t>Föryngringsavverkning</t>
        </is>
      </c>
      <c r="D2174" s="1" t="n">
        <v>45560</v>
      </c>
      <c r="E2174" s="1" t="n">
        <v>46248</v>
      </c>
      <c r="F2174" t="inlineStr">
        <is>
          <t>BLEKINGE LÄN</t>
        </is>
      </c>
      <c r="G2174" t="inlineStr">
        <is>
          <t>RONNEBY</t>
        </is>
      </c>
      <c r="H2174" t="inlineStr">
        <is>
          <t>Övriga Aktiebolag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4127-2025</t>
        </is>
      </c>
      <c r="B2175" t="inlineStr">
        <is>
          <t>avverkningsanmälan</t>
        </is>
      </c>
      <c r="C2175" t="inlineStr">
        <is>
          <t>Föryngringsavverkning</t>
        </is>
      </c>
      <c r="D2175" s="1" t="n">
        <v>45685</v>
      </c>
      <c r="E2175" s="1" t="n">
        <v>46248</v>
      </c>
      <c r="F2175" t="inlineStr">
        <is>
          <t>BLEKINGE LÄN</t>
        </is>
      </c>
      <c r="G2175" t="inlineStr">
        <is>
          <t>KARLSKRONA</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38317-2025</t>
        </is>
      </c>
      <c r="B2176" t="inlineStr">
        <is>
          <t>avverkningsanmälan</t>
        </is>
      </c>
      <c r="C2176" t="inlineStr">
        <is>
          <t>Föryngringsavverkning</t>
        </is>
      </c>
      <c r="D2176" s="1" t="n">
        <v>45883</v>
      </c>
      <c r="E2176" s="1" t="n">
        <v>46248</v>
      </c>
      <c r="F2176" t="inlineStr">
        <is>
          <t>BLEKINGE LÄN</t>
        </is>
      </c>
      <c r="G2176" t="inlineStr">
        <is>
          <t>SÖLVESBORG</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1494-2025</t>
        </is>
      </c>
      <c r="B2177" t="inlineStr">
        <is>
          <t>avverkningsanmälan</t>
        </is>
      </c>
      <c r="C2177" t="inlineStr">
        <is>
          <t>Föryngringsavverkning</t>
        </is>
      </c>
      <c r="D2177" s="1" t="n">
        <v>45670</v>
      </c>
      <c r="E2177" s="1" t="n">
        <v>46248</v>
      </c>
      <c r="F2177" t="inlineStr">
        <is>
          <t>BLEKINGE LÄN</t>
        </is>
      </c>
      <c r="G2177" t="inlineStr">
        <is>
          <t>RONNEBY</t>
        </is>
      </c>
      <c r="I2177" t="n">
        <v>12.6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39901-2024</t>
        </is>
      </c>
      <c r="B2178" t="inlineStr">
        <is>
          <t>avverkningsanmälan</t>
        </is>
      </c>
      <c r="C2178" t="inlineStr">
        <is>
          <t>Föryngringsavverkning</t>
        </is>
      </c>
      <c r="D2178" s="1" t="n">
        <v>45553</v>
      </c>
      <c r="E2178" s="1" t="n">
        <v>46248</v>
      </c>
      <c r="F2178" t="inlineStr">
        <is>
          <t>BLEKINGE LÄN</t>
        </is>
      </c>
      <c r="G2178" t="inlineStr">
        <is>
          <t>KARLSHAMN</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47971-2025</t>
        </is>
      </c>
      <c r="B2179" t="inlineStr">
        <is>
          <t>avverkningsanmälan</t>
        </is>
      </c>
      <c r="C2179" t="inlineStr">
        <is>
          <t>Föryngringsavverkning</t>
        </is>
      </c>
      <c r="D2179" s="1" t="n">
        <v>45932</v>
      </c>
      <c r="E2179" s="1" t="n">
        <v>46248</v>
      </c>
      <c r="F2179" t="inlineStr">
        <is>
          <t>BLEKINGE LÄN</t>
        </is>
      </c>
      <c r="G2179" t="inlineStr">
        <is>
          <t>RONNEBY</t>
        </is>
      </c>
      <c r="H2179" t="inlineStr">
        <is>
          <t>Övriga Aktiebolag</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47160-2025</t>
        </is>
      </c>
      <c r="B2180" t="inlineStr">
        <is>
          <t>avverkningsanmälan</t>
        </is>
      </c>
      <c r="C2180" t="inlineStr">
        <is>
          <t>Föryngringsavverkning</t>
        </is>
      </c>
      <c r="D2180" s="1" t="n">
        <v>45929</v>
      </c>
      <c r="E2180" s="1" t="n">
        <v>46248</v>
      </c>
      <c r="F2180" t="inlineStr">
        <is>
          <t>BLEKINGE LÄN</t>
        </is>
      </c>
      <c r="G2180" t="inlineStr">
        <is>
          <t>RONNEBY</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45482-2024</t>
        </is>
      </c>
      <c r="B2181" t="inlineStr">
        <is>
          <t>avverkningsanmälan</t>
        </is>
      </c>
      <c r="C2181" t="inlineStr">
        <is>
          <t>Föryngringsavverkning</t>
        </is>
      </c>
      <c r="D2181" s="1" t="n">
        <v>45576</v>
      </c>
      <c r="E2181" s="1" t="n">
        <v>46248</v>
      </c>
      <c r="F2181" t="inlineStr">
        <is>
          <t>BLEKINGE LÄN</t>
        </is>
      </c>
      <c r="G2181" t="inlineStr">
        <is>
          <t>KARLSKRONA</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21833-2025</t>
        </is>
      </c>
      <c r="B2182" t="inlineStr">
        <is>
          <t>avverkningsanmälan</t>
        </is>
      </c>
      <c r="C2182" t="inlineStr">
        <is>
          <t>Föryngringsavverkning</t>
        </is>
      </c>
      <c r="D2182" s="1" t="n">
        <v>45784</v>
      </c>
      <c r="E2182" s="1" t="n">
        <v>46248</v>
      </c>
      <c r="F2182" t="inlineStr">
        <is>
          <t>BLEKINGE LÄN</t>
        </is>
      </c>
      <c r="G2182" t="inlineStr">
        <is>
          <t>KARLSKRONA</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8486-2025</t>
        </is>
      </c>
      <c r="B2183" t="inlineStr">
        <is>
          <t>avverkningsanmälan</t>
        </is>
      </c>
      <c r="C2183" t="inlineStr">
        <is>
          <t>Föryngringsavverkning</t>
        </is>
      </c>
      <c r="D2183" s="1" t="n">
        <v>45709</v>
      </c>
      <c r="E2183" s="1" t="n">
        <v>46248</v>
      </c>
      <c r="F2183" t="inlineStr">
        <is>
          <t>BLEKINGE LÄN</t>
        </is>
      </c>
      <c r="G2183" t="inlineStr">
        <is>
          <t>OLOFSTRÖM</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39838-2025</t>
        </is>
      </c>
      <c r="B2184" t="inlineStr">
        <is>
          <t>avverkningsanmälan</t>
        </is>
      </c>
      <c r="C2184" t="inlineStr">
        <is>
          <t>Föryngringsavverkning</t>
        </is>
      </c>
      <c r="D2184" s="1" t="n">
        <v>45891</v>
      </c>
      <c r="E2184" s="1" t="n">
        <v>46248</v>
      </c>
      <c r="F2184" t="inlineStr">
        <is>
          <t>BLEKINGE LÄN</t>
        </is>
      </c>
      <c r="G2184" t="inlineStr">
        <is>
          <t>RONNEBY</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39844-2025</t>
        </is>
      </c>
      <c r="B2185" t="inlineStr">
        <is>
          <t>avverkningsanmälan</t>
        </is>
      </c>
      <c r="C2185" t="inlineStr">
        <is>
          <t>Föryngringsavverkning</t>
        </is>
      </c>
      <c r="D2185" s="1" t="n">
        <v>45891</v>
      </c>
      <c r="E2185" s="1" t="n">
        <v>46248</v>
      </c>
      <c r="F2185" t="inlineStr">
        <is>
          <t>BLEKINGE LÄN</t>
        </is>
      </c>
      <c r="G2185" t="inlineStr">
        <is>
          <t>RONNEBY</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2524-2025</t>
        </is>
      </c>
      <c r="B2186" t="inlineStr">
        <is>
          <t>avverkningsanmälan</t>
        </is>
      </c>
      <c r="C2186" t="inlineStr">
        <is>
          <t>Föryngringsavverkning</t>
        </is>
      </c>
      <c r="D2186" s="1" t="n">
        <v>45673</v>
      </c>
      <c r="E2186" s="1" t="n">
        <v>46248</v>
      </c>
      <c r="F2186" t="inlineStr">
        <is>
          <t>BLEKINGE LÄN</t>
        </is>
      </c>
      <c r="G2186" t="inlineStr">
        <is>
          <t>RONNEBY</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40041-2025</t>
        </is>
      </c>
      <c r="B2187" t="inlineStr">
        <is>
          <t>avverkningsanmälan</t>
        </is>
      </c>
      <c r="C2187" t="inlineStr">
        <is>
          <t>Föryngringsavverkning</t>
        </is>
      </c>
      <c r="D2187" s="1" t="n">
        <v>45894</v>
      </c>
      <c r="E2187" s="1" t="n">
        <v>46248</v>
      </c>
      <c r="F2187" t="inlineStr">
        <is>
          <t>BLEKINGE LÄN</t>
        </is>
      </c>
      <c r="G2187" t="inlineStr">
        <is>
          <t>KARLSKRONA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9775-2025</t>
        </is>
      </c>
      <c r="B2188" t="inlineStr">
        <is>
          <t>avverkningsanmälan</t>
        </is>
      </c>
      <c r="C2188" t="inlineStr">
        <is>
          <t>Föryngringsavverkning</t>
        </is>
      </c>
      <c r="D2188" s="1" t="n">
        <v>45716</v>
      </c>
      <c r="E2188" s="1" t="n">
        <v>46248</v>
      </c>
      <c r="F2188" t="inlineStr">
        <is>
          <t>BLEKINGE LÄN</t>
        </is>
      </c>
      <c r="G2188" t="inlineStr">
        <is>
          <t>KARLSHAMN</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21112-2024</t>
        </is>
      </c>
      <c r="B2189" t="inlineStr">
        <is>
          <t>avverkningsanmälan</t>
        </is>
      </c>
      <c r="C2189" t="inlineStr">
        <is>
          <t>Föryngringsavverkning</t>
        </is>
      </c>
      <c r="D2189" s="1" t="n">
        <v>45440</v>
      </c>
      <c r="E2189" s="1" t="n">
        <v>46248</v>
      </c>
      <c r="F2189" t="inlineStr">
        <is>
          <t>BLEKINGE LÄN</t>
        </is>
      </c>
      <c r="G2189" t="inlineStr">
        <is>
          <t>RONNEBY</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37777-2025</t>
        </is>
      </c>
      <c r="B2190" t="inlineStr">
        <is>
          <t>avverkningsanmälan</t>
        </is>
      </c>
      <c r="C2190" t="inlineStr">
        <is>
          <t>Föryngringsavverkning</t>
        </is>
      </c>
      <c r="D2190" s="1" t="n">
        <v>45880</v>
      </c>
      <c r="E2190" s="1" t="n">
        <v>46248</v>
      </c>
      <c r="F2190" t="inlineStr">
        <is>
          <t>BLEKINGE LÄN</t>
        </is>
      </c>
      <c r="G2190" t="inlineStr">
        <is>
          <t>KARLSKRONA</t>
        </is>
      </c>
      <c r="I2190" t="n">
        <v>6.3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45711-2025</t>
        </is>
      </c>
      <c r="B2191" t="inlineStr">
        <is>
          <t>avverkningsanmälan</t>
        </is>
      </c>
      <c r="C2191" t="inlineStr">
        <is>
          <t>Föryngringsavverkning</t>
        </is>
      </c>
      <c r="D2191" s="1" t="n">
        <v>45923</v>
      </c>
      <c r="E2191" s="1" t="n">
        <v>46248</v>
      </c>
      <c r="F2191" t="inlineStr">
        <is>
          <t>BLEKINGE LÄN</t>
        </is>
      </c>
      <c r="G2191" t="inlineStr">
        <is>
          <t>KARLSKRONA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20353-2026</t>
        </is>
      </c>
      <c r="B2192" t="inlineStr">
        <is>
          <t>avverkningsanmälan</t>
        </is>
      </c>
      <c r="C2192" t="inlineStr">
        <is>
          <t>Föryngringsavverkning</t>
        </is>
      </c>
      <c r="D2192" s="1" t="n">
        <v>46139</v>
      </c>
      <c r="E2192" s="1" t="n">
        <v>46248</v>
      </c>
      <c r="F2192" t="inlineStr">
        <is>
          <t>BLEKINGE LÄN</t>
        </is>
      </c>
      <c r="G2192" t="inlineStr">
        <is>
          <t>RONNEBY</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28328-2025</t>
        </is>
      </c>
      <c r="B2193" t="inlineStr">
        <is>
          <t>avverkningsanmälan</t>
        </is>
      </c>
      <c r="C2193" t="inlineStr">
        <is>
          <t>Föryngringsavverkning</t>
        </is>
      </c>
      <c r="D2193" s="1" t="n">
        <v>45818</v>
      </c>
      <c r="E2193" s="1" t="n">
        <v>46248</v>
      </c>
      <c r="F2193" t="inlineStr">
        <is>
          <t>BLEKINGE LÄN</t>
        </is>
      </c>
      <c r="G2193" t="inlineStr">
        <is>
          <t>OLOFSTRÖM</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55113-2025</t>
        </is>
      </c>
      <c r="B2194" t="inlineStr">
        <is>
          <t>avverkningsanmälan</t>
        </is>
      </c>
      <c r="C2194" t="inlineStr">
        <is>
          <t>Föryngringsavverkning</t>
        </is>
      </c>
      <c r="D2194" s="1" t="n">
        <v>45968</v>
      </c>
      <c r="E2194" s="1" t="n">
        <v>46248</v>
      </c>
      <c r="F2194" t="inlineStr">
        <is>
          <t>BLEKINGE LÄN</t>
        </is>
      </c>
      <c r="G2194" t="inlineStr">
        <is>
          <t>KARLSKRONA</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155-2021</t>
        </is>
      </c>
      <c r="B2195" t="inlineStr">
        <is>
          <t>samrådsanmälan</t>
        </is>
      </c>
      <c r="C2195" t="inlineStr">
        <is>
          <t>Åtgärd i nyckelbiotop</t>
        </is>
      </c>
      <c r="D2195" s="1" t="n">
        <v>44230</v>
      </c>
      <c r="E2195" s="1" t="n">
        <v>46248</v>
      </c>
      <c r="F2195" t="inlineStr">
        <is>
          <t>BLEKINGE LÄN</t>
        </is>
      </c>
      <c r="G2195" t="inlineStr">
        <is>
          <t>KARLSHAMN</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5253-2022</t>
        </is>
      </c>
      <c r="B2196" t="inlineStr">
        <is>
          <t>samrådsanmälan</t>
        </is>
      </c>
      <c r="C2196" t="inlineStr">
        <is>
          <t>Annan skogsbruksåtgärd</t>
        </is>
      </c>
      <c r="D2196" s="1" t="n">
        <v>44825</v>
      </c>
      <c r="E2196" s="1" t="n">
        <v>46248</v>
      </c>
      <c r="F2196" t="inlineStr">
        <is>
          <t>BLEKINGE LÄN</t>
        </is>
      </c>
      <c r="G2196" t="inlineStr">
        <is>
          <t>KARLSKRONA</t>
        </is>
      </c>
      <c r="H2196" t="inlineStr">
        <is>
          <t>Kommuner</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868-2020</t>
        </is>
      </c>
      <c r="B2197" t="inlineStr">
        <is>
          <t>samrådsanmälan</t>
        </is>
      </c>
      <c r="C2197" t="inlineStr">
        <is>
          <t>Åtgärd i nyckelbiotop</t>
        </is>
      </c>
      <c r="D2197" s="1" t="n">
        <v>43938</v>
      </c>
      <c r="E2197" s="1" t="n">
        <v>46248</v>
      </c>
      <c r="F2197" t="inlineStr">
        <is>
          <t>BLEKINGE LÄN</t>
        </is>
      </c>
      <c r="G2197" t="inlineStr">
        <is>
          <t>KARLSKRONA</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2103-2020</t>
        </is>
      </c>
      <c r="B2198" t="inlineStr">
        <is>
          <t>samrådsanmälan</t>
        </is>
      </c>
      <c r="C2198" t="inlineStr">
        <is>
          <t>Åtgärd i nyckelbiotop</t>
        </is>
      </c>
      <c r="D2198" s="1" t="n">
        <v>44110</v>
      </c>
      <c r="E2198" s="1" t="n">
        <v>46248</v>
      </c>
      <c r="F2198" t="inlineStr">
        <is>
          <t>BLEKINGE LÄN</t>
        </is>
      </c>
      <c r="G2198" t="inlineStr">
        <is>
          <t>KARLSKRONA</t>
        </is>
      </c>
      <c r="H2198" t="inlineStr">
        <is>
          <t>Kommuner</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7454-2021</t>
        </is>
      </c>
      <c r="B2199" t="inlineStr">
        <is>
          <t>samrådsanmälan</t>
        </is>
      </c>
      <c r="C2199" t="inlineStr">
        <is>
          <t>Annan skogsbruksåtgärd</t>
        </is>
      </c>
      <c r="D2199" s="1" t="n">
        <v>44474</v>
      </c>
      <c r="E2199" s="1" t="n">
        <v>46248</v>
      </c>
      <c r="F2199" t="inlineStr">
        <is>
          <t>BLEKINGE LÄN</t>
        </is>
      </c>
      <c r="G2199" t="inlineStr">
        <is>
          <t>RONNEBY</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4024-2022</t>
        </is>
      </c>
      <c r="B2200" t="inlineStr">
        <is>
          <t>samrådsanmälan</t>
        </is>
      </c>
      <c r="C2200" t="inlineStr">
        <is>
          <t>Annan skogsbruksåtgärd</t>
        </is>
      </c>
      <c r="D2200" s="1" t="n">
        <v>44755</v>
      </c>
      <c r="E2200" s="1" t="n">
        <v>46248</v>
      </c>
      <c r="F2200" t="inlineStr">
        <is>
          <t>BLEKINGE LÄN</t>
        </is>
      </c>
      <c r="G2200" t="inlineStr">
        <is>
          <t>RONNEBY</t>
        </is>
      </c>
      <c r="I2200" t="n">
        <v>13.5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5417-2022</t>
        </is>
      </c>
      <c r="B2201" t="inlineStr">
        <is>
          <t>samrådsanmälan</t>
        </is>
      </c>
      <c r="C2201" t="inlineStr">
        <is>
          <t>Annan skogsbruksåtgärd</t>
        </is>
      </c>
      <c r="D2201" s="1" t="n">
        <v>44831</v>
      </c>
      <c r="E2201" s="1" t="n">
        <v>46248</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949-2022</t>
        </is>
      </c>
      <c r="B2202" t="inlineStr">
        <is>
          <t>samrådsanmälan</t>
        </is>
      </c>
      <c r="C2202" t="inlineStr">
        <is>
          <t>Skogsbilväg</t>
        </is>
      </c>
      <c r="D2202" s="1" t="n">
        <v>44608</v>
      </c>
      <c r="E2202" s="1" t="n">
        <v>46248</v>
      </c>
      <c r="F2202" t="inlineStr">
        <is>
          <t>BLEKINGE LÄN</t>
        </is>
      </c>
      <c r="G2202" t="inlineStr">
        <is>
          <t>RONNEBY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749-2023</t>
        </is>
      </c>
      <c r="B2203" t="inlineStr">
        <is>
          <t>samrådsanmälan</t>
        </is>
      </c>
      <c r="C2203" t="inlineStr">
        <is>
          <t>Annan skogsbruksåtgärd</t>
        </is>
      </c>
      <c r="D2203" s="1" t="n">
        <v>44986</v>
      </c>
      <c r="E2203" s="1" t="n">
        <v>46248</v>
      </c>
      <c r="F2203" t="inlineStr">
        <is>
          <t>BLEKINGE LÄN</t>
        </is>
      </c>
      <c r="G2203" t="inlineStr">
        <is>
          <t>RONNEBY</t>
        </is>
      </c>
      <c r="H2203" t="inlineStr">
        <is>
          <t>Övriga Aktiebolag</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1219-2022</t>
        </is>
      </c>
      <c r="B2204" t="inlineStr">
        <is>
          <t>samrådsanmälan</t>
        </is>
      </c>
      <c r="C2204" t="inlineStr">
        <is>
          <t>Skogsbilväg</t>
        </is>
      </c>
      <c r="D2204" s="1" t="n">
        <v>44621</v>
      </c>
      <c r="E2204" s="1" t="n">
        <v>46248</v>
      </c>
      <c r="F2204" t="inlineStr">
        <is>
          <t>BLEKINGE LÄN</t>
        </is>
      </c>
      <c r="G2204" t="inlineStr">
        <is>
          <t>KARLSHAMN</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2341-2023</t>
        </is>
      </c>
      <c r="B2205" t="inlineStr">
        <is>
          <t>samrådsanmälan</t>
        </is>
      </c>
      <c r="C2205" t="inlineStr">
        <is>
          <t>Askåterföring</t>
        </is>
      </c>
      <c r="D2205" s="1" t="n">
        <v>45106</v>
      </c>
      <c r="E2205" s="1" t="n">
        <v>46248</v>
      </c>
      <c r="F2205" t="inlineStr">
        <is>
          <t>BLEKINGE LÄN</t>
        </is>
      </c>
      <c r="G2205" t="inlineStr">
        <is>
          <t>SÖLVESBORG</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2200-2024</t>
        </is>
      </c>
      <c r="B2206" t="inlineStr">
        <is>
          <t>samrådsanmälan</t>
        </is>
      </c>
      <c r="C2206" t="inlineStr">
        <is>
          <t>Askåterföring</t>
        </is>
      </c>
      <c r="D2206" s="1" t="n">
        <v>45457</v>
      </c>
      <c r="E2206" s="1" t="n">
        <v>46248</v>
      </c>
      <c r="F2206" t="inlineStr">
        <is>
          <t>BLEKINGE LÄN</t>
        </is>
      </c>
      <c r="G2206" t="inlineStr">
        <is>
          <t>KARLSHAMN</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7297-2021</t>
        </is>
      </c>
      <c r="B2207" t="inlineStr">
        <is>
          <t>samrådsanmälan</t>
        </is>
      </c>
      <c r="C2207" t="inlineStr">
        <is>
          <t>Traktorväg</t>
        </is>
      </c>
      <c r="D2207" s="1" t="n">
        <v>44469</v>
      </c>
      <c r="E2207" s="1" t="n">
        <v>46248</v>
      </c>
      <c r="F2207" t="inlineStr">
        <is>
          <t>BLEKINGE LÄN</t>
        </is>
      </c>
      <c r="G2207" t="inlineStr">
        <is>
          <t>OLOFSTRÖM</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384-2023</t>
        </is>
      </c>
      <c r="B2208" t="inlineStr">
        <is>
          <t>samrådsanmälan</t>
        </is>
      </c>
      <c r="C2208" t="inlineStr">
        <is>
          <t>Askåterföring</t>
        </is>
      </c>
      <c r="D2208" s="1" t="n">
        <v>44959</v>
      </c>
      <c r="E2208" s="1" t="n">
        <v>46248</v>
      </c>
      <c r="F2208" t="inlineStr">
        <is>
          <t>BLEKINGE LÄN</t>
        </is>
      </c>
      <c r="G2208" t="inlineStr">
        <is>
          <t>KARLSHAMN</t>
        </is>
      </c>
      <c r="I2208" t="n">
        <v>30.3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3203-2023</t>
        </is>
      </c>
      <c r="B2209" t="inlineStr">
        <is>
          <t>samrådsanmälan</t>
        </is>
      </c>
      <c r="C2209" t="inlineStr">
        <is>
          <t>Åtgärd i nyckelbiotop</t>
        </is>
      </c>
      <c r="D2209" s="1" t="n">
        <v>45188</v>
      </c>
      <c r="E2209" s="1" t="n">
        <v>46248</v>
      </c>
      <c r="F2209" t="inlineStr">
        <is>
          <t>BLEKINGE LÄN</t>
        </is>
      </c>
      <c r="G2209" t="inlineStr">
        <is>
          <t>KARLSKRONA</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7948-2021</t>
        </is>
      </c>
      <c r="B2210" t="inlineStr">
        <is>
          <t>samrådsanmälan</t>
        </is>
      </c>
      <c r="C2210" t="inlineStr">
        <is>
          <t>Åtgärd i nyckelbiotop</t>
        </is>
      </c>
      <c r="D2210" s="1" t="n">
        <v>44483</v>
      </c>
      <c r="E2210" s="1" t="n">
        <v>46248</v>
      </c>
      <c r="F2210" t="inlineStr">
        <is>
          <t>BLEKINGE LÄN</t>
        </is>
      </c>
      <c r="G2210" t="inlineStr">
        <is>
          <t>RONNEBY</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2201-2024</t>
        </is>
      </c>
      <c r="B2211" t="inlineStr">
        <is>
          <t>samrådsanmälan</t>
        </is>
      </c>
      <c r="C2211" t="inlineStr">
        <is>
          <t>Askåterföring</t>
        </is>
      </c>
      <c r="D2211" s="1" t="n">
        <v>45457</v>
      </c>
      <c r="E2211" s="1" t="n">
        <v>46248</v>
      </c>
      <c r="F2211" t="inlineStr">
        <is>
          <t>BLEKINGE LÄN</t>
        </is>
      </c>
      <c r="G2211" t="inlineStr">
        <is>
          <t>KARLSHAMN</t>
        </is>
      </c>
      <c r="I2211" t="n">
        <v>17.1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4166-2023</t>
        </is>
      </c>
      <c r="B2212" t="inlineStr">
        <is>
          <t>samrådsanmälan</t>
        </is>
      </c>
      <c r="C2212" t="inlineStr">
        <is>
          <t>Askåterföring</t>
        </is>
      </c>
      <c r="D2212" s="1" t="n">
        <v>45250</v>
      </c>
      <c r="E2212" s="1" t="n">
        <v>46248</v>
      </c>
      <c r="F2212" t="inlineStr">
        <is>
          <t>BLEKINGE LÄN</t>
        </is>
      </c>
      <c r="G2212" t="inlineStr">
        <is>
          <t>KARLSKRONA</t>
        </is>
      </c>
      <c r="I2212" t="n">
        <v>19.9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427-2023</t>
        </is>
      </c>
      <c r="B2213" t="inlineStr">
        <is>
          <t>samrådsanmälan</t>
        </is>
      </c>
      <c r="C2213" t="inlineStr">
        <is>
          <t>Annan skogsbruksåtgärd</t>
        </is>
      </c>
      <c r="D2213" s="1" t="n">
        <v>44960</v>
      </c>
      <c r="E2213" s="1" t="n">
        <v>46248</v>
      </c>
      <c r="F2213" t="inlineStr">
        <is>
          <t>BLEKINGE LÄN</t>
        </is>
      </c>
      <c r="G2213" t="inlineStr">
        <is>
          <t>KARLSKRONA</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370-2023</t>
        </is>
      </c>
      <c r="B2214" t="inlineStr">
        <is>
          <t>samrådsanmälan</t>
        </is>
      </c>
      <c r="C2214" t="inlineStr">
        <is>
          <t>Askåterföring</t>
        </is>
      </c>
      <c r="D2214" s="1" t="n">
        <v>44959</v>
      </c>
      <c r="E2214" s="1" t="n">
        <v>46248</v>
      </c>
      <c r="F2214" t="inlineStr">
        <is>
          <t>BLEKINGE LÄN</t>
        </is>
      </c>
      <c r="G2214" t="inlineStr">
        <is>
          <t>KARLSKRONA</t>
        </is>
      </c>
      <c r="I2214" t="n">
        <v>50.2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5856-2021</t>
        </is>
      </c>
      <c r="B2215" t="inlineStr">
        <is>
          <t>samrådsanmälan</t>
        </is>
      </c>
      <c r="C2215" t="inlineStr">
        <is>
          <t>Basväg</t>
        </is>
      </c>
      <c r="D2215" s="1" t="n">
        <v>44439</v>
      </c>
      <c r="E2215" s="1" t="n">
        <v>46248</v>
      </c>
      <c r="F2215" t="inlineStr">
        <is>
          <t>BLEKINGE LÄN</t>
        </is>
      </c>
      <c r="G2215" t="inlineStr">
        <is>
          <t>RONNEBY</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763-2023</t>
        </is>
      </c>
      <c r="B2216" t="inlineStr">
        <is>
          <t>samrådsanmälan</t>
        </is>
      </c>
      <c r="C2216" t="inlineStr">
        <is>
          <t>Askåterföring</t>
        </is>
      </c>
      <c r="D2216" s="1" t="n">
        <v>44981</v>
      </c>
      <c r="E2216" s="1" t="n">
        <v>46248</v>
      </c>
      <c r="F2216" t="inlineStr">
        <is>
          <t>BLEKINGE LÄN</t>
        </is>
      </c>
      <c r="G2216" t="inlineStr">
        <is>
          <t>KARLSKRONA</t>
        </is>
      </c>
      <c r="I2216" t="n">
        <v>30.4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2759-2024</t>
        </is>
      </c>
      <c r="B2217" t="inlineStr">
        <is>
          <t>samrådsanmälan</t>
        </is>
      </c>
      <c r="C2217" t="inlineStr">
        <is>
          <t>Annan skogsbruksåtgärd</t>
        </is>
      </c>
      <c r="D2217" s="1" t="n">
        <v>45485</v>
      </c>
      <c r="E2217" s="1" t="n">
        <v>46248</v>
      </c>
      <c r="F2217" t="inlineStr">
        <is>
          <t>BLEKINGE LÄN</t>
        </is>
      </c>
      <c r="G2217" t="inlineStr">
        <is>
          <t>RONNEBY</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865-2024</t>
        </is>
      </c>
      <c r="B2218" t="inlineStr">
        <is>
          <t>samrådsanmälan</t>
        </is>
      </c>
      <c r="C2218" t="inlineStr">
        <is>
          <t>Askåterföring</t>
        </is>
      </c>
      <c r="D2218" s="1" t="n">
        <v>45373</v>
      </c>
      <c r="E2218" s="1" t="n">
        <v>46248</v>
      </c>
      <c r="F2218" t="inlineStr">
        <is>
          <t>BLEKINGE LÄN</t>
        </is>
      </c>
      <c r="G2218" t="inlineStr">
        <is>
          <t>KARLSKRONA</t>
        </is>
      </c>
      <c r="I2218" t="n">
        <v>16.7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5159-2024</t>
        </is>
      </c>
      <c r="B2219" t="inlineStr">
        <is>
          <t>samrådsanmälan</t>
        </is>
      </c>
      <c r="C2219" t="inlineStr">
        <is>
          <t>Askåterföring</t>
        </is>
      </c>
      <c r="D2219" s="1" t="n">
        <v>45646</v>
      </c>
      <c r="E2219" s="1" t="n">
        <v>46248</v>
      </c>
      <c r="F2219" t="inlineStr">
        <is>
          <t>BLEKINGE LÄN</t>
        </is>
      </c>
      <c r="G2219" t="inlineStr">
        <is>
          <t>RONNEBY</t>
        </is>
      </c>
      <c r="I2219" t="n">
        <v>75.90000000000001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386-2023</t>
        </is>
      </c>
      <c r="B2220" t="inlineStr">
        <is>
          <t>samrådsanmälan</t>
        </is>
      </c>
      <c r="C2220" t="inlineStr">
        <is>
          <t>Askåterföring</t>
        </is>
      </c>
      <c r="D2220" s="1" t="n">
        <v>44959</v>
      </c>
      <c r="E2220" s="1" t="n">
        <v>46248</v>
      </c>
      <c r="F2220" t="inlineStr">
        <is>
          <t>BLEKINGE LÄN</t>
        </is>
      </c>
      <c r="G2220" t="inlineStr">
        <is>
          <t>KARLSHAMN</t>
        </is>
      </c>
      <c r="I2220" t="n">
        <v>19.3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4617-2024</t>
        </is>
      </c>
      <c r="B2221" t="inlineStr">
        <is>
          <t>samrådsanmälan</t>
        </is>
      </c>
      <c r="C2221" t="inlineStr">
        <is>
          <t>Askåterföring</t>
        </is>
      </c>
      <c r="D2221" s="1" t="n">
        <v>45602</v>
      </c>
      <c r="E2221" s="1" t="n">
        <v>46248</v>
      </c>
      <c r="F2221" t="inlineStr">
        <is>
          <t>BLEKINGE LÄN</t>
        </is>
      </c>
      <c r="G2221" t="inlineStr">
        <is>
          <t>RONNEBY</t>
        </is>
      </c>
      <c r="I2221" t="n">
        <v>65.2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372-2023</t>
        </is>
      </c>
      <c r="B2222" t="inlineStr">
        <is>
          <t>samrådsanmälan</t>
        </is>
      </c>
      <c r="C2222" t="inlineStr">
        <is>
          <t>Askåterföring</t>
        </is>
      </c>
      <c r="D2222" s="1" t="n">
        <v>44959</v>
      </c>
      <c r="E2222" s="1" t="n">
        <v>46248</v>
      </c>
      <c r="F2222" t="inlineStr">
        <is>
          <t>BLEKINGE LÄN</t>
        </is>
      </c>
      <c r="G2222" t="inlineStr">
        <is>
          <t>KARLSKRONA</t>
        </is>
      </c>
      <c r="I2222" t="n">
        <v>17.3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173-2025</t>
        </is>
      </c>
      <c r="B2223" t="inlineStr">
        <is>
          <t>samrådsanmälan</t>
        </is>
      </c>
      <c r="C2223" t="inlineStr">
        <is>
          <t>Askåterföring</t>
        </is>
      </c>
      <c r="D2223" s="1" t="n">
        <v>45677</v>
      </c>
      <c r="E2223" s="1" t="n">
        <v>46248</v>
      </c>
      <c r="F2223" t="inlineStr">
        <is>
          <t>BLEKINGE LÄN</t>
        </is>
      </c>
      <c r="G2223" t="inlineStr">
        <is>
          <t>SÖLVESBORG</t>
        </is>
      </c>
      <c r="I2223" t="n">
        <v>25.3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4090-2024</t>
        </is>
      </c>
      <c r="B2224" t="inlineStr">
        <is>
          <t>samrådsanmälan</t>
        </is>
      </c>
      <c r="C2224" t="inlineStr">
        <is>
          <t>Askåterföring</t>
        </is>
      </c>
      <c r="D2224" s="1" t="n">
        <v>45573</v>
      </c>
      <c r="E2224" s="1" t="n">
        <v>46248</v>
      </c>
      <c r="F2224" t="inlineStr">
        <is>
          <t>BLEKINGE LÄN</t>
        </is>
      </c>
      <c r="G2224" t="inlineStr">
        <is>
          <t>RONNEBY</t>
        </is>
      </c>
      <c r="I2224" t="n">
        <v>35.7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4348-2023</t>
        </is>
      </c>
      <c r="B2225" t="inlineStr">
        <is>
          <t>samrådsanmälan</t>
        </is>
      </c>
      <c r="C2225" t="inlineStr">
        <is>
          <t>Askåterföring</t>
        </is>
      </c>
      <c r="D2225" s="1" t="n">
        <v>45261</v>
      </c>
      <c r="E2225" s="1" t="n">
        <v>46248</v>
      </c>
      <c r="F2225" t="inlineStr">
        <is>
          <t>BLEKINGE LÄN</t>
        </is>
      </c>
      <c r="G2225" t="inlineStr">
        <is>
          <t>OLOFSTRÖM</t>
        </is>
      </c>
      <c r="I2225" t="n">
        <v>23.2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624-2023</t>
        </is>
      </c>
      <c r="B2226" t="inlineStr">
        <is>
          <t>samrådsanmälan</t>
        </is>
      </c>
      <c r="C2226" t="inlineStr">
        <is>
          <t>Askåterföring</t>
        </is>
      </c>
      <c r="D2226" s="1" t="n">
        <v>44972</v>
      </c>
      <c r="E2226" s="1" t="n">
        <v>46248</v>
      </c>
      <c r="F2226" t="inlineStr">
        <is>
          <t>BLEKINGE LÄN</t>
        </is>
      </c>
      <c r="G2226" t="inlineStr">
        <is>
          <t>KARLSKRONA</t>
        </is>
      </c>
      <c r="I2226" t="n">
        <v>13.4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2710-2023</t>
        </is>
      </c>
      <c r="B2227" t="inlineStr">
        <is>
          <t>samrådsanmälan</t>
        </is>
      </c>
      <c r="C2227" t="inlineStr">
        <is>
          <t>Askåterföring</t>
        </is>
      </c>
      <c r="D2227" s="1" t="n">
        <v>45155</v>
      </c>
      <c r="E2227" s="1" t="n">
        <v>46248</v>
      </c>
      <c r="F2227" t="inlineStr">
        <is>
          <t>BLEKINGE LÄN</t>
        </is>
      </c>
      <c r="G2227" t="inlineStr">
        <is>
          <t>KARLSKRONA</t>
        </is>
      </c>
      <c r="I2227" t="n">
        <v>32.9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4796-2024</t>
        </is>
      </c>
      <c r="B2228" t="inlineStr">
        <is>
          <t>samrådsanmälan</t>
        </is>
      </c>
      <c r="C2228" t="inlineStr">
        <is>
          <t>Askåterföring</t>
        </is>
      </c>
      <c r="D2228" s="1" t="n">
        <v>45611</v>
      </c>
      <c r="E2228" s="1" t="n">
        <v>46248</v>
      </c>
      <c r="F2228" t="inlineStr">
        <is>
          <t>BLEKINGE LÄN</t>
        </is>
      </c>
      <c r="G2228" t="inlineStr">
        <is>
          <t>KARLSKRONA</t>
        </is>
      </c>
      <c r="I2228" t="n">
        <v>26.8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4616-2024</t>
        </is>
      </c>
      <c r="B2229" t="inlineStr">
        <is>
          <t>samrådsanmälan</t>
        </is>
      </c>
      <c r="C2229" t="inlineStr">
        <is>
          <t>Askåterföring</t>
        </is>
      </c>
      <c r="D2229" s="1" t="n">
        <v>45602</v>
      </c>
      <c r="E2229" s="1" t="n">
        <v>46248</v>
      </c>
      <c r="F2229" t="inlineStr">
        <is>
          <t>BLEKINGE LÄN</t>
        </is>
      </c>
      <c r="G2229" t="inlineStr">
        <is>
          <t>KARLSHAMN</t>
        </is>
      </c>
      <c r="I2229" t="n">
        <v>25.2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6-2025</t>
        </is>
      </c>
      <c r="B2230" t="inlineStr">
        <is>
          <t>samrådsanmälan</t>
        </is>
      </c>
      <c r="C2230" t="inlineStr">
        <is>
          <t>Annan skogsbruksåtgärd</t>
        </is>
      </c>
      <c r="D2230" s="1" t="n">
        <v>45656</v>
      </c>
      <c r="E2230" s="1" t="n">
        <v>46248</v>
      </c>
      <c r="F2230" t="inlineStr">
        <is>
          <t>BLEKINGE LÄN</t>
        </is>
      </c>
      <c r="G2230" t="inlineStr">
        <is>
          <t>RONNEBY</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4459-2023</t>
        </is>
      </c>
      <c r="B2231" t="inlineStr">
        <is>
          <t>samrådsanmälan</t>
        </is>
      </c>
      <c r="C2231" t="inlineStr">
        <is>
          <t>Annan skogsbruksåtgärd</t>
        </is>
      </c>
      <c r="D2231" s="1" t="n">
        <v>45271</v>
      </c>
      <c r="E2231" s="1" t="n">
        <v>46248</v>
      </c>
      <c r="F2231" t="inlineStr">
        <is>
          <t>BLEKINGE LÄN</t>
        </is>
      </c>
      <c r="G2231" t="inlineStr">
        <is>
          <t>KARLSKRONA</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385-2023</t>
        </is>
      </c>
      <c r="B2232" t="inlineStr">
        <is>
          <t>samrådsanmälan</t>
        </is>
      </c>
      <c r="C2232" t="inlineStr">
        <is>
          <t>Askåterföring</t>
        </is>
      </c>
      <c r="D2232" s="1" t="n">
        <v>44959</v>
      </c>
      <c r="E2232" s="1" t="n">
        <v>46248</v>
      </c>
      <c r="F2232" t="inlineStr">
        <is>
          <t>BLEKINGE LÄN</t>
        </is>
      </c>
      <c r="G2232" t="inlineStr">
        <is>
          <t>RONNEBY</t>
        </is>
      </c>
      <c r="I2232" t="n">
        <v>20.4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2196-2024</t>
        </is>
      </c>
      <c r="B2233" t="inlineStr">
        <is>
          <t>samrådsanmälan</t>
        </is>
      </c>
      <c r="C2233" t="inlineStr">
        <is>
          <t>Askåterföring</t>
        </is>
      </c>
      <c r="D2233" s="1" t="n">
        <v>45457</v>
      </c>
      <c r="E2233" s="1" t="n">
        <v>46248</v>
      </c>
      <c r="F2233" t="inlineStr">
        <is>
          <t>BLEKINGE LÄN</t>
        </is>
      </c>
      <c r="G2233" t="inlineStr">
        <is>
          <t>RONNEBY</t>
        </is>
      </c>
      <c r="I2233" t="n">
        <v>19.6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4134-2024</t>
        </is>
      </c>
      <c r="B2234" t="inlineStr">
        <is>
          <t>samrådsanmälan</t>
        </is>
      </c>
      <c r="C2234" t="inlineStr">
        <is>
          <t>Askåterföring</t>
        </is>
      </c>
      <c r="D2234" s="1" t="n">
        <v>45575</v>
      </c>
      <c r="E2234" s="1" t="n">
        <v>46248</v>
      </c>
      <c r="F2234" t="inlineStr">
        <is>
          <t>BLEKINGE LÄN</t>
        </is>
      </c>
      <c r="G2234" t="inlineStr">
        <is>
          <t>KARLSHAMN</t>
        </is>
      </c>
      <c r="I2234" t="n">
        <v>43.2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2689-2023</t>
        </is>
      </c>
      <c r="B2235" t="inlineStr">
        <is>
          <t>samrådsanmälan</t>
        </is>
      </c>
      <c r="C2235" t="inlineStr">
        <is>
          <t>Askåterföring</t>
        </is>
      </c>
      <c r="D2235" s="1" t="n">
        <v>45154</v>
      </c>
      <c r="E2235" s="1" t="n">
        <v>46248</v>
      </c>
      <c r="F2235" t="inlineStr">
        <is>
          <t>BLEKINGE LÄN</t>
        </is>
      </c>
      <c r="G2235" t="inlineStr">
        <is>
          <t>RONNEBY</t>
        </is>
      </c>
      <c r="I2235" t="n">
        <v>17.8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2528-2024</t>
        </is>
      </c>
      <c r="B2236" t="inlineStr">
        <is>
          <t>samrådsanmälan</t>
        </is>
      </c>
      <c r="C2236" t="inlineStr">
        <is>
          <t>Askåterföring</t>
        </is>
      </c>
      <c r="D2236" s="1" t="n">
        <v>45474</v>
      </c>
      <c r="E2236" s="1" t="n">
        <v>46248</v>
      </c>
      <c r="F2236" t="inlineStr">
        <is>
          <t>BLEKINGE LÄN</t>
        </is>
      </c>
      <c r="G2236" t="inlineStr">
        <is>
          <t>KARLSKRONA</t>
        </is>
      </c>
      <c r="I2236" t="n">
        <v>33.3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92-2024</t>
        </is>
      </c>
      <c r="B2237" t="inlineStr">
        <is>
          <t>samrådsanmälan</t>
        </is>
      </c>
      <c r="C2237" t="inlineStr">
        <is>
          <t>Askåterföring</t>
        </is>
      </c>
      <c r="D2237" s="1" t="n">
        <v>45301</v>
      </c>
      <c r="E2237" s="1" t="n">
        <v>46248</v>
      </c>
      <c r="F2237" t="inlineStr">
        <is>
          <t>BLEKINGE LÄN</t>
        </is>
      </c>
      <c r="G2237" t="inlineStr">
        <is>
          <t>SÖLVESBORG</t>
        </is>
      </c>
      <c r="I2237" t="n">
        <v>11.9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7094-2021</t>
        </is>
      </c>
      <c r="B2238" t="inlineStr">
        <is>
          <t>samrådsanmälan</t>
        </is>
      </c>
      <c r="C2238" t="inlineStr">
        <is>
          <t>Annan skogsbruksåtgärd</t>
        </is>
      </c>
      <c r="D2238" s="1" t="n">
        <v>44462</v>
      </c>
      <c r="E2238" s="1" t="n">
        <v>46248</v>
      </c>
      <c r="F2238" t="inlineStr">
        <is>
          <t>BLEKINGE LÄN</t>
        </is>
      </c>
      <c r="G2238" t="inlineStr">
        <is>
          <t>KARLSKRONA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503-2023</t>
        </is>
      </c>
      <c r="B2239" t="inlineStr">
        <is>
          <t>samrådsanmälan</t>
        </is>
      </c>
      <c r="C2239" t="inlineStr">
        <is>
          <t>Annan skogsbruksåtgärd</t>
        </is>
      </c>
      <c r="D2239" s="1" t="n">
        <v>44966</v>
      </c>
      <c r="E2239" s="1" t="n">
        <v>46248</v>
      </c>
      <c r="F2239" t="inlineStr">
        <is>
          <t>BLEKINGE LÄN</t>
        </is>
      </c>
      <c r="G2239" t="inlineStr">
        <is>
          <t>OLOFSTRÖM</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1129-2023</t>
        </is>
      </c>
      <c r="B2240" t="inlineStr">
        <is>
          <t>samrådsanmälan</t>
        </is>
      </c>
      <c r="C2240" t="inlineStr">
        <is>
          <t>Askåterföring</t>
        </is>
      </c>
      <c r="D2240" s="1" t="n">
        <v>45016</v>
      </c>
      <c r="E2240" s="1" t="n">
        <v>46248</v>
      </c>
      <c r="F2240" t="inlineStr">
        <is>
          <t>BLEKINGE LÄN</t>
        </is>
      </c>
      <c r="G2240" t="inlineStr">
        <is>
          <t>OLOFSTRÖM</t>
        </is>
      </c>
      <c r="I2240" t="n">
        <v>15.2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311-2023</t>
        </is>
      </c>
      <c r="B2241" t="inlineStr">
        <is>
          <t>samrådsanmälan</t>
        </is>
      </c>
      <c r="C2241" t="inlineStr">
        <is>
          <t>Askåterföring</t>
        </is>
      </c>
      <c r="D2241" s="1" t="n">
        <v>44959</v>
      </c>
      <c r="E2241" s="1" t="n">
        <v>46248</v>
      </c>
      <c r="F2241" t="inlineStr">
        <is>
          <t>BLEKINGE LÄN</t>
        </is>
      </c>
      <c r="G2241" t="inlineStr">
        <is>
          <t>KARLSHAMN</t>
        </is>
      </c>
      <c r="I2241" t="n">
        <v>16.8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2690-2023</t>
        </is>
      </c>
      <c r="B2242" t="inlineStr">
        <is>
          <t>samrådsanmälan</t>
        </is>
      </c>
      <c r="C2242" t="inlineStr">
        <is>
          <t>Askåterföring</t>
        </is>
      </c>
      <c r="D2242" s="1" t="n">
        <v>45154</v>
      </c>
      <c r="E2242" s="1" t="n">
        <v>46248</v>
      </c>
      <c r="F2242" t="inlineStr">
        <is>
          <t>BLEKINGE LÄN</t>
        </is>
      </c>
      <c r="G2242" t="inlineStr">
        <is>
          <t>RONNEBY</t>
        </is>
      </c>
      <c r="I2242" t="n">
        <v>17.3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5153-2024</t>
        </is>
      </c>
      <c r="B2243" t="inlineStr">
        <is>
          <t>samrådsanmälan</t>
        </is>
      </c>
      <c r="C2243" t="inlineStr">
        <is>
          <t>Annan skogsbruksåtgärd</t>
        </is>
      </c>
      <c r="D2243" s="1" t="n">
        <v>45646</v>
      </c>
      <c r="E2243" s="1" t="n">
        <v>46248</v>
      </c>
      <c r="F2243" t="inlineStr">
        <is>
          <t>BLEKINGE LÄN</t>
        </is>
      </c>
      <c r="G2243" t="inlineStr">
        <is>
          <t>KARLSKRONA</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1331-2025</t>
        </is>
      </c>
      <c r="B2244" t="inlineStr">
        <is>
          <t>samrådsanmälan</t>
        </is>
      </c>
      <c r="C2244" t="inlineStr">
        <is>
          <t>Askåterföring</t>
        </is>
      </c>
      <c r="D2244" s="1" t="n">
        <v>45770</v>
      </c>
      <c r="E2244" s="1" t="n">
        <v>46248</v>
      </c>
      <c r="F2244" t="inlineStr">
        <is>
          <t>BLEKINGE LÄN</t>
        </is>
      </c>
      <c r="G2244" t="inlineStr">
        <is>
          <t>SÖLVESBORG</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828-2025</t>
        </is>
      </c>
      <c r="B2245" t="inlineStr">
        <is>
          <t>samrådsanmälan</t>
        </is>
      </c>
      <c r="C2245" t="inlineStr">
        <is>
          <t>Askåterföring</t>
        </is>
      </c>
      <c r="D2245" s="1" t="n">
        <v>45733</v>
      </c>
      <c r="E2245" s="1" t="n">
        <v>46248</v>
      </c>
      <c r="F2245" t="inlineStr">
        <is>
          <t>BLEKINGE LÄN</t>
        </is>
      </c>
      <c r="G2245" t="inlineStr">
        <is>
          <t>KARLSHAMN</t>
        </is>
      </c>
      <c r="I2245" t="n">
        <v>53.6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855-2025</t>
        </is>
      </c>
      <c r="B2246" t="inlineStr">
        <is>
          <t>samrådsanmälan</t>
        </is>
      </c>
      <c r="C2246" t="inlineStr">
        <is>
          <t>Askåterföring</t>
        </is>
      </c>
      <c r="D2246" s="1" t="n">
        <v>45734</v>
      </c>
      <c r="E2246" s="1" t="n">
        <v>46248</v>
      </c>
      <c r="F2246" t="inlineStr">
        <is>
          <t>BLEKINGE LÄN</t>
        </is>
      </c>
      <c r="G2246" t="inlineStr">
        <is>
          <t>KARLSKRONA</t>
        </is>
      </c>
      <c r="I2246" t="n">
        <v>17.4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466-2025</t>
        </is>
      </c>
      <c r="B2247" t="inlineStr">
        <is>
          <t>samrådsanmälan</t>
        </is>
      </c>
      <c r="C2247" t="inlineStr">
        <is>
          <t>Askåterföring</t>
        </is>
      </c>
      <c r="D2247" s="1" t="n">
        <v>45702</v>
      </c>
      <c r="E2247" s="1" t="n">
        <v>46248</v>
      </c>
      <c r="F2247" t="inlineStr">
        <is>
          <t>BLEKINGE LÄN</t>
        </is>
      </c>
      <c r="G2247" t="inlineStr">
        <is>
          <t>KARLSKRONA</t>
        </is>
      </c>
      <c r="I2247" t="n">
        <v>50.7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686-2025</t>
        </is>
      </c>
      <c r="B2248" t="inlineStr">
        <is>
          <t>samrådsanmälan</t>
        </is>
      </c>
      <c r="C2248" t="inlineStr">
        <is>
          <t>Askåterföring</t>
        </is>
      </c>
      <c r="D2248" s="1" t="n">
        <v>45719</v>
      </c>
      <c r="E2248" s="1" t="n">
        <v>46248</v>
      </c>
      <c r="F2248" t="inlineStr">
        <is>
          <t>BLEKINGE LÄN</t>
        </is>
      </c>
      <c r="G2248" t="inlineStr">
        <is>
          <t>KARLSKRONA</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852-2025</t>
        </is>
      </c>
      <c r="B2249" t="inlineStr">
        <is>
          <t>samrådsanmälan</t>
        </is>
      </c>
      <c r="C2249" t="inlineStr">
        <is>
          <t>Askåterföring</t>
        </is>
      </c>
      <c r="D2249" s="1" t="n">
        <v>45734</v>
      </c>
      <c r="E2249" s="1" t="n">
        <v>46248</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1938-2025</t>
        </is>
      </c>
      <c r="B2250" t="inlineStr">
        <is>
          <t>samrådsanmälan</t>
        </is>
      </c>
      <c r="C2250" t="inlineStr">
        <is>
          <t>Annan skogsbruksåtgärd</t>
        </is>
      </c>
      <c r="D2250" s="1" t="n">
        <v>45827</v>
      </c>
      <c r="E2250" s="1" t="n">
        <v>46248</v>
      </c>
      <c r="F2250" t="inlineStr">
        <is>
          <t>BLEKINGE LÄN</t>
        </is>
      </c>
      <c r="G2250" t="inlineStr">
        <is>
          <t>OLOFSTRÖM</t>
        </is>
      </c>
      <c r="H2250" t="inlineStr">
        <is>
          <t>Sveaskog</t>
        </is>
      </c>
      <c r="I2250" t="n">
        <v>5.9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1939-2025</t>
        </is>
      </c>
      <c r="B2251" t="inlineStr">
        <is>
          <t>samrådsanmälan</t>
        </is>
      </c>
      <c r="C2251" t="inlineStr">
        <is>
          <t>Annan skogsbruksåtgärd</t>
        </is>
      </c>
      <c r="D2251" s="1" t="n">
        <v>45827</v>
      </c>
      <c r="E2251" s="1" t="n">
        <v>46248</v>
      </c>
      <c r="F2251" t="inlineStr">
        <is>
          <t>BLEKINGE LÄN</t>
        </is>
      </c>
      <c r="G2251" t="inlineStr">
        <is>
          <t>OLOFSTRÖM</t>
        </is>
      </c>
      <c r="H2251" t="inlineStr">
        <is>
          <t>Sveaskog</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2061-2025</t>
        </is>
      </c>
      <c r="B2252" t="inlineStr">
        <is>
          <t>samrådsanmälan</t>
        </is>
      </c>
      <c r="C2252" t="inlineStr">
        <is>
          <t>Annan skogsbruksåtgärd</t>
        </is>
      </c>
      <c r="D2252" s="1" t="n">
        <v>45839</v>
      </c>
      <c r="E2252" s="1" t="n">
        <v>46248</v>
      </c>
      <c r="F2252" t="inlineStr">
        <is>
          <t>BLEKINGE LÄN</t>
        </is>
      </c>
      <c r="G2252" t="inlineStr">
        <is>
          <t>SÖLVESBORG</t>
        </is>
      </c>
      <c r="I2252" t="n">
        <v>9.800000000000001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2974-2025</t>
        </is>
      </c>
      <c r="B2253" t="inlineStr">
        <is>
          <t>samrådsanmälan</t>
        </is>
      </c>
      <c r="C2253" t="inlineStr">
        <is>
          <t>Annan skogsbruksåtgärd</t>
        </is>
      </c>
      <c r="D2253" s="1" t="n">
        <v>45956</v>
      </c>
      <c r="E2253" s="1" t="n">
        <v>46248</v>
      </c>
      <c r="F2253" t="inlineStr">
        <is>
          <t>BLEKINGE LÄN</t>
        </is>
      </c>
      <c r="G2253" t="inlineStr">
        <is>
          <t>OLOFSTRÖM</t>
        </is>
      </c>
      <c r="H2253" t="inlineStr">
        <is>
          <t>Sveaskog</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2973-2025</t>
        </is>
      </c>
      <c r="B2254" t="inlineStr">
        <is>
          <t>samrådsanmälan</t>
        </is>
      </c>
      <c r="C2254" t="inlineStr">
        <is>
          <t>Annan skogsbruksåtgärd</t>
        </is>
      </c>
      <c r="D2254" s="1" t="n">
        <v>45956</v>
      </c>
      <c r="E2254" s="1" t="n">
        <v>46248</v>
      </c>
      <c r="F2254" t="inlineStr">
        <is>
          <t>BLEKINGE LÄN</t>
        </is>
      </c>
      <c r="G2254" t="inlineStr">
        <is>
          <t>OLOFSTRÖM</t>
        </is>
      </c>
      <c r="H2254" t="inlineStr">
        <is>
          <t>Sveaskog</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10187-2021</t>
        </is>
      </c>
      <c r="B2255" t="inlineStr">
        <is>
          <t>samrådsanmälan</t>
        </is>
      </c>
      <c r="C2255" t="inlineStr">
        <is>
          <t>Annan skogsbruksåtgärd</t>
        </is>
      </c>
      <c r="D2255" s="1" t="n">
        <v>44543</v>
      </c>
      <c r="E2255" s="1" t="n">
        <v>46248</v>
      </c>
      <c r="F2255" t="inlineStr">
        <is>
          <t>BLEKINGE LÄN</t>
        </is>
      </c>
      <c r="G2255" t="inlineStr">
        <is>
          <t>OLOFSTRÖM</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2239-2024</t>
        </is>
      </c>
      <c r="B2256" t="inlineStr">
        <is>
          <t>samrådsanmälan</t>
        </is>
      </c>
      <c r="C2256" t="inlineStr">
        <is>
          <t>Annan skogsbruksåtgärd</t>
        </is>
      </c>
      <c r="D2256" s="1" t="n">
        <v>45460</v>
      </c>
      <c r="E2256" s="1" t="n">
        <v>46248</v>
      </c>
      <c r="F2256" t="inlineStr">
        <is>
          <t>BLEKINGE LÄN</t>
        </is>
      </c>
      <c r="G2256" t="inlineStr">
        <is>
          <t>KARLSKRONA</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177-2026</t>
        </is>
      </c>
      <c r="B2257" t="inlineStr">
        <is>
          <t>samrådsanmälan</t>
        </is>
      </c>
      <c r="C2257" t="inlineStr">
        <is>
          <t>Askåterföring</t>
        </is>
      </c>
      <c r="D2257" s="1" t="n">
        <v>46045</v>
      </c>
      <c r="E2257" s="1" t="n">
        <v>46248</v>
      </c>
      <c r="F2257" t="inlineStr">
        <is>
          <t>BLEKINGE LÄN</t>
        </is>
      </c>
      <c r="G2257" t="inlineStr">
        <is>
          <t>KARLSKRONA</t>
        </is>
      </c>
      <c r="I2257" t="n">
        <v>20.5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206-2026</t>
        </is>
      </c>
      <c r="B2258" t="inlineStr">
        <is>
          <t>samrådsanmälan</t>
        </is>
      </c>
      <c r="C2258" t="inlineStr">
        <is>
          <t>Annan skogsbruksåtgärd</t>
        </is>
      </c>
      <c r="D2258" s="1" t="n">
        <v>46050</v>
      </c>
      <c r="E2258" s="1" t="n">
        <v>46248</v>
      </c>
      <c r="F2258" t="inlineStr">
        <is>
          <t>BLEKINGE LÄN</t>
        </is>
      </c>
      <c r="G2258" t="inlineStr">
        <is>
          <t>RONNEBY</t>
        </is>
      </c>
      <c r="H2258" t="inlineStr">
        <is>
          <t>Övriga Aktiebolag</t>
        </is>
      </c>
      <c r="I2258" t="n">
        <v>7.7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357-2026</t>
        </is>
      </c>
      <c r="B2259" t="inlineStr">
        <is>
          <t>samrådsanmälan</t>
        </is>
      </c>
      <c r="C2259" t="inlineStr">
        <is>
          <t>Askåterföring</t>
        </is>
      </c>
      <c r="D2259" s="1" t="n">
        <v>46064</v>
      </c>
      <c r="E2259" s="1" t="n">
        <v>46248</v>
      </c>
      <c r="F2259" t="inlineStr">
        <is>
          <t>BLEKINGE LÄN</t>
        </is>
      </c>
      <c r="G2259" t="inlineStr">
        <is>
          <t>RONNEBY</t>
        </is>
      </c>
      <c r="I2259" t="n">
        <v>24.3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361-2026</t>
        </is>
      </c>
      <c r="B2260" t="inlineStr">
        <is>
          <t>samrådsanmälan</t>
        </is>
      </c>
      <c r="C2260" t="inlineStr">
        <is>
          <t>Askåterföring</t>
        </is>
      </c>
      <c r="D2260" s="1" t="n">
        <v>46064</v>
      </c>
      <c r="E2260" s="1" t="n">
        <v>46248</v>
      </c>
      <c r="F2260" t="inlineStr">
        <is>
          <t>BLEKINGE LÄN</t>
        </is>
      </c>
      <c r="G2260" t="inlineStr">
        <is>
          <t>KARLSKRONA</t>
        </is>
      </c>
      <c r="I2260" t="n">
        <v>18.4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398-2026</t>
        </is>
      </c>
      <c r="B2261" t="inlineStr">
        <is>
          <t>samrådsanmälan</t>
        </is>
      </c>
      <c r="C2261" t="inlineStr">
        <is>
          <t>Askåterföring</t>
        </is>
      </c>
      <c r="D2261" s="1" t="n">
        <v>46069</v>
      </c>
      <c r="E2261" s="1" t="n">
        <v>46248</v>
      </c>
      <c r="F2261" t="inlineStr">
        <is>
          <t>BLEKINGE LÄN</t>
        </is>
      </c>
      <c r="G2261" t="inlineStr">
        <is>
          <t>KARLSHAMN</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400-2026</t>
        </is>
      </c>
      <c r="B2262" t="inlineStr">
        <is>
          <t>samrådsanmälan</t>
        </is>
      </c>
      <c r="C2262" t="inlineStr">
        <is>
          <t>Askåterföring</t>
        </is>
      </c>
      <c r="D2262" s="1" t="n">
        <v>46069</v>
      </c>
      <c r="E2262" s="1" t="n">
        <v>46248</v>
      </c>
      <c r="F2262" t="inlineStr">
        <is>
          <t>BLEKINGE LÄN</t>
        </is>
      </c>
      <c r="G2262" t="inlineStr">
        <is>
          <t>KARLSHAMN</t>
        </is>
      </c>
      <c r="I2262" t="n">
        <v>13.4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396-2026</t>
        </is>
      </c>
      <c r="B2263" t="inlineStr">
        <is>
          <t>samrådsanmälan</t>
        </is>
      </c>
      <c r="C2263" t="inlineStr">
        <is>
          <t>Askåterföring</t>
        </is>
      </c>
      <c r="D2263" s="1" t="n">
        <v>46069</v>
      </c>
      <c r="E2263" s="1" t="n">
        <v>46248</v>
      </c>
      <c r="F2263" t="inlineStr">
        <is>
          <t>BLEKINGE LÄN</t>
        </is>
      </c>
      <c r="G2263" t="inlineStr">
        <is>
          <t>KARLSHAMN</t>
        </is>
      </c>
      <c r="I2263" t="n">
        <v>20.2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418-2026</t>
        </is>
      </c>
      <c r="B2264" t="inlineStr">
        <is>
          <t>samrådsanmälan</t>
        </is>
      </c>
      <c r="C2264" t="inlineStr">
        <is>
          <t>Askåterföring</t>
        </is>
      </c>
      <c r="D2264" s="1" t="n">
        <v>46071</v>
      </c>
      <c r="E2264" s="1" t="n">
        <v>46248</v>
      </c>
      <c r="F2264" t="inlineStr">
        <is>
          <t>BLEKINGE LÄN</t>
        </is>
      </c>
      <c r="G2264" t="inlineStr">
        <is>
          <t>KARLSHAMN</t>
        </is>
      </c>
      <c r="I2264" t="n">
        <v>10</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401-2026</t>
        </is>
      </c>
      <c r="B2265" t="inlineStr">
        <is>
          <t>samrådsanmälan</t>
        </is>
      </c>
      <c r="C2265" t="inlineStr">
        <is>
          <t>Annan skogsbruksåtgärd</t>
        </is>
      </c>
      <c r="D2265" s="1" t="n">
        <v>46070</v>
      </c>
      <c r="E2265" s="1" t="n">
        <v>46248</v>
      </c>
      <c r="F2265" t="inlineStr">
        <is>
          <t>BLEKINGE LÄN</t>
        </is>
      </c>
      <c r="G2265" t="inlineStr">
        <is>
          <t>KARLSKRONA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703-2026</t>
        </is>
      </c>
      <c r="B2266" t="inlineStr">
        <is>
          <t>samrådsanmälan</t>
        </is>
      </c>
      <c r="C2266" t="inlineStr">
        <is>
          <t>Askåterföring</t>
        </is>
      </c>
      <c r="D2266" s="1" t="n">
        <v>46092</v>
      </c>
      <c r="E2266" s="1" t="n">
        <v>46248</v>
      </c>
      <c r="F2266" t="inlineStr">
        <is>
          <t>BLEKINGE LÄN</t>
        </is>
      </c>
      <c r="G2266" t="inlineStr">
        <is>
          <t>KARLSHAMN</t>
        </is>
      </c>
      <c r="I2266" t="n">
        <v>49.7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758-2026</t>
        </is>
      </c>
      <c r="B2267" t="inlineStr">
        <is>
          <t>samrådsanmälan</t>
        </is>
      </c>
      <c r="C2267" t="inlineStr">
        <is>
          <t>Annan skogsbruksåtgärd</t>
        </is>
      </c>
      <c r="D2267" s="1" t="n">
        <v>46097</v>
      </c>
      <c r="E2267" s="1" t="n">
        <v>46248</v>
      </c>
      <c r="F2267" t="inlineStr">
        <is>
          <t>BLEKINGE LÄN</t>
        </is>
      </c>
      <c r="G2267" t="inlineStr">
        <is>
          <t>KARLSKRONA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779-2026</t>
        </is>
      </c>
      <c r="B2268" t="inlineStr">
        <is>
          <t>samrådsanmälan</t>
        </is>
      </c>
      <c r="C2268" t="inlineStr">
        <is>
          <t>Askåterföring</t>
        </is>
      </c>
      <c r="D2268" s="1" t="n">
        <v>46099</v>
      </c>
      <c r="E2268" s="1" t="n">
        <v>46248</v>
      </c>
      <c r="F2268" t="inlineStr">
        <is>
          <t>BLEKINGE LÄN</t>
        </is>
      </c>
      <c r="G2268" t="inlineStr">
        <is>
          <t>KARLSKRONA</t>
        </is>
      </c>
      <c r="I2268" t="n">
        <v>61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777-2026</t>
        </is>
      </c>
      <c r="B2269" t="inlineStr">
        <is>
          <t>samrådsanmälan</t>
        </is>
      </c>
      <c r="C2269" t="inlineStr">
        <is>
          <t>Askåterföring</t>
        </is>
      </c>
      <c r="D2269" s="1" t="n">
        <v>46099</v>
      </c>
      <c r="E2269" s="1" t="n">
        <v>46248</v>
      </c>
      <c r="F2269" t="inlineStr">
        <is>
          <t>BLEKINGE LÄN</t>
        </is>
      </c>
      <c r="G2269" t="inlineStr">
        <is>
          <t>KARLSKRONA</t>
        </is>
      </c>
      <c r="I2269" t="n">
        <v>45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782-2026</t>
        </is>
      </c>
      <c r="B2270" t="inlineStr">
        <is>
          <t>samrådsanmälan</t>
        </is>
      </c>
      <c r="C2270" t="inlineStr">
        <is>
          <t>Askåterföring</t>
        </is>
      </c>
      <c r="D2270" s="1" t="n">
        <v>46099</v>
      </c>
      <c r="E2270" s="1" t="n">
        <v>46248</v>
      </c>
      <c r="F2270" t="inlineStr">
        <is>
          <t>BLEKINGE LÄN</t>
        </is>
      </c>
      <c r="G2270" t="inlineStr">
        <is>
          <t>RONNEBY</t>
        </is>
      </c>
      <c r="I2270" t="n">
        <v>26.6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807-2026</t>
        </is>
      </c>
      <c r="B2271" t="inlineStr">
        <is>
          <t>samrådsanmälan</t>
        </is>
      </c>
      <c r="C2271" t="inlineStr">
        <is>
          <t>Askåterföring</t>
        </is>
      </c>
      <c r="D2271" s="1" t="n">
        <v>46101</v>
      </c>
      <c r="E2271" s="1" t="n">
        <v>46248</v>
      </c>
      <c r="F2271" t="inlineStr">
        <is>
          <t>BLEKINGE LÄN</t>
        </is>
      </c>
      <c r="G2271" t="inlineStr">
        <is>
          <t>KARLSKRONA</t>
        </is>
      </c>
      <c r="I2271" t="n">
        <v>11.3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853-2026</t>
        </is>
      </c>
      <c r="B2272" t="inlineStr">
        <is>
          <t>samrådsanmälan</t>
        </is>
      </c>
      <c r="C2272" t="inlineStr">
        <is>
          <t>Askåterföring</t>
        </is>
      </c>
      <c r="D2272" s="1" t="n">
        <v>46105</v>
      </c>
      <c r="E2272" s="1" t="n">
        <v>46248</v>
      </c>
      <c r="F2272" t="inlineStr">
        <is>
          <t>BLEKINGE LÄN</t>
        </is>
      </c>
      <c r="G2272" t="inlineStr">
        <is>
          <t>KARLSKRONA</t>
        </is>
      </c>
      <c r="I2272" t="n">
        <v>167.3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1012-2026</t>
        </is>
      </c>
      <c r="B2273" t="inlineStr">
        <is>
          <t>samrådsanmälan</t>
        </is>
      </c>
      <c r="C2273" t="inlineStr">
        <is>
          <t>Askåterföring</t>
        </is>
      </c>
      <c r="D2273" s="1" t="n">
        <v>46121</v>
      </c>
      <c r="E2273" s="1" t="n">
        <v>46248</v>
      </c>
      <c r="F2273" t="inlineStr">
        <is>
          <t>BLEKINGE LÄN</t>
        </is>
      </c>
      <c r="G2273" t="inlineStr">
        <is>
          <t>KARLSHAMN</t>
        </is>
      </c>
      <c r="I2273" t="n">
        <v>3.1</v>
      </c>
      <c r="J2273" t="n">
        <v>0</v>
      </c>
      <c r="K2273" t="n">
        <v>0</v>
      </c>
      <c r="L2273" t="n">
        <v>0</v>
      </c>
      <c r="M2273" t="n">
        <v>0</v>
      </c>
      <c r="N2273" t="n">
        <v>0</v>
      </c>
      <c r="O2273" t="n">
        <v>0</v>
      </c>
      <c r="P2273" t="n">
        <v>0</v>
      </c>
      <c r="Q2273" t="n">
        <v>0</v>
      </c>
      <c r="R2273" t="n">
        <v>0</v>
      </c>
      <c r="S2273" t="n">
        <v>0</v>
      </c>
      <c r="T2273" t="n">
        <v>0</v>
      </c>
      <c r="U2273" t="n">
        <v>0</v>
      </c>
      <c r="V2273" s="2" t="inlineStr"/>
    </row>
    <row r="2274">
      <c r="A2274" t="inlineStr">
        <is>
          <t>S 1515-2026</t>
        </is>
      </c>
      <c r="B2274" t="inlineStr">
        <is>
          <t>samrådsanmälan</t>
        </is>
      </c>
      <c r="C2274" t="inlineStr">
        <is>
          <t>Askåterföring</t>
        </is>
      </c>
      <c r="D2274" s="1" t="n">
        <v>46164</v>
      </c>
      <c r="E2274" s="1" t="n">
        <v>46248</v>
      </c>
      <c r="F2274" t="inlineStr">
        <is>
          <t>BLEKINGE LÄN</t>
        </is>
      </c>
      <c r="G2274" t="inlineStr">
        <is>
          <t>KARLSKRONA</t>
        </is>
      </c>
      <c r="I2274" t="n">
        <v>20.2</v>
      </c>
      <c r="J2274" t="n">
        <v>0</v>
      </c>
      <c r="K2274" t="n">
        <v>0</v>
      </c>
      <c r="L2274" t="n">
        <v>0</v>
      </c>
      <c r="M2274" t="n">
        <v>0</v>
      </c>
      <c r="N2274" t="n">
        <v>0</v>
      </c>
      <c r="O2274" t="n">
        <v>0</v>
      </c>
      <c r="P2274" t="n">
        <v>0</v>
      </c>
      <c r="Q2274" t="n">
        <v>0</v>
      </c>
      <c r="R2274" t="n">
        <v>0</v>
      </c>
      <c r="S2274" t="n">
        <v>0</v>
      </c>
      <c r="T2274" t="n">
        <v>0</v>
      </c>
      <c r="U2274" t="n">
        <v>0</v>
      </c>
      <c r="V2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2026-08-14T01:53:00Z</dcterms:created>
  <dcterms:modified xmlns:dcterms="http://purl.org/dc/terms/" xmlns:xsi="http://www.w3.org/2001/XMLSchema-instance" xsi:type="dcterms:W3CDTF">2026-08-14T01:53:02Z</dcterms:modified>
</cp:coreProperties>
</file>