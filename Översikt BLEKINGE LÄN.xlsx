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3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3503-2023</t>
        </is>
      </c>
      <c r="B2" t="inlineStr">
        <is>
          <t>samrådsanmälan</t>
        </is>
      </c>
      <c r="C2" t="inlineStr">
        <is>
          <t>Askåterföring</t>
        </is>
      </c>
      <c r="D2" s="1" t="n">
        <v>45212</v>
      </c>
      <c r="E2" s="1" t="n">
        <v>46216</v>
      </c>
      <c r="F2" t="inlineStr">
        <is>
          <t>BLEKINGE LÄN</t>
        </is>
      </c>
      <c r="G2" t="inlineStr">
        <is>
          <t>OLOFSTRÖM</t>
        </is>
      </c>
      <c r="I2" t="n">
        <v>302.9</v>
      </c>
      <c r="J2" t="n">
        <v>5</v>
      </c>
      <c r="K2" t="n">
        <v>27</v>
      </c>
      <c r="L2" t="n">
        <v>7</v>
      </c>
      <c r="M2" t="n">
        <v>3</v>
      </c>
      <c r="N2" t="n">
        <v>3</v>
      </c>
      <c r="O2" t="n">
        <v>0</v>
      </c>
      <c r="P2" t="n">
        <v>0</v>
      </c>
      <c r="Q2" t="n">
        <v>13</v>
      </c>
      <c r="R2" t="n">
        <v>6</v>
      </c>
      <c r="S2" t="n">
        <v>44</v>
      </c>
      <c r="T2" t="n">
        <v>93</v>
      </c>
      <c r="U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V2">
        <f>HYPERLINK("https://klasma.github.io/Logging_1060/artfynd/S 3503-2023 artfynd.xlsx", "S 3503-2023")</f>
        <v/>
      </c>
      <c r="W2">
        <f>HYPERLINK("https://klasma.github.io/Logging_1060/kartor/S 3503-2023 karta.png", "S 3503-2023")</f>
        <v/>
      </c>
      <c r="Y2">
        <f>HYPERLINK("https://klasma.github.io/Logging_1060/klagomål/S 3503-2023 FSC-klagomål.docx", "S 3503-2023")</f>
        <v/>
      </c>
      <c r="Z2">
        <f>HYPERLINK("https://klasma.github.io/Logging_1060/klagomålsmail/S 3503-2023 FSC-klagomål mail.docx", "S 3503-2023")</f>
        <v/>
      </c>
      <c r="AA2">
        <f>HYPERLINK("https://klasma.github.io/Logging_1060/tillsyn/S 3503-2023 tillsynsbegäran.docx", "S 3503-2023")</f>
        <v/>
      </c>
      <c r="AB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46216</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s="2" t="inlineStr">
        <is>
          <t>Ask
Skillerticka
Ekticka
Gammelekslav
Korallticka
Mindre hackspett
Älg
Ekoxe
Grå skärelav
Kornig nållav
Rostfläck
Spillkråka
Långbensgroda
Större vattensalamander
Kopparödla
Mindre vattensalamander</t>
        </is>
      </c>
      <c r="V3">
        <f>HYPERLINK("https://klasma.github.io/Logging_1080/artfynd/S 1000-2026 artfynd.xlsx", "S 1000-2026")</f>
        <v/>
      </c>
      <c r="W3">
        <f>HYPERLINK("https://klasma.github.io/Logging_1080/kartor/S 1000-2026 karta.png", "S 1000-2026")</f>
        <v/>
      </c>
      <c r="Y3">
        <f>HYPERLINK("https://klasma.github.io/Logging_1080/klagomål/S 1000-2026 FSC-klagomål.docx", "S 1000-2026")</f>
        <v/>
      </c>
      <c r="Z3">
        <f>HYPERLINK("https://klasma.github.io/Logging_1080/klagomålsmail/S 1000-2026 FSC-klagomål mail.docx", "S 1000-2026")</f>
        <v/>
      </c>
      <c r="AA3">
        <f>HYPERLINK("https://klasma.github.io/Logging_1080/tillsyn/S 1000-2026 tillsynsbegäran.docx", "S 1000-2026")</f>
        <v/>
      </c>
      <c r="AB3">
        <f>HYPERLINK("https://klasma.github.io/Logging_1080/tillsynsmail/S 1000-2026 tillsynsbegäran mail.docx", "S 1000-2026")</f>
        <v/>
      </c>
      <c r="AC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46216</v>
      </c>
      <c r="F4" t="inlineStr">
        <is>
          <t>BLEKINGE LÄN</t>
        </is>
      </c>
      <c r="G4" t="inlineStr">
        <is>
          <t>KARLSKRONA</t>
        </is>
      </c>
      <c r="I4" t="n">
        <v>3.1</v>
      </c>
      <c r="J4" t="n">
        <v>7</v>
      </c>
      <c r="K4" t="n">
        <v>6</v>
      </c>
      <c r="L4" t="n">
        <v>4</v>
      </c>
      <c r="M4" t="n">
        <v>0</v>
      </c>
      <c r="N4" t="n">
        <v>1</v>
      </c>
      <c r="O4" t="n">
        <v>0</v>
      </c>
      <c r="P4" t="n">
        <v>0</v>
      </c>
      <c r="Q4" t="n">
        <v>5</v>
      </c>
      <c r="R4" t="n">
        <v>1</v>
      </c>
      <c r="S4" t="n">
        <v>15</v>
      </c>
      <c r="T4" t="n">
        <v>18</v>
      </c>
      <c r="U4" s="2" t="inlineStr">
        <is>
          <t>Ask
Ekticka
Entita
Gulsparv
Järnsparv
Bokoxe
Grå skärelav
Guldlockmossa
Gulpudrad spiklav
Lönnlav
Rostfläck
Gröngöling
Kråka
Långbensgroda
Röd glada</t>
        </is>
      </c>
      <c r="V4">
        <f>HYPERLINK("https://klasma.github.io/Logging_1080/artfynd/A 29015-2026 artfynd.xlsx", "A 29015-2026")</f>
        <v/>
      </c>
      <c r="W4">
        <f>HYPERLINK("https://klasma.github.io/Logging_1080/kartor/A 29015-2026 karta.png", "A 29015-2026")</f>
        <v/>
      </c>
      <c r="Y4">
        <f>HYPERLINK("https://klasma.github.io/Logging_1080/klagomål/A 29015-2026 FSC-klagomål.docx", "A 29015-2026")</f>
        <v/>
      </c>
      <c r="Z4">
        <f>HYPERLINK("https://klasma.github.io/Logging_1080/klagomålsmail/A 29015-2026 FSC-klagomål mail.docx", "A 29015-2026")</f>
        <v/>
      </c>
      <c r="AA4">
        <f>HYPERLINK("https://klasma.github.io/Logging_1080/tillsyn/A 29015-2026 tillsynsbegäran.docx", "A 29015-2026")</f>
        <v/>
      </c>
      <c r="AB4">
        <f>HYPERLINK("https://klasma.github.io/Logging_1080/tillsynsmail/A 29015-2026 tillsynsbegäran mail.docx", "A 29015-2026")</f>
        <v/>
      </c>
      <c r="AC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46216</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s="2" t="inlineStr">
        <is>
          <t>Almlav
Boktaggsvamp
Lundtaggsvamp
Läderbagge
Grå taggsvamp
Puderfläck
Fällmossa
Grönpyrola
Guldlockmossa
Rostfläck
Sotlav
Zontaggsvamp
Hårklomossa</t>
        </is>
      </c>
      <c r="V5">
        <f>HYPERLINK("https://klasma.github.io/Logging_1081/artfynd/S 999-2020 artfynd.xlsx", "S 999-2020")</f>
        <v/>
      </c>
      <c r="W5">
        <f>HYPERLINK("https://klasma.github.io/Logging_1081/kartor/S 999-2020 karta.png", "S 999-2020")</f>
        <v/>
      </c>
      <c r="Y5">
        <f>HYPERLINK("https://klasma.github.io/Logging_1081/klagomål/S 999-2020 FSC-klagomål.docx", "S 999-2020")</f>
        <v/>
      </c>
      <c r="Z5">
        <f>HYPERLINK("https://klasma.github.io/Logging_1081/klagomålsmail/S 999-2020 FSC-klagomål mail.docx", "S 999-2020")</f>
        <v/>
      </c>
      <c r="AA5">
        <f>HYPERLINK("https://klasma.github.io/Logging_1081/tillsyn/S 999-2020 tillsynsbegäran.docx", "S 999-2020")</f>
        <v/>
      </c>
      <c r="AB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46216</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s="2" t="inlineStr">
        <is>
          <t>Blek kraterlav
Skillerticka
Bokkantlav
Koralltaggsvamp
Blemlavsklotter
Barkkornlav
Bokfjädermossa
Guldlockmossa
Havstulpanlav
Jättesvampmal
Klippfrullania</t>
        </is>
      </c>
      <c r="V6">
        <f>HYPERLINK("https://klasma.github.io/Logging_1081/artfynd/A 23380-2025 artfynd.xlsx", "A 23380-2025")</f>
        <v/>
      </c>
      <c r="W6">
        <f>HYPERLINK("https://klasma.github.io/Logging_1081/kartor/A 23380-2025 karta.png", "A 23380-2025")</f>
        <v/>
      </c>
      <c r="Y6">
        <f>HYPERLINK("https://klasma.github.io/Logging_1081/klagomål/A 23380-2025 FSC-klagomål.docx", "A 23380-2025")</f>
        <v/>
      </c>
      <c r="Z6">
        <f>HYPERLINK("https://klasma.github.io/Logging_1081/klagomålsmail/A 23380-2025 FSC-klagomål mail.docx", "A 23380-2025")</f>
        <v/>
      </c>
      <c r="AA6">
        <f>HYPERLINK("https://klasma.github.io/Logging_1081/tillsyn/A 23380-2025 tillsynsbegäran.docx", "A 23380-2025")</f>
        <v/>
      </c>
      <c r="AB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46216</v>
      </c>
      <c r="F7" t="inlineStr">
        <is>
          <t>BLEKINGE LÄN</t>
        </is>
      </c>
      <c r="G7" t="inlineStr">
        <is>
          <t>RONNEBY</t>
        </is>
      </c>
      <c r="I7" t="n">
        <v>14.9</v>
      </c>
      <c r="J7" t="n">
        <v>1</v>
      </c>
      <c r="K7" t="n">
        <v>3</v>
      </c>
      <c r="L7" t="n">
        <v>6</v>
      </c>
      <c r="M7" t="n">
        <v>1</v>
      </c>
      <c r="N7" t="n">
        <v>0</v>
      </c>
      <c r="O7" t="n">
        <v>0</v>
      </c>
      <c r="P7" t="n">
        <v>0</v>
      </c>
      <c r="Q7" t="n">
        <v>7</v>
      </c>
      <c r="R7" t="n">
        <v>1</v>
      </c>
      <c r="S7" t="n">
        <v>10</v>
      </c>
      <c r="T7" t="n">
        <v>18</v>
      </c>
      <c r="U7" s="2" t="inlineStr">
        <is>
          <t>Ädelkronlav
Axveronika
Ekticka
Ekträdlöpare
Gammelekslav
Korallticka
Oxtungssvamp
Blåmossa
Ekoxe
Gulpudrad spiklav</t>
        </is>
      </c>
      <c r="V7">
        <f>HYPERLINK("https://klasma.github.io/Logging_1081/artfynd/S 4520-2022 artfynd.xlsx", "S 4520-2022")</f>
        <v/>
      </c>
      <c r="W7">
        <f>HYPERLINK("https://klasma.github.io/Logging_1081/kartor/S 4520-2022 karta.png", "S 4520-2022")</f>
        <v/>
      </c>
      <c r="Y7">
        <f>HYPERLINK("https://klasma.github.io/Logging_1081/klagomål/S 4520-2022 FSC-klagomål.docx", "S 4520-2022")</f>
        <v/>
      </c>
      <c r="Z7">
        <f>HYPERLINK("https://klasma.github.io/Logging_1081/klagomålsmail/S 4520-2022 FSC-klagomål mail.docx", "S 4520-2022")</f>
        <v/>
      </c>
      <c r="AA7">
        <f>HYPERLINK("https://klasma.github.io/Logging_1081/tillsyn/S 4520-2022 tillsynsbegäran.docx", "S 4520-2022")</f>
        <v/>
      </c>
      <c r="AB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46216</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s="2" t="inlineStr">
        <is>
          <t>Hjärtstilla
Läderbagge
Tårticka
Entita
Mindre hackspett
Svart askbastborre
Ekoxe
Grå skärelav
Gröngöling
Skogsduva</t>
        </is>
      </c>
      <c r="V8">
        <f>HYPERLINK("https://klasma.github.io/Logging_1080/artfynd/S 6659-2021 artfynd.xlsx", "S 6659-2021")</f>
        <v/>
      </c>
      <c r="W8">
        <f>HYPERLINK("https://klasma.github.io/Logging_1080/kartor/S 6659-2021 karta.png", "S 6659-2021")</f>
        <v/>
      </c>
      <c r="Y8">
        <f>HYPERLINK("https://klasma.github.io/Logging_1080/klagomål/S 6659-2021 FSC-klagomål.docx", "S 6659-2021")</f>
        <v/>
      </c>
      <c r="Z8">
        <f>HYPERLINK("https://klasma.github.io/Logging_1080/klagomålsmail/S 6659-2021 FSC-klagomål mail.docx", "S 6659-2021")</f>
        <v/>
      </c>
      <c r="AA8">
        <f>HYPERLINK("https://klasma.github.io/Logging_1080/tillsyn/S 6659-2021 tillsynsbegäran.docx", "S 6659-2021")</f>
        <v/>
      </c>
      <c r="AB8">
        <f>HYPERLINK("https://klasma.github.io/Logging_1080/tillsynsmail/S 6659-2021 tillsynsbegäran mail.docx", "S 6659-2021")</f>
        <v/>
      </c>
      <c r="AC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46216</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s="2" t="inlineStr">
        <is>
          <t>Skillerticka
Ekticka
Koralltaggsvamp
Stor sotdyna
Blåmossa
Hasselticka
Murgröna
Rutkremla</t>
        </is>
      </c>
      <c r="V9">
        <f>HYPERLINK("https://klasma.github.io/Logging_1080/artfynd/A 45735-2025 artfynd.xlsx", "A 45735-2025")</f>
        <v/>
      </c>
      <c r="W9">
        <f>HYPERLINK("https://klasma.github.io/Logging_1080/kartor/A 45735-2025 karta.png", "A 45735-2025")</f>
        <v/>
      </c>
      <c r="Y9">
        <f>HYPERLINK("https://klasma.github.io/Logging_1080/klagomål/A 45735-2025 FSC-klagomål.docx", "A 45735-2025")</f>
        <v/>
      </c>
      <c r="Z9">
        <f>HYPERLINK("https://klasma.github.io/Logging_1080/klagomålsmail/A 45735-2025 FSC-klagomål mail.docx", "A 45735-2025")</f>
        <v/>
      </c>
      <c r="AA9">
        <f>HYPERLINK("https://klasma.github.io/Logging_1080/tillsyn/A 45735-2025 tillsynsbegäran.docx", "A 45735-2025")</f>
        <v/>
      </c>
      <c r="AB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46216</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s="2" t="inlineStr">
        <is>
          <t>Skillerticka
Bokvårtlav
Ekoxe
Trädporella
Blåsippa
Spillkråka
Havsörn
Utter</t>
        </is>
      </c>
      <c r="V10">
        <f>HYPERLINK("https://klasma.github.io/Logging_1080/artfynd/S 2527-2024 artfynd.xlsx", "S 2527-2024")</f>
        <v/>
      </c>
      <c r="W10">
        <f>HYPERLINK("https://klasma.github.io/Logging_1080/kartor/S 2527-2024 karta.png", "S 2527-2024")</f>
        <v/>
      </c>
      <c r="Y10">
        <f>HYPERLINK("https://klasma.github.io/Logging_1080/klagomål/S 2527-2024 FSC-klagomål.docx", "S 2527-2024")</f>
        <v/>
      </c>
      <c r="Z10">
        <f>HYPERLINK("https://klasma.github.io/Logging_1080/klagomålsmail/S 2527-2024 FSC-klagomål mail.docx", "S 2527-2024")</f>
        <v/>
      </c>
      <c r="AA10">
        <f>HYPERLINK("https://klasma.github.io/Logging_1080/tillsyn/S 2527-2024 tillsynsbegäran.docx", "S 2527-2024")</f>
        <v/>
      </c>
      <c r="AB10">
        <f>HYPERLINK("https://klasma.github.io/Logging_1080/tillsynsmail/S 2527-2024 tillsynsbegäran mail.docx", "S 2527-2024")</f>
        <v/>
      </c>
      <c r="AC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46216</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s="2" t="inlineStr">
        <is>
          <t>Dvärgjohannesört
Gullklöver
Kavelhirs
Mjukdån
Sydspärgel
Igelkottsröksvamp
Västlig hakmossa
Revlummer</t>
        </is>
      </c>
      <c r="V11">
        <f>HYPERLINK("https://klasma.github.io/Logging_1083/artfynd/S 4534-2023 artfynd.xlsx", "S 4534-2023")</f>
        <v/>
      </c>
      <c r="W11">
        <f>HYPERLINK("https://klasma.github.io/Logging_1083/kartor/S 4534-2023 karta.png", "S 4534-2023")</f>
        <v/>
      </c>
      <c r="Y11">
        <f>HYPERLINK("https://klasma.github.io/Logging_1083/klagomål/S 4534-2023 FSC-klagomål.docx", "S 4534-2023")</f>
        <v/>
      </c>
      <c r="Z11">
        <f>HYPERLINK("https://klasma.github.io/Logging_1083/klagomålsmail/S 4534-2023 FSC-klagomål mail.docx", "S 4534-2023")</f>
        <v/>
      </c>
      <c r="AA11">
        <f>HYPERLINK("https://klasma.github.io/Logging_1083/tillsyn/S 4534-2023 tillsynsbegäran.docx", "S 4534-2023")</f>
        <v/>
      </c>
      <c r="AB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46216</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s="2" t="inlineStr">
        <is>
          <t>Ask
Småvänderot
Jungfrulin
Sommarfibbla
Svinrot
Fläcknycklar
Gullviva</t>
        </is>
      </c>
      <c r="V12">
        <f>HYPERLINK("https://klasma.github.io/Logging_1082/artfynd/A 57800-2022 artfynd.xlsx", "A 57800-2022")</f>
        <v/>
      </c>
      <c r="W12">
        <f>HYPERLINK("https://klasma.github.io/Logging_1082/kartor/A 57800-2022 karta.png", "A 57800-2022")</f>
        <v/>
      </c>
      <c r="Y12">
        <f>HYPERLINK("https://klasma.github.io/Logging_1082/klagomål/A 57800-2022 FSC-klagomål.docx", "A 57800-2022")</f>
        <v/>
      </c>
      <c r="Z12">
        <f>HYPERLINK("https://klasma.github.io/Logging_1082/klagomålsmail/A 57800-2022 FSC-klagomål mail.docx", "A 57800-2022")</f>
        <v/>
      </c>
      <c r="AA12">
        <f>HYPERLINK("https://klasma.github.io/Logging_1082/tillsyn/A 57800-2022 tillsynsbegäran.docx", "A 57800-2022")</f>
        <v/>
      </c>
      <c r="AB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46216</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s="2" t="inlineStr">
        <is>
          <t>Barbastell
Brunlångöra
Nordfladdermus
Dvärgpipistrell
Större brunfladdermus
Trollpipistrell
Vattenfladdermus</t>
        </is>
      </c>
      <c r="V13">
        <f>HYPERLINK("https://klasma.github.io/Logging_1080/artfynd/A 9457-2024 artfynd.xlsx", "A 9457-2024")</f>
        <v/>
      </c>
      <c r="W13">
        <f>HYPERLINK("https://klasma.github.io/Logging_1080/kartor/A 9457-2024 karta.png", "A 9457-2024")</f>
        <v/>
      </c>
      <c r="Y13">
        <f>HYPERLINK("https://klasma.github.io/Logging_1080/klagomål/A 9457-2024 FSC-klagomål.docx", "A 9457-2024")</f>
        <v/>
      </c>
      <c r="Z13">
        <f>HYPERLINK("https://klasma.github.io/Logging_1080/klagomålsmail/A 9457-2024 FSC-klagomål mail.docx", "A 9457-2024")</f>
        <v/>
      </c>
      <c r="AA13">
        <f>HYPERLINK("https://klasma.github.io/Logging_1080/tillsyn/A 9457-2024 tillsynsbegäran.docx", "A 9457-2024")</f>
        <v/>
      </c>
      <c r="AB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46216</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s="2" t="inlineStr">
        <is>
          <t>Grusnejlika
Sandödla
Grönsångare
Kantarellvaxing
Kråka
Ärtsångare</t>
        </is>
      </c>
      <c r="V14">
        <f>HYPERLINK("https://klasma.github.io/Logging_1080/artfynd/A 61166-2025 artfynd.xlsx", "A 61166-2025")</f>
        <v/>
      </c>
      <c r="W14">
        <f>HYPERLINK("https://klasma.github.io/Logging_1080/kartor/A 61166-2025 karta.png", "A 61166-2025")</f>
        <v/>
      </c>
      <c r="Y14">
        <f>HYPERLINK("https://klasma.github.io/Logging_1080/klagomål/A 61166-2025 FSC-klagomål.docx", "A 61166-2025")</f>
        <v/>
      </c>
      <c r="Z14">
        <f>HYPERLINK("https://klasma.github.io/Logging_1080/klagomålsmail/A 61166-2025 FSC-klagomål mail.docx", "A 61166-2025")</f>
        <v/>
      </c>
      <c r="AA14">
        <f>HYPERLINK("https://klasma.github.io/Logging_1080/tillsyn/A 61166-2025 tillsynsbegäran.docx", "A 61166-2025")</f>
        <v/>
      </c>
      <c r="AB14">
        <f>HYPERLINK("https://klasma.github.io/Logging_1080/tillsynsmail/A 61166-2025 tillsynsbegäran mail.docx", "A 61166-2025")</f>
        <v/>
      </c>
      <c r="AC14">
        <f>HYPERLINK("https://klasma.github.io/Logging_1080/fåglar/A 61166-2025 prioriterade fågelarter.docx", "A 61166-2025")</f>
        <v/>
      </c>
    </row>
    <row r="15" ht="15" customHeight="1">
      <c r="A15" t="inlineStr">
        <is>
          <t>A 40701-2023</t>
        </is>
      </c>
      <c r="B15" t="inlineStr">
        <is>
          <t>avverkningsanmälan</t>
        </is>
      </c>
      <c r="C15" t="inlineStr">
        <is>
          <t>Föryngringsavverkning</t>
        </is>
      </c>
      <c r="D15" s="1" t="n">
        <v>45170</v>
      </c>
      <c r="E15" s="1" t="n">
        <v>46216</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s="2" t="inlineStr">
        <is>
          <t>Ask
Gammelekslav
Oxtungssvamp
Skuggorangelav
Grå skärelav
Platt fjädermossa</t>
        </is>
      </c>
      <c r="V15">
        <f>HYPERLINK("https://klasma.github.io/Logging_1082/artfynd/A 40701-2023 artfynd.xlsx", "A 40701-2023")</f>
        <v/>
      </c>
      <c r="W15">
        <f>HYPERLINK("https://klasma.github.io/Logging_1082/kartor/A 40701-2023 karta.png", "A 40701-2023")</f>
        <v/>
      </c>
      <c r="Y15">
        <f>HYPERLINK("https://klasma.github.io/Logging_1082/klagomål/A 40701-2023 FSC-klagomål.docx", "A 40701-2023")</f>
        <v/>
      </c>
      <c r="Z15">
        <f>HYPERLINK("https://klasma.github.io/Logging_1082/klagomålsmail/A 40701-2023 FSC-klagomål mail.docx", "A 40701-2023")</f>
        <v/>
      </c>
      <c r="AA15">
        <f>HYPERLINK("https://klasma.github.io/Logging_1082/tillsyn/A 40701-2023 tillsynsbegäran.docx", "A 40701-2023")</f>
        <v/>
      </c>
      <c r="AB15">
        <f>HYPERLINK("https://klasma.github.io/Logging_1082/tillsynsmail/A 40701-2023 tillsynsbegäran mail.docx", "A 40701-2023")</f>
        <v/>
      </c>
    </row>
    <row r="16" ht="15" customHeight="1">
      <c r="A16" t="inlineStr">
        <is>
          <t>A 31117-2025</t>
        </is>
      </c>
      <c r="B16" t="inlineStr">
        <is>
          <t>avverkningsanmälan</t>
        </is>
      </c>
      <c r="C16" t="inlineStr">
        <is>
          <t>Avverkning för annat ändamål</t>
        </is>
      </c>
      <c r="D16" s="1" t="n">
        <v>45832</v>
      </c>
      <c r="E16" s="1" t="n">
        <v>46216</v>
      </c>
      <c r="F16" t="inlineStr">
        <is>
          <t>BLEKINGE LÄN</t>
        </is>
      </c>
      <c r="G16" t="inlineStr">
        <is>
          <t>KARLSKRONA</t>
        </is>
      </c>
      <c r="I16" t="n">
        <v>2</v>
      </c>
      <c r="J16" t="n">
        <v>6</v>
      </c>
      <c r="K16" t="n">
        <v>0</v>
      </c>
      <c r="L16" t="n">
        <v>2</v>
      </c>
      <c r="M16" t="n">
        <v>1</v>
      </c>
      <c r="N16" t="n">
        <v>0</v>
      </c>
      <c r="O16" t="n">
        <v>0</v>
      </c>
      <c r="P16" t="n">
        <v>0</v>
      </c>
      <c r="Q16" t="n">
        <v>3</v>
      </c>
      <c r="R16" t="n">
        <v>1</v>
      </c>
      <c r="S16" t="n">
        <v>6</v>
      </c>
      <c r="T16" t="n">
        <v>9</v>
      </c>
      <c r="U16" s="2" t="inlineStr">
        <is>
          <t>Sydpipistrell
Barbastell
Nordfladdermus
Dvärgpipistrell
Större brunfladdermus
Trollpipistrell</t>
        </is>
      </c>
      <c r="V16">
        <f>HYPERLINK("https://klasma.github.io/Logging_1080/artfynd/A 31117-2025 artfynd.xlsx", "A 31117-2025")</f>
        <v/>
      </c>
      <c r="W16">
        <f>HYPERLINK("https://klasma.github.io/Logging_1080/kartor/A 31117-2025 karta.png", "A 31117-2025")</f>
        <v/>
      </c>
      <c r="Y16">
        <f>HYPERLINK("https://klasma.github.io/Logging_1080/klagomål/A 31117-2025 FSC-klagomål.docx", "A 31117-2025")</f>
        <v/>
      </c>
      <c r="Z16">
        <f>HYPERLINK("https://klasma.github.io/Logging_1080/klagomålsmail/A 31117-2025 FSC-klagomål mail.docx", "A 31117-2025")</f>
        <v/>
      </c>
      <c r="AA16">
        <f>HYPERLINK("https://klasma.github.io/Logging_1080/tillsyn/A 31117-2025 tillsynsbegäran.docx", "A 31117-2025")</f>
        <v/>
      </c>
      <c r="AB16">
        <f>HYPERLINK("https://klasma.github.io/Logging_1080/tillsynsmail/A 31117-2025 tillsynsbegäran mail.docx", "A 31117-2025")</f>
        <v/>
      </c>
    </row>
    <row r="17" ht="15" customHeight="1">
      <c r="A17" t="inlineStr">
        <is>
          <t>A 21911-2026</t>
        </is>
      </c>
      <c r="B17" t="inlineStr">
        <is>
          <t>avverkningsanmälan</t>
        </is>
      </c>
      <c r="C17" t="inlineStr">
        <is>
          <t>Föryngringsavverkning</t>
        </is>
      </c>
      <c r="D17" s="1" t="n">
        <v>46150</v>
      </c>
      <c r="E17" s="1" t="n">
        <v>46216</v>
      </c>
      <c r="F17" t="inlineStr">
        <is>
          <t>BLEKINGE LÄN</t>
        </is>
      </c>
      <c r="G17" t="inlineStr">
        <is>
          <t>KARLSHAMN</t>
        </is>
      </c>
      <c r="I17" t="n">
        <v>6.5</v>
      </c>
      <c r="J17" t="n">
        <v>1</v>
      </c>
      <c r="K17" t="n">
        <v>5</v>
      </c>
      <c r="L17" t="n">
        <v>0</v>
      </c>
      <c r="M17" t="n">
        <v>0</v>
      </c>
      <c r="N17" t="n">
        <v>0</v>
      </c>
      <c r="O17" t="n">
        <v>0</v>
      </c>
      <c r="P17" t="n">
        <v>0</v>
      </c>
      <c r="Q17" t="n">
        <v>0</v>
      </c>
      <c r="R17" t="n">
        <v>0</v>
      </c>
      <c r="S17" t="n">
        <v>6</v>
      </c>
      <c r="T17" t="n">
        <v>6</v>
      </c>
      <c r="U17" s="2" t="inlineStr">
        <is>
          <t>Liten stinksvamp
Lömsk flugsvamp
Murgröna
Myskmadra
Rutkremla
Blåsippa</t>
        </is>
      </c>
      <c r="V17">
        <f>HYPERLINK("https://klasma.github.io/Logging_1082/artfynd/A 21911-2026 artfynd.xlsx", "A 21911-2026")</f>
        <v/>
      </c>
      <c r="W17">
        <f>HYPERLINK("https://klasma.github.io/Logging_1082/kartor/A 21911-2026 karta.png", "A 21911-2026")</f>
        <v/>
      </c>
      <c r="Y17">
        <f>HYPERLINK("https://klasma.github.io/Logging_1082/klagomål/A 21911-2026 FSC-klagomål.docx", "A 21911-2026")</f>
        <v/>
      </c>
      <c r="Z17">
        <f>HYPERLINK("https://klasma.github.io/Logging_1082/klagomålsmail/A 21911-2026 FSC-klagomål mail.docx", "A 21911-2026")</f>
        <v/>
      </c>
      <c r="AA17">
        <f>HYPERLINK("https://klasma.github.io/Logging_1082/tillsyn/A 21911-2026 tillsynsbegäran.docx", "A 21911-2026")</f>
        <v/>
      </c>
      <c r="AB17">
        <f>HYPERLINK("https://klasma.github.io/Logging_1082/tillsynsmail/A 21911-2026 tillsynsbegäran mail.docx", "A 21911-2026")</f>
        <v/>
      </c>
    </row>
    <row r="18" ht="15" customHeight="1">
      <c r="A18" t="inlineStr">
        <is>
          <t>S 1893-2020</t>
        </is>
      </c>
      <c r="B18" t="inlineStr">
        <is>
          <t>samrådsanmälan</t>
        </is>
      </c>
      <c r="C18" t="inlineStr">
        <is>
          <t>Åtgärd i nyckelbiotop</t>
        </is>
      </c>
      <c r="D18" s="1" t="n">
        <v>44077</v>
      </c>
      <c r="E18" s="1" t="n">
        <v>46216</v>
      </c>
      <c r="F18" t="inlineStr">
        <is>
          <t>BLEKINGE LÄN</t>
        </is>
      </c>
      <c r="G18" t="inlineStr">
        <is>
          <t>KARLSKRONA</t>
        </is>
      </c>
      <c r="H18" t="inlineStr">
        <is>
          <t>Kommuner</t>
        </is>
      </c>
      <c r="I18" t="n">
        <v>1.1</v>
      </c>
      <c r="J18" t="n">
        <v>1</v>
      </c>
      <c r="K18" t="n">
        <v>2</v>
      </c>
      <c r="L18" t="n">
        <v>1</v>
      </c>
      <c r="M18" t="n">
        <v>1</v>
      </c>
      <c r="N18" t="n">
        <v>0</v>
      </c>
      <c r="O18" t="n">
        <v>0</v>
      </c>
      <c r="P18" t="n">
        <v>0</v>
      </c>
      <c r="Q18" t="n">
        <v>2</v>
      </c>
      <c r="R18" t="n">
        <v>1</v>
      </c>
      <c r="S18" t="n">
        <v>6</v>
      </c>
      <c r="T18" t="n">
        <v>6</v>
      </c>
      <c r="U18" s="2" t="inlineStr">
        <is>
          <t>Läderbagge
Vippärt
Murgröna
Ängsfingersvamp
Smånunneört
Tandrot</t>
        </is>
      </c>
      <c r="V18">
        <f>HYPERLINK("https://klasma.github.io/Logging_1080/artfynd/S 1893-2020 artfynd.xlsx", "S 1893-2020")</f>
        <v/>
      </c>
      <c r="W18">
        <f>HYPERLINK("https://klasma.github.io/Logging_1080/kartor/S 1893-2020 karta.png", "S 1893-2020")</f>
        <v/>
      </c>
      <c r="Y18">
        <f>HYPERLINK("https://klasma.github.io/Logging_1080/klagomål/S 1893-2020 FSC-klagomål.docx", "S 1893-2020")</f>
        <v/>
      </c>
      <c r="Z18">
        <f>HYPERLINK("https://klasma.github.io/Logging_1080/klagomålsmail/S 1893-2020 FSC-klagomål mail.docx", "S 1893-2020")</f>
        <v/>
      </c>
      <c r="AA18">
        <f>HYPERLINK("https://klasma.github.io/Logging_1080/tillsyn/S 1893-2020 tillsynsbegäran.docx", "S 1893-2020")</f>
        <v/>
      </c>
      <c r="AB18">
        <f>HYPERLINK("https://klasma.github.io/Logging_1080/tillsynsmail/S 1893-2020 tillsynsbegäran mail.docx", "S 1893-2020")</f>
        <v/>
      </c>
    </row>
    <row r="19" ht="15" customHeight="1">
      <c r="A19" t="inlineStr">
        <is>
          <t>S 85-2023</t>
        </is>
      </c>
      <c r="B19" t="inlineStr">
        <is>
          <t>samrådsanmälan</t>
        </is>
      </c>
      <c r="C19" t="inlineStr">
        <is>
          <t>Annan skogsbruksåtgärd</t>
        </is>
      </c>
      <c r="D19" s="1" t="n">
        <v>44931</v>
      </c>
      <c r="E19" s="1" t="n">
        <v>46216</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s="2" t="inlineStr">
        <is>
          <t>Grönhjon
Liten sönderfallslav
Fällmossa
Murgröna
Rostfläck
Västlig hakmossa</t>
        </is>
      </c>
      <c r="V19">
        <f>HYPERLINK("https://klasma.github.io/Logging_1081/artfynd/S 85-2023 artfynd.xlsx", "S 85-2023")</f>
        <v/>
      </c>
      <c r="W19">
        <f>HYPERLINK("https://klasma.github.io/Logging_1081/kartor/S 85-2023 karta.png", "S 85-2023")</f>
        <v/>
      </c>
      <c r="Y19">
        <f>HYPERLINK("https://klasma.github.io/Logging_1081/klagomål/S 85-2023 FSC-klagomål.docx", "S 85-2023")</f>
        <v/>
      </c>
      <c r="Z19">
        <f>HYPERLINK("https://klasma.github.io/Logging_1081/klagomålsmail/S 85-2023 FSC-klagomål mail.docx", "S 85-2023")</f>
        <v/>
      </c>
      <c r="AA19">
        <f>HYPERLINK("https://klasma.github.io/Logging_1081/tillsyn/S 85-2023 tillsynsbegäran.docx", "S 85-2023")</f>
        <v/>
      </c>
      <c r="AB19">
        <f>HYPERLINK("https://klasma.github.io/Logging_1081/tillsynsmail/S 85-2023 tillsynsbegäran mail.docx", "S 85-2023")</f>
        <v/>
      </c>
    </row>
    <row r="20" ht="15" customHeight="1">
      <c r="A20" t="inlineStr">
        <is>
          <t>S 4909-2022</t>
        </is>
      </c>
      <c r="B20" t="inlineStr">
        <is>
          <t>samrådsanmälan</t>
        </is>
      </c>
      <c r="C20" t="inlineStr">
        <is>
          <t>Askåterföring</t>
        </is>
      </c>
      <c r="D20" s="1" t="n">
        <v>44809</v>
      </c>
      <c r="E20" s="1" t="n">
        <v>46216</v>
      </c>
      <c r="F20" t="inlineStr">
        <is>
          <t>BLEKINGE LÄN</t>
        </is>
      </c>
      <c r="G20" t="inlineStr">
        <is>
          <t>OLOFSTRÖM</t>
        </is>
      </c>
      <c r="I20" t="n">
        <v>10</v>
      </c>
      <c r="J20" t="n">
        <v>1</v>
      </c>
      <c r="K20" t="n">
        <v>3</v>
      </c>
      <c r="L20" t="n">
        <v>1</v>
      </c>
      <c r="M20" t="n">
        <v>1</v>
      </c>
      <c r="N20" t="n">
        <v>0</v>
      </c>
      <c r="O20" t="n">
        <v>0</v>
      </c>
      <c r="P20" t="n">
        <v>0</v>
      </c>
      <c r="Q20" t="n">
        <v>2</v>
      </c>
      <c r="R20" t="n">
        <v>1</v>
      </c>
      <c r="S20" t="n">
        <v>6</v>
      </c>
      <c r="T20" t="n">
        <v>8</v>
      </c>
      <c r="U20" s="2" t="inlineStr">
        <is>
          <t>Kustgrimmia
Svart skogssnigel
Brandticka
Tibast
Västlig hakmossa
Järpe</t>
        </is>
      </c>
      <c r="V20">
        <f>HYPERLINK("https://klasma.github.io/Logging_1060/artfynd/S 4909-2022 artfynd.xlsx", "S 4909-2022")</f>
        <v/>
      </c>
      <c r="W20">
        <f>HYPERLINK("https://klasma.github.io/Logging_1060/kartor/S 4909-2022 karta.png", "S 4909-2022")</f>
        <v/>
      </c>
      <c r="Y20">
        <f>HYPERLINK("https://klasma.github.io/Logging_1060/klagomål/S 4909-2022 FSC-klagomål.docx", "S 4909-2022")</f>
        <v/>
      </c>
      <c r="Z20">
        <f>HYPERLINK("https://klasma.github.io/Logging_1060/klagomålsmail/S 4909-2022 FSC-klagomål mail.docx", "S 4909-2022")</f>
        <v/>
      </c>
      <c r="AA20">
        <f>HYPERLINK("https://klasma.github.io/Logging_1060/tillsyn/S 4909-2022 tillsynsbegäran.docx", "S 4909-2022")</f>
        <v/>
      </c>
      <c r="AB20">
        <f>HYPERLINK("https://klasma.github.io/Logging_1060/tillsynsmail/S 4909-2022 tillsynsbegäran mail.docx", "S 4909-2022")</f>
        <v/>
      </c>
      <c r="AC20">
        <f>HYPERLINK("https://klasma.github.io/Logging_1060/fåglar/S 4909-2022 prioriterade fågelarter.docx", "S 4909-2022")</f>
        <v/>
      </c>
    </row>
    <row r="21" ht="15" customHeight="1">
      <c r="A21" t="inlineStr">
        <is>
          <t>S 2678-2023</t>
        </is>
      </c>
      <c r="B21" t="inlineStr">
        <is>
          <t>samrådsanmälan</t>
        </is>
      </c>
      <c r="C21" t="inlineStr">
        <is>
          <t>Annan skogsbruksåtgärd</t>
        </is>
      </c>
      <c r="D21" s="1" t="n">
        <v>45153</v>
      </c>
      <c r="E21" s="1" t="n">
        <v>46216</v>
      </c>
      <c r="F21" t="inlineStr">
        <is>
          <t>BLEKINGE LÄN</t>
        </is>
      </c>
      <c r="G21" t="inlineStr">
        <is>
          <t>RONNEBY</t>
        </is>
      </c>
      <c r="I21" t="n">
        <v>12.1</v>
      </c>
      <c r="J21" t="n">
        <v>0</v>
      </c>
      <c r="K21" t="n">
        <v>4</v>
      </c>
      <c r="L21" t="n">
        <v>2</v>
      </c>
      <c r="M21" t="n">
        <v>0</v>
      </c>
      <c r="N21" t="n">
        <v>0</v>
      </c>
      <c r="O21" t="n">
        <v>0</v>
      </c>
      <c r="P21" t="n">
        <v>0</v>
      </c>
      <c r="Q21" t="n">
        <v>2</v>
      </c>
      <c r="R21" t="n">
        <v>0</v>
      </c>
      <c r="S21" t="n">
        <v>6</v>
      </c>
      <c r="T21" t="n">
        <v>13</v>
      </c>
      <c r="U21" s="2" t="inlineStr">
        <is>
          <t>Grönhjon
Liten sönderfallslav
Fällmossa
Murgröna
Rostfläck
Västlig hakmossa</t>
        </is>
      </c>
      <c r="V21">
        <f>HYPERLINK("https://klasma.github.io/Logging_1081/artfynd/S 2678-2023 artfynd.xlsx", "S 2678-2023")</f>
        <v/>
      </c>
      <c r="W21">
        <f>HYPERLINK("https://klasma.github.io/Logging_1081/kartor/S 2678-2023 karta.png", "S 2678-2023")</f>
        <v/>
      </c>
      <c r="Y21">
        <f>HYPERLINK("https://klasma.github.io/Logging_1081/klagomål/S 2678-2023 FSC-klagomål.docx", "S 2678-2023")</f>
        <v/>
      </c>
      <c r="Z21">
        <f>HYPERLINK("https://klasma.github.io/Logging_1081/klagomålsmail/S 2678-2023 FSC-klagomål mail.docx", "S 2678-2023")</f>
        <v/>
      </c>
      <c r="AA21">
        <f>HYPERLINK("https://klasma.github.io/Logging_1081/tillsyn/S 2678-2023 tillsynsbegäran.docx", "S 2678-2023")</f>
        <v/>
      </c>
      <c r="AB21">
        <f>HYPERLINK("https://klasma.github.io/Logging_1081/tillsynsmail/S 2678-2023 tillsynsbegäran mail.docx", "S 2678-2023")</f>
        <v/>
      </c>
    </row>
    <row r="22" ht="15" customHeight="1">
      <c r="A22" t="inlineStr">
        <is>
          <t>S 3415-2025</t>
        </is>
      </c>
      <c r="B22" t="inlineStr">
        <is>
          <t>samrådsanmälan</t>
        </is>
      </c>
      <c r="C22" t="inlineStr">
        <is>
          <t>Annan skogsbruksåtgärd</t>
        </is>
      </c>
      <c r="D22" s="1" t="n">
        <v>45996</v>
      </c>
      <c r="E22" s="1" t="n">
        <v>46216</v>
      </c>
      <c r="F22" t="inlineStr">
        <is>
          <t>BLEKINGE LÄN</t>
        </is>
      </c>
      <c r="G22" t="inlineStr">
        <is>
          <t>KARLSKRONA</t>
        </is>
      </c>
      <c r="H22" t="inlineStr">
        <is>
          <t>Kommuner</t>
        </is>
      </c>
      <c r="I22" t="n">
        <v>0.4</v>
      </c>
      <c r="J22" t="n">
        <v>1</v>
      </c>
      <c r="K22" t="n">
        <v>3</v>
      </c>
      <c r="L22" t="n">
        <v>3</v>
      </c>
      <c r="M22" t="n">
        <v>0</v>
      </c>
      <c r="N22" t="n">
        <v>0</v>
      </c>
      <c r="O22" t="n">
        <v>0</v>
      </c>
      <c r="P22" t="n">
        <v>0</v>
      </c>
      <c r="Q22" t="n">
        <v>3</v>
      </c>
      <c r="R22" t="n">
        <v>0</v>
      </c>
      <c r="S22" t="n">
        <v>6</v>
      </c>
      <c r="T22" t="n">
        <v>6</v>
      </c>
      <c r="U22" s="2" t="inlineStr">
        <is>
          <t>Bokkantlav
Entita
Korallticka
Brandticka
Mandelriska
Rostfläck</t>
        </is>
      </c>
      <c r="V22">
        <f>HYPERLINK("https://klasma.github.io/Logging_1080/artfynd/S 3415-2025 artfynd.xlsx", "S 3415-2025")</f>
        <v/>
      </c>
      <c r="W22">
        <f>HYPERLINK("https://klasma.github.io/Logging_1080/kartor/S 3415-2025 karta.png", "S 3415-2025")</f>
        <v/>
      </c>
      <c r="Y22">
        <f>HYPERLINK("https://klasma.github.io/Logging_1080/klagomål/S 3415-2025 FSC-klagomål.docx", "S 3415-2025")</f>
        <v/>
      </c>
      <c r="Z22">
        <f>HYPERLINK("https://klasma.github.io/Logging_1080/klagomålsmail/S 3415-2025 FSC-klagomål mail.docx", "S 3415-2025")</f>
        <v/>
      </c>
      <c r="AA22">
        <f>HYPERLINK("https://klasma.github.io/Logging_1080/tillsyn/S 3415-2025 tillsynsbegäran.docx", "S 3415-2025")</f>
        <v/>
      </c>
      <c r="AB22">
        <f>HYPERLINK("https://klasma.github.io/Logging_1080/tillsynsmail/S 3415-2025 tillsynsbegäran mail.docx", "S 3415-2025")</f>
        <v/>
      </c>
      <c r="AC22">
        <f>HYPERLINK("https://klasma.github.io/Logging_1080/fåglar/S 3415-2025 prioriterade fågelarter.docx", "S 3415-2025")</f>
        <v/>
      </c>
    </row>
    <row r="23" ht="15" customHeight="1">
      <c r="A23" t="inlineStr">
        <is>
          <t>A 11819-2024</t>
        </is>
      </c>
      <c r="B23" t="inlineStr">
        <is>
          <t>avverkningsanmälan</t>
        </is>
      </c>
      <c r="C23" t="inlineStr">
        <is>
          <t>Avverkning för annat ändamål</t>
        </is>
      </c>
      <c r="D23" s="1" t="n">
        <v>45376</v>
      </c>
      <c r="E23" s="1" t="n">
        <v>46216</v>
      </c>
      <c r="F23" t="inlineStr">
        <is>
          <t>BLEKINGE LÄN</t>
        </is>
      </c>
      <c r="G23" t="inlineStr">
        <is>
          <t>KARLSHAMN</t>
        </is>
      </c>
      <c r="I23" t="n">
        <v>2.4</v>
      </c>
      <c r="J23" t="n">
        <v>0</v>
      </c>
      <c r="K23" t="n">
        <v>2</v>
      </c>
      <c r="L23" t="n">
        <v>2</v>
      </c>
      <c r="M23" t="n">
        <v>1</v>
      </c>
      <c r="N23" t="n">
        <v>0</v>
      </c>
      <c r="O23" t="n">
        <v>0</v>
      </c>
      <c r="P23" t="n">
        <v>0</v>
      </c>
      <c r="Q23" t="n">
        <v>3</v>
      </c>
      <c r="R23" t="n">
        <v>1</v>
      </c>
      <c r="S23" t="n">
        <v>5</v>
      </c>
      <c r="T23" t="n">
        <v>5</v>
      </c>
      <c r="U23" s="2" t="inlineStr">
        <is>
          <t>Småvänderot
Lunglav
Ängsmetallvinge
Lönnlav
Platt fjädermossa</t>
        </is>
      </c>
      <c r="V23">
        <f>HYPERLINK("https://klasma.github.io/Logging_1082/artfynd/A 11819-2024 artfynd.xlsx", "A 11819-2024")</f>
        <v/>
      </c>
      <c r="W23">
        <f>HYPERLINK("https://klasma.github.io/Logging_1082/kartor/A 11819-2024 karta.png", "A 11819-2024")</f>
        <v/>
      </c>
      <c r="Y23">
        <f>HYPERLINK("https://klasma.github.io/Logging_1082/klagomål/A 11819-2024 FSC-klagomål.docx", "A 11819-2024")</f>
        <v/>
      </c>
      <c r="Z23">
        <f>HYPERLINK("https://klasma.github.io/Logging_1082/klagomålsmail/A 11819-2024 FSC-klagomål mail.docx", "A 11819-2024")</f>
        <v/>
      </c>
      <c r="AA23">
        <f>HYPERLINK("https://klasma.github.io/Logging_1082/tillsyn/A 11819-2024 tillsynsbegäran.docx", "A 11819-2024")</f>
        <v/>
      </c>
      <c r="AB23">
        <f>HYPERLINK("https://klasma.github.io/Logging_1082/tillsynsmail/A 11819-2024 tillsynsbegäran mail.docx", "A 11819-2024")</f>
        <v/>
      </c>
    </row>
    <row r="24" ht="15" customHeight="1">
      <c r="A24" t="inlineStr">
        <is>
          <t>A 46709-2021</t>
        </is>
      </c>
      <c r="B24" t="inlineStr">
        <is>
          <t>avverkningsanmälan</t>
        </is>
      </c>
      <c r="C24" t="inlineStr">
        <is>
          <t>Föryngringsavverkning</t>
        </is>
      </c>
      <c r="D24" s="1" t="n">
        <v>44445</v>
      </c>
      <c r="E24" s="1" t="n">
        <v>46216</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s="2" t="inlineStr">
        <is>
          <t>Ask
Skogsalm
Vippärt
Lönnlav
Skinnlav</t>
        </is>
      </c>
      <c r="V24">
        <f>HYPERLINK("https://klasma.github.io/Logging_1080/artfynd/A 46709-2021 artfynd.xlsx", "A 46709-2021")</f>
        <v/>
      </c>
      <c r="W24">
        <f>HYPERLINK("https://klasma.github.io/Logging_1080/kartor/A 46709-2021 karta.png", "A 46709-2021")</f>
        <v/>
      </c>
      <c r="Y24">
        <f>HYPERLINK("https://klasma.github.io/Logging_1080/klagomål/A 46709-2021 FSC-klagomål.docx", "A 46709-2021")</f>
        <v/>
      </c>
      <c r="Z24">
        <f>HYPERLINK("https://klasma.github.io/Logging_1080/klagomålsmail/A 46709-2021 FSC-klagomål mail.docx", "A 46709-2021")</f>
        <v/>
      </c>
      <c r="AA24">
        <f>HYPERLINK("https://klasma.github.io/Logging_1080/tillsyn/A 46709-2021 tillsynsbegäran.docx", "A 46709-2021")</f>
        <v/>
      </c>
      <c r="AB24">
        <f>HYPERLINK("https://klasma.github.io/Logging_1080/tillsynsmail/A 46709-2021 tillsynsbegäran mail.docx", "A 46709-2021")</f>
        <v/>
      </c>
    </row>
    <row r="25" ht="15" customHeight="1">
      <c r="A25" t="inlineStr">
        <is>
          <t>A 26956-2023</t>
        </is>
      </c>
      <c r="B25" t="inlineStr">
        <is>
          <t>avverkningsanmälan</t>
        </is>
      </c>
      <c r="C25" t="inlineStr">
        <is>
          <t>Föryngringsavverkning</t>
        </is>
      </c>
      <c r="D25" s="1" t="n">
        <v>45093</v>
      </c>
      <c r="E25" s="1" t="n">
        <v>46216</v>
      </c>
      <c r="F25" t="inlineStr">
        <is>
          <t>BLEKINGE LÄN</t>
        </is>
      </c>
      <c r="G25" t="inlineStr">
        <is>
          <t>RONNEBY</t>
        </is>
      </c>
      <c r="I25" t="n">
        <v>5.1</v>
      </c>
      <c r="J25" t="n">
        <v>3</v>
      </c>
      <c r="K25" t="n">
        <v>1</v>
      </c>
      <c r="L25" t="n">
        <v>2</v>
      </c>
      <c r="M25" t="n">
        <v>1</v>
      </c>
      <c r="N25" t="n">
        <v>0</v>
      </c>
      <c r="O25" t="n">
        <v>0</v>
      </c>
      <c r="P25" t="n">
        <v>0</v>
      </c>
      <c r="Q25" t="n">
        <v>3</v>
      </c>
      <c r="R25" t="n">
        <v>1</v>
      </c>
      <c r="S25" t="n">
        <v>5</v>
      </c>
      <c r="T25" t="n">
        <v>7</v>
      </c>
      <c r="U25" s="2" t="inlineStr">
        <is>
          <t>Sandödla
Grönhjon
Molnfläcksbock
Ekoxe
Blåsippa</t>
        </is>
      </c>
      <c r="V25">
        <f>HYPERLINK("https://klasma.github.io/Logging_1081/artfynd/A 26956-2023 artfynd.xlsx", "A 26956-2023")</f>
        <v/>
      </c>
      <c r="W25">
        <f>HYPERLINK("https://klasma.github.io/Logging_1081/kartor/A 26956-2023 karta.png", "A 26956-2023")</f>
        <v/>
      </c>
      <c r="Y25">
        <f>HYPERLINK("https://klasma.github.io/Logging_1081/klagomål/A 26956-2023 FSC-klagomål.docx", "A 26956-2023")</f>
        <v/>
      </c>
      <c r="Z25">
        <f>HYPERLINK("https://klasma.github.io/Logging_1081/klagomålsmail/A 26956-2023 FSC-klagomål mail.docx", "A 26956-2023")</f>
        <v/>
      </c>
      <c r="AA25">
        <f>HYPERLINK("https://klasma.github.io/Logging_1081/tillsyn/A 26956-2023 tillsynsbegäran.docx", "A 26956-2023")</f>
        <v/>
      </c>
      <c r="AB25">
        <f>HYPERLINK("https://klasma.github.io/Logging_1081/tillsynsmail/A 26956-2023 tillsynsbegäran mail.docx", "A 26956-2023")</f>
        <v/>
      </c>
    </row>
    <row r="26" ht="15" customHeight="1">
      <c r="A26" t="inlineStr">
        <is>
          <t>A 37860-2025</t>
        </is>
      </c>
      <c r="B26" t="inlineStr">
        <is>
          <t>avverkningsanmälan</t>
        </is>
      </c>
      <c r="C26" t="inlineStr">
        <is>
          <t>Föryngringsavverkning</t>
        </is>
      </c>
      <c r="D26" s="1" t="n">
        <v>45881</v>
      </c>
      <c r="E26" s="1" t="n">
        <v>46216</v>
      </c>
      <c r="F26" t="inlineStr">
        <is>
          <t>BLEKINGE LÄN</t>
        </is>
      </c>
      <c r="G26" t="inlineStr">
        <is>
          <t>OLOFSTRÖM</t>
        </is>
      </c>
      <c r="H26" t="inlineStr">
        <is>
          <t>Övriga Aktiebolag</t>
        </is>
      </c>
      <c r="I26" t="n">
        <v>2.2</v>
      </c>
      <c r="J26" t="n">
        <v>0</v>
      </c>
      <c r="K26" t="n">
        <v>1</v>
      </c>
      <c r="L26" t="n">
        <v>0</v>
      </c>
      <c r="M26" t="n">
        <v>0</v>
      </c>
      <c r="N26" t="n">
        <v>0</v>
      </c>
      <c r="O26" t="n">
        <v>0</v>
      </c>
      <c r="P26" t="n">
        <v>0</v>
      </c>
      <c r="Q26" t="n">
        <v>0</v>
      </c>
      <c r="R26" t="n">
        <v>0</v>
      </c>
      <c r="S26" t="n">
        <v>5</v>
      </c>
      <c r="T26" t="n">
        <v>7</v>
      </c>
      <c r="U26" s="2" t="inlineStr">
        <is>
          <t>Rostfläck
Ekbräken
Glansfläck
Liljekonvalj
Skriftlav</t>
        </is>
      </c>
      <c r="V26">
        <f>HYPERLINK("https://klasma.github.io/Logging_1060/artfynd/A 37860-2025 artfynd.xlsx", "A 37860-2025")</f>
        <v/>
      </c>
      <c r="W26">
        <f>HYPERLINK("https://klasma.github.io/Logging_1060/kartor/A 37860-2025 karta.png", "A 37860-2025")</f>
        <v/>
      </c>
      <c r="Y26">
        <f>HYPERLINK("https://klasma.github.io/Logging_1060/klagomål/A 37860-2025 FSC-klagomål.docx", "A 37860-2025")</f>
        <v/>
      </c>
      <c r="Z26">
        <f>HYPERLINK("https://klasma.github.io/Logging_1060/klagomålsmail/A 37860-2025 FSC-klagomål mail.docx", "A 37860-2025")</f>
        <v/>
      </c>
      <c r="AA26">
        <f>HYPERLINK("https://klasma.github.io/Logging_1060/tillsyn/A 37860-2025 tillsynsbegäran.docx", "A 37860-2025")</f>
        <v/>
      </c>
      <c r="AB26">
        <f>HYPERLINK("https://klasma.github.io/Logging_1060/tillsynsmail/A 37860-2025 tillsynsbegäran mail.docx", "A 37860-2025")</f>
        <v/>
      </c>
    </row>
    <row r="27" ht="15" customHeight="1">
      <c r="A27" t="inlineStr">
        <is>
          <t>A 43609-2025</t>
        </is>
      </c>
      <c r="B27" t="inlineStr">
        <is>
          <t>avverkningsanmälan</t>
        </is>
      </c>
      <c r="C27" t="inlineStr">
        <is>
          <t>Avverkning för att bevara och utveckla /försöksver</t>
        </is>
      </c>
      <c r="D27" s="1" t="n">
        <v>45911</v>
      </c>
      <c r="E27" s="1" t="n">
        <v>46216</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s="2" t="inlineStr">
        <is>
          <t>Gammelekslav
Liten sönderfallslav
Rosa skärelav
Grå skärelav
Rostfläck</t>
        </is>
      </c>
      <c r="V27">
        <f>HYPERLINK("https://klasma.github.io/Logging_1080/artfynd/A 43609-2025 artfynd.xlsx", "A 43609-2025")</f>
        <v/>
      </c>
      <c r="W27">
        <f>HYPERLINK("https://klasma.github.io/Logging_1080/kartor/A 43609-2025 karta.png", "A 43609-2025")</f>
        <v/>
      </c>
      <c r="Y27">
        <f>HYPERLINK("https://klasma.github.io/Logging_1080/klagomål/A 43609-2025 FSC-klagomål.docx", "A 43609-2025")</f>
        <v/>
      </c>
      <c r="Z27">
        <f>HYPERLINK("https://klasma.github.io/Logging_1080/klagomålsmail/A 43609-2025 FSC-klagomål mail.docx", "A 43609-2025")</f>
        <v/>
      </c>
      <c r="AA27">
        <f>HYPERLINK("https://klasma.github.io/Logging_1080/tillsyn/A 43609-2025 tillsynsbegäran.docx", "A 43609-2025")</f>
        <v/>
      </c>
      <c r="AB27">
        <f>HYPERLINK("https://klasma.github.io/Logging_1080/tillsynsmail/A 43609-2025 tillsynsbegäran mail.docx", "A 43609-2025")</f>
        <v/>
      </c>
    </row>
    <row r="28" ht="15" customHeight="1">
      <c r="A28" t="inlineStr">
        <is>
          <t>A 28588-2023</t>
        </is>
      </c>
      <c r="B28" t="inlineStr">
        <is>
          <t>avverkningsanmälan</t>
        </is>
      </c>
      <c r="C28" t="inlineStr">
        <is>
          <t>Föryngringsavverkning</t>
        </is>
      </c>
      <c r="D28" s="1" t="n">
        <v>45103</v>
      </c>
      <c r="E28" s="1" t="n">
        <v>46216</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s="2" t="inlineStr">
        <is>
          <t>Rosa lundlav
Ekskinn
Fällmossa
Guldlockmossa
Lönnlav</t>
        </is>
      </c>
      <c r="V28">
        <f>HYPERLINK("https://klasma.github.io/Logging_1081/artfynd/A 28588-2023 artfynd.xlsx", "A 28588-2023")</f>
        <v/>
      </c>
      <c r="W28">
        <f>HYPERLINK("https://klasma.github.io/Logging_1081/kartor/A 28588-2023 karta.png", "A 28588-2023")</f>
        <v/>
      </c>
      <c r="Y28">
        <f>HYPERLINK("https://klasma.github.io/Logging_1081/klagomål/A 28588-2023 FSC-klagomål.docx", "A 28588-2023")</f>
        <v/>
      </c>
      <c r="Z28">
        <f>HYPERLINK("https://klasma.github.io/Logging_1081/klagomålsmail/A 28588-2023 FSC-klagomål mail.docx", "A 28588-2023")</f>
        <v/>
      </c>
      <c r="AA28">
        <f>HYPERLINK("https://klasma.github.io/Logging_1081/tillsyn/A 28588-2023 tillsynsbegäran.docx", "A 28588-2023")</f>
        <v/>
      </c>
      <c r="AB28">
        <f>HYPERLINK("https://klasma.github.io/Logging_1081/tillsynsmail/A 28588-2023 tillsynsbegäran mail.docx", "A 28588-2023")</f>
        <v/>
      </c>
    </row>
    <row r="29" ht="15" customHeight="1">
      <c r="A29" t="inlineStr">
        <is>
          <t>A 2368-2024</t>
        </is>
      </c>
      <c r="B29" t="inlineStr">
        <is>
          <t>avverkningsanmälan</t>
        </is>
      </c>
      <c r="C29" t="inlineStr">
        <is>
          <t>Föryngringsavverkning</t>
        </is>
      </c>
      <c r="D29" s="1" t="n">
        <v>45310</v>
      </c>
      <c r="E29" s="1" t="n">
        <v>46216</v>
      </c>
      <c r="F29" t="inlineStr">
        <is>
          <t>BLEKINGE LÄN</t>
        </is>
      </c>
      <c r="G29" t="inlineStr">
        <is>
          <t>KARLSHAMN</t>
        </is>
      </c>
      <c r="H29" t="inlineStr">
        <is>
          <t>Kommuner</t>
        </is>
      </c>
      <c r="I29" t="n">
        <v>7.9</v>
      </c>
      <c r="J29" t="n">
        <v>2</v>
      </c>
      <c r="K29" t="n">
        <v>2</v>
      </c>
      <c r="L29" t="n">
        <v>1</v>
      </c>
      <c r="M29" t="n">
        <v>1</v>
      </c>
      <c r="N29" t="n">
        <v>0</v>
      </c>
      <c r="O29" t="n">
        <v>0</v>
      </c>
      <c r="P29" t="n">
        <v>0</v>
      </c>
      <c r="Q29" t="n">
        <v>2</v>
      </c>
      <c r="R29" t="n">
        <v>1</v>
      </c>
      <c r="S29" t="n">
        <v>5</v>
      </c>
      <c r="T29" t="n">
        <v>5</v>
      </c>
      <c r="U29" s="2" t="inlineStr">
        <is>
          <t>Sandödla
Vitfläckig guldvinge
Guldlockmossa
Klippfrullania
Skogsduva</t>
        </is>
      </c>
      <c r="V29">
        <f>HYPERLINK("https://klasma.github.io/Logging_1082/artfynd/A 2368-2024 artfynd.xlsx", "A 2368-2024")</f>
        <v/>
      </c>
      <c r="W29">
        <f>HYPERLINK("https://klasma.github.io/Logging_1082/kartor/A 2368-2024 karta.png", "A 2368-2024")</f>
        <v/>
      </c>
      <c r="Y29">
        <f>HYPERLINK("https://klasma.github.io/Logging_1082/klagomål/A 2368-2024 FSC-klagomål.docx", "A 2368-2024")</f>
        <v/>
      </c>
      <c r="Z29">
        <f>HYPERLINK("https://klasma.github.io/Logging_1082/klagomålsmail/A 2368-2024 FSC-klagomål mail.docx", "A 2368-2024")</f>
        <v/>
      </c>
      <c r="AA29">
        <f>HYPERLINK("https://klasma.github.io/Logging_1082/tillsyn/A 2368-2024 tillsynsbegäran.docx", "A 2368-2024")</f>
        <v/>
      </c>
      <c r="AB29">
        <f>HYPERLINK("https://klasma.github.io/Logging_1082/tillsynsmail/A 2368-2024 tillsynsbegäran mail.docx", "A 2368-2024")</f>
        <v/>
      </c>
    </row>
    <row r="30" ht="15" customHeight="1">
      <c r="A30" t="inlineStr">
        <is>
          <t>A 27128-2024</t>
        </is>
      </c>
      <c r="B30" t="inlineStr">
        <is>
          <t>avverkningsanmälan</t>
        </is>
      </c>
      <c r="C30" t="inlineStr">
        <is>
          <t>Föryngringsavverkning</t>
        </is>
      </c>
      <c r="D30" s="1" t="n">
        <v>45471</v>
      </c>
      <c r="E30" s="1" t="n">
        <v>46216</v>
      </c>
      <c r="F30" t="inlineStr">
        <is>
          <t>BLEKINGE LÄN</t>
        </is>
      </c>
      <c r="G30" t="inlineStr">
        <is>
          <t>RONNEBY</t>
        </is>
      </c>
      <c r="H30" t="inlineStr">
        <is>
          <t>Övriga Aktiebolag</t>
        </is>
      </c>
      <c r="I30" t="n">
        <v>2.8</v>
      </c>
      <c r="J30" t="n">
        <v>0</v>
      </c>
      <c r="K30" t="n">
        <v>3</v>
      </c>
      <c r="L30" t="n">
        <v>2</v>
      </c>
      <c r="M30" t="n">
        <v>0</v>
      </c>
      <c r="N30" t="n">
        <v>0</v>
      </c>
      <c r="O30" t="n">
        <v>0</v>
      </c>
      <c r="P30" t="n">
        <v>0</v>
      </c>
      <c r="Q30" t="n">
        <v>2</v>
      </c>
      <c r="R30" t="n">
        <v>0</v>
      </c>
      <c r="S30" t="n">
        <v>5</v>
      </c>
      <c r="T30" t="n">
        <v>29</v>
      </c>
      <c r="U30" s="2" t="inlineStr">
        <is>
          <t>Bokkantlav
Bokvårtlav
Fällmossa
Havstulpanlav
Platt fjädermossa</t>
        </is>
      </c>
      <c r="V30">
        <f>HYPERLINK("https://klasma.github.io/Logging_1081/artfynd/A 27128-2024 artfynd.xlsx", "A 27128-2024")</f>
        <v/>
      </c>
      <c r="W30">
        <f>HYPERLINK("https://klasma.github.io/Logging_1081/kartor/A 27128-2024 karta.png", "A 27128-2024")</f>
        <v/>
      </c>
      <c r="Y30">
        <f>HYPERLINK("https://klasma.github.io/Logging_1081/klagomål/A 27128-2024 FSC-klagomål.docx", "A 27128-2024")</f>
        <v/>
      </c>
      <c r="Z30">
        <f>HYPERLINK("https://klasma.github.io/Logging_1081/klagomålsmail/A 27128-2024 FSC-klagomål mail.docx", "A 27128-2024")</f>
        <v/>
      </c>
      <c r="AA30">
        <f>HYPERLINK("https://klasma.github.io/Logging_1081/tillsyn/A 27128-2024 tillsynsbegäran.docx", "A 27128-2024")</f>
        <v/>
      </c>
      <c r="AB30">
        <f>HYPERLINK("https://klasma.github.io/Logging_1081/tillsynsmail/A 27128-2024 tillsynsbegäran mail.docx", "A 27128-2024")</f>
        <v/>
      </c>
    </row>
    <row r="31" ht="15" customHeight="1">
      <c r="A31" t="inlineStr">
        <is>
          <t>S 1357-2022</t>
        </is>
      </c>
      <c r="B31" t="inlineStr">
        <is>
          <t>samrådsanmälan</t>
        </is>
      </c>
      <c r="C31" t="inlineStr">
        <is>
          <t>Åtgärd i nyckelbiotop</t>
        </is>
      </c>
      <c r="D31" s="1" t="n">
        <v>44630</v>
      </c>
      <c r="E31" s="1" t="n">
        <v>46216</v>
      </c>
      <c r="F31" t="inlineStr">
        <is>
          <t>BLEKINGE LÄN</t>
        </is>
      </c>
      <c r="G31" t="inlineStr">
        <is>
          <t>RONNEBY</t>
        </is>
      </c>
      <c r="I31" t="n">
        <v>0.5</v>
      </c>
      <c r="J31" t="n">
        <v>2</v>
      </c>
      <c r="K31" t="n">
        <v>2</v>
      </c>
      <c r="L31" t="n">
        <v>1</v>
      </c>
      <c r="M31" t="n">
        <v>0</v>
      </c>
      <c r="N31" t="n">
        <v>0</v>
      </c>
      <c r="O31" t="n">
        <v>0</v>
      </c>
      <c r="P31" t="n">
        <v>0</v>
      </c>
      <c r="Q31" t="n">
        <v>1</v>
      </c>
      <c r="R31" t="n">
        <v>0</v>
      </c>
      <c r="S31" t="n">
        <v>5</v>
      </c>
      <c r="T31" t="n">
        <v>5</v>
      </c>
      <c r="U31" s="2" t="inlineStr">
        <is>
          <t>Dunmossa
Blåsfliksmossa
Västlig hakmossa
Blåsippa
Utter</t>
        </is>
      </c>
      <c r="V31">
        <f>HYPERLINK("https://klasma.github.io/Logging_1081/artfynd/S 1357-2022 artfynd.xlsx", "S 1357-2022")</f>
        <v/>
      </c>
      <c r="W31">
        <f>HYPERLINK("https://klasma.github.io/Logging_1081/kartor/S 1357-2022 karta.png", "S 1357-2022")</f>
        <v/>
      </c>
      <c r="Y31">
        <f>HYPERLINK("https://klasma.github.io/Logging_1081/klagomål/S 1357-2022 FSC-klagomål.docx", "S 1357-2022")</f>
        <v/>
      </c>
      <c r="Z31">
        <f>HYPERLINK("https://klasma.github.io/Logging_1081/klagomålsmail/S 1357-2022 FSC-klagomål mail.docx", "S 1357-2022")</f>
        <v/>
      </c>
      <c r="AA31">
        <f>HYPERLINK("https://klasma.github.io/Logging_1081/tillsyn/S 1357-2022 tillsynsbegäran.docx", "S 1357-2022")</f>
        <v/>
      </c>
      <c r="AB31">
        <f>HYPERLINK("https://klasma.github.io/Logging_1081/tillsynsmail/S 1357-2022 tillsynsbegäran mail.docx", "S 1357-2022")</f>
        <v/>
      </c>
    </row>
    <row r="32" ht="15" customHeight="1">
      <c r="A32" t="inlineStr">
        <is>
          <t>S 8564-2021</t>
        </is>
      </c>
      <c r="B32" t="inlineStr">
        <is>
          <t>samrådsanmälan</t>
        </is>
      </c>
      <c r="C32" t="inlineStr">
        <is>
          <t>Åtgärd i nyckelbiotop</t>
        </is>
      </c>
      <c r="D32" s="1" t="n">
        <v>44497</v>
      </c>
      <c r="E32" s="1" t="n">
        <v>46216</v>
      </c>
      <c r="F32" t="inlineStr">
        <is>
          <t>BLEKINGE LÄN</t>
        </is>
      </c>
      <c r="G32" t="inlineStr">
        <is>
          <t>KARLSHAMN</t>
        </is>
      </c>
      <c r="I32" t="n">
        <v>19.8</v>
      </c>
      <c r="J32" t="n">
        <v>0</v>
      </c>
      <c r="K32" t="n">
        <v>4</v>
      </c>
      <c r="L32" t="n">
        <v>1</v>
      </c>
      <c r="M32" t="n">
        <v>0</v>
      </c>
      <c r="N32" t="n">
        <v>0</v>
      </c>
      <c r="O32" t="n">
        <v>0</v>
      </c>
      <c r="P32" t="n">
        <v>0</v>
      </c>
      <c r="Q32" t="n">
        <v>1</v>
      </c>
      <c r="R32" t="n">
        <v>0</v>
      </c>
      <c r="S32" t="n">
        <v>5</v>
      </c>
      <c r="T32" t="n">
        <v>5</v>
      </c>
      <c r="U32" s="2" t="inlineStr">
        <is>
          <t>Svart skogssnigel
Blåmossa
Brandticka
Flagellkvastmossa
Västlig hakmossa</t>
        </is>
      </c>
      <c r="V32">
        <f>HYPERLINK("https://klasma.github.io/Logging_1082/artfynd/S 8564-2021 artfynd.xlsx", "S 8564-2021")</f>
        <v/>
      </c>
      <c r="W32">
        <f>HYPERLINK("https://klasma.github.io/Logging_1082/kartor/S 8564-2021 karta.png", "S 8564-2021")</f>
        <v/>
      </c>
      <c r="Y32">
        <f>HYPERLINK("https://klasma.github.io/Logging_1082/klagomål/S 8564-2021 FSC-klagomål.docx", "S 8564-2021")</f>
        <v/>
      </c>
      <c r="Z32">
        <f>HYPERLINK("https://klasma.github.io/Logging_1082/klagomålsmail/S 8564-2021 FSC-klagomål mail.docx", "S 8564-2021")</f>
        <v/>
      </c>
      <c r="AA32">
        <f>HYPERLINK("https://klasma.github.io/Logging_1082/tillsyn/S 8564-2021 tillsynsbegäran.docx", "S 8564-2021")</f>
        <v/>
      </c>
      <c r="AB32">
        <f>HYPERLINK("https://klasma.github.io/Logging_1082/tillsynsmail/S 8564-2021 tillsynsbegäran mail.docx", "S 8564-2021")</f>
        <v/>
      </c>
    </row>
    <row r="33" ht="15" customHeight="1">
      <c r="A33" t="inlineStr">
        <is>
          <t>S 8169-2021</t>
        </is>
      </c>
      <c r="B33" t="inlineStr">
        <is>
          <t>samrådsanmälan</t>
        </is>
      </c>
      <c r="C33" t="inlineStr">
        <is>
          <t>Annan skogsbruksåtgärd</t>
        </is>
      </c>
      <c r="D33" s="1" t="n">
        <v>44490</v>
      </c>
      <c r="E33" s="1" t="n">
        <v>46216</v>
      </c>
      <c r="F33" t="inlineStr">
        <is>
          <t>BLEKINGE LÄN</t>
        </is>
      </c>
      <c r="G33" t="inlineStr">
        <is>
          <t>KARLSKRONA</t>
        </is>
      </c>
      <c r="H33" t="inlineStr">
        <is>
          <t>Kommuner</t>
        </is>
      </c>
      <c r="I33" t="n">
        <v>13.8</v>
      </c>
      <c r="J33" t="n">
        <v>2</v>
      </c>
      <c r="K33" t="n">
        <v>1</v>
      </c>
      <c r="L33" t="n">
        <v>2</v>
      </c>
      <c r="M33" t="n">
        <v>1</v>
      </c>
      <c r="N33" t="n">
        <v>1</v>
      </c>
      <c r="O33" t="n">
        <v>0</v>
      </c>
      <c r="P33" t="n">
        <v>0</v>
      </c>
      <c r="Q33" t="n">
        <v>4</v>
      </c>
      <c r="R33" t="n">
        <v>2</v>
      </c>
      <c r="S33" t="n">
        <v>5</v>
      </c>
      <c r="T33" t="n">
        <v>5</v>
      </c>
      <c r="U33" s="2" t="inlineStr">
        <is>
          <t>Hornuggla
Bokblombock
Gråbandad trägnagare
Slåtterfibbla
Ekoxe</t>
        </is>
      </c>
      <c r="V33">
        <f>HYPERLINK("https://klasma.github.io/Logging_1080/artfynd/S 8169-2021 artfynd.xlsx", "S 8169-2021")</f>
        <v/>
      </c>
      <c r="W33">
        <f>HYPERLINK("https://klasma.github.io/Logging_1080/kartor/S 8169-2021 karta.png", "S 8169-2021")</f>
        <v/>
      </c>
      <c r="Y33">
        <f>HYPERLINK("https://klasma.github.io/Logging_1080/klagomål/S 8169-2021 FSC-klagomål.docx", "S 8169-2021")</f>
        <v/>
      </c>
      <c r="Z33">
        <f>HYPERLINK("https://klasma.github.io/Logging_1080/klagomålsmail/S 8169-2021 FSC-klagomål mail.docx", "S 8169-2021")</f>
        <v/>
      </c>
      <c r="AA33">
        <f>HYPERLINK("https://klasma.github.io/Logging_1080/tillsyn/S 8169-2021 tillsynsbegäran.docx", "S 8169-2021")</f>
        <v/>
      </c>
      <c r="AB33">
        <f>HYPERLINK("https://klasma.github.io/Logging_1080/tillsynsmail/S 8169-2021 tillsynsbegäran mail.docx", "S 8169-2021")</f>
        <v/>
      </c>
      <c r="AC33">
        <f>HYPERLINK("https://klasma.github.io/Logging_1080/fåglar/S 8169-2021 prioriterade fågelarter.docx", "S 8169-2021")</f>
        <v/>
      </c>
    </row>
    <row r="34" ht="15" customHeight="1">
      <c r="A34" t="inlineStr">
        <is>
          <t>A 46168-2021</t>
        </is>
      </c>
      <c r="B34" t="inlineStr">
        <is>
          <t>avverkningsanmälan</t>
        </is>
      </c>
      <c r="C34" t="inlineStr">
        <is>
          <t>Föryngringsavverkning</t>
        </is>
      </c>
      <c r="D34" s="1" t="n">
        <v>44442</v>
      </c>
      <c r="E34" s="1" t="n">
        <v>46216</v>
      </c>
      <c r="F34" t="inlineStr">
        <is>
          <t>BLEKINGE LÄN</t>
        </is>
      </c>
      <c r="G34" t="inlineStr">
        <is>
          <t>OLOFSTRÖM</t>
        </is>
      </c>
      <c r="H34" t="inlineStr">
        <is>
          <t>Sveaskog</t>
        </is>
      </c>
      <c r="I34" t="n">
        <v>3.3</v>
      </c>
      <c r="J34" t="n">
        <v>1</v>
      </c>
      <c r="K34" t="n">
        <v>1</v>
      </c>
      <c r="L34" t="n">
        <v>1</v>
      </c>
      <c r="M34" t="n">
        <v>2</v>
      </c>
      <c r="N34" t="n">
        <v>0</v>
      </c>
      <c r="O34" t="n">
        <v>0</v>
      </c>
      <c r="P34" t="n">
        <v>0</v>
      </c>
      <c r="Q34" t="n">
        <v>3</v>
      </c>
      <c r="R34" t="n">
        <v>2</v>
      </c>
      <c r="S34" t="n">
        <v>4</v>
      </c>
      <c r="T34" t="n">
        <v>6</v>
      </c>
      <c r="U34" s="2" t="inlineStr">
        <is>
          <t>Krypfloka
Sjötåtel
Brunag
Blåsfliksmossa</t>
        </is>
      </c>
      <c r="V34">
        <f>HYPERLINK("https://klasma.github.io/Logging_1060/artfynd/A 46168-2021 artfynd.xlsx", "A 46168-2021")</f>
        <v/>
      </c>
      <c r="W34">
        <f>HYPERLINK("https://klasma.github.io/Logging_1060/kartor/A 46168-2021 karta.png", "A 46168-2021")</f>
        <v/>
      </c>
      <c r="Y34">
        <f>HYPERLINK("https://klasma.github.io/Logging_1060/klagomål/A 46168-2021 FSC-klagomål.docx", "A 46168-2021")</f>
        <v/>
      </c>
      <c r="Z34">
        <f>HYPERLINK("https://klasma.github.io/Logging_1060/klagomålsmail/A 46168-2021 FSC-klagomål mail.docx", "A 46168-2021")</f>
        <v/>
      </c>
      <c r="AA34">
        <f>HYPERLINK("https://klasma.github.io/Logging_1060/tillsyn/A 46168-2021 tillsynsbegäran.docx", "A 46168-2021")</f>
        <v/>
      </c>
      <c r="AB34">
        <f>HYPERLINK("https://klasma.github.io/Logging_1060/tillsynsmail/A 46168-2021 tillsynsbegäran mail.docx", "A 46168-2021")</f>
        <v/>
      </c>
    </row>
    <row r="35" ht="15" customHeight="1">
      <c r="A35" t="inlineStr">
        <is>
          <t>A 45017-2025</t>
        </is>
      </c>
      <c r="B35" t="inlineStr">
        <is>
          <t>avverkningsanmälan</t>
        </is>
      </c>
      <c r="C35" t="inlineStr">
        <is>
          <t>Föryngringsavverkning</t>
        </is>
      </c>
      <c r="D35" s="1" t="n">
        <v>45918</v>
      </c>
      <c r="E35" s="1" t="n">
        <v>46216</v>
      </c>
      <c r="F35" t="inlineStr">
        <is>
          <t>BLEKINGE LÄN</t>
        </is>
      </c>
      <c r="G35" t="inlineStr">
        <is>
          <t>KARLSKRONA</t>
        </is>
      </c>
      <c r="I35" t="n">
        <v>3.7</v>
      </c>
      <c r="J35" t="n">
        <v>2</v>
      </c>
      <c r="K35" t="n">
        <v>0</v>
      </c>
      <c r="L35" t="n">
        <v>2</v>
      </c>
      <c r="M35" t="n">
        <v>0</v>
      </c>
      <c r="N35" t="n">
        <v>0</v>
      </c>
      <c r="O35" t="n">
        <v>0</v>
      </c>
      <c r="P35" t="n">
        <v>0</v>
      </c>
      <c r="Q35" t="n">
        <v>2</v>
      </c>
      <c r="R35" t="n">
        <v>0</v>
      </c>
      <c r="S35" t="n">
        <v>4</v>
      </c>
      <c r="T35" t="n">
        <v>4</v>
      </c>
      <c r="U35" s="2" t="inlineStr">
        <is>
          <t>Jungfrulin
Solvända
Större vattensalamander
Fläcknycklar</t>
        </is>
      </c>
      <c r="V35">
        <f>HYPERLINK("https://klasma.github.io/Logging_1080/artfynd/A 45017-2025 artfynd.xlsx", "A 45017-2025")</f>
        <v/>
      </c>
      <c r="W35">
        <f>HYPERLINK("https://klasma.github.io/Logging_1080/kartor/A 45017-2025 karta.png", "A 45017-2025")</f>
        <v/>
      </c>
      <c r="Y35">
        <f>HYPERLINK("https://klasma.github.io/Logging_1080/klagomål/A 45017-2025 FSC-klagomål.docx", "A 45017-2025")</f>
        <v/>
      </c>
      <c r="Z35">
        <f>HYPERLINK("https://klasma.github.io/Logging_1080/klagomålsmail/A 45017-2025 FSC-klagomål mail.docx", "A 45017-2025")</f>
        <v/>
      </c>
      <c r="AA35">
        <f>HYPERLINK("https://klasma.github.io/Logging_1080/tillsyn/A 45017-2025 tillsynsbegäran.docx", "A 45017-2025")</f>
        <v/>
      </c>
      <c r="AB35">
        <f>HYPERLINK("https://klasma.github.io/Logging_1080/tillsynsmail/A 45017-2025 tillsynsbegäran mail.docx", "A 45017-2025")</f>
        <v/>
      </c>
    </row>
    <row r="36" ht="15" customHeight="1">
      <c r="A36" t="inlineStr">
        <is>
          <t>A 59134-2025</t>
        </is>
      </c>
      <c r="B36" t="inlineStr">
        <is>
          <t>avverkningsanmälan</t>
        </is>
      </c>
      <c r="C36" t="inlineStr">
        <is>
          <t>Föryngringsavverkning</t>
        </is>
      </c>
      <c r="D36" s="1" t="n">
        <v>45988</v>
      </c>
      <c r="E36" s="1" t="n">
        <v>46216</v>
      </c>
      <c r="F36" t="inlineStr">
        <is>
          <t>BLEKINGE LÄN</t>
        </is>
      </c>
      <c r="G36" t="inlineStr">
        <is>
          <t>KARLSKRONA</t>
        </is>
      </c>
      <c r="I36" t="n">
        <v>0.4</v>
      </c>
      <c r="J36" t="n">
        <v>0</v>
      </c>
      <c r="K36" t="n">
        <v>4</v>
      </c>
      <c r="L36" t="n">
        <v>0</v>
      </c>
      <c r="M36" t="n">
        <v>0</v>
      </c>
      <c r="N36" t="n">
        <v>0</v>
      </c>
      <c r="O36" t="n">
        <v>0</v>
      </c>
      <c r="P36" t="n">
        <v>0</v>
      </c>
      <c r="Q36" t="n">
        <v>0</v>
      </c>
      <c r="R36" t="n">
        <v>0</v>
      </c>
      <c r="S36" t="n">
        <v>4</v>
      </c>
      <c r="T36" t="n">
        <v>4</v>
      </c>
      <c r="U36" s="2" t="inlineStr">
        <is>
          <t>Fällmossa
Guldlockmossa
Havstulpanlav
Platt fjädermossa</t>
        </is>
      </c>
      <c r="V36">
        <f>HYPERLINK("https://klasma.github.io/Logging_1080/artfynd/A 59134-2025 artfynd.xlsx", "A 59134-2025")</f>
        <v/>
      </c>
      <c r="W36">
        <f>HYPERLINK("https://klasma.github.io/Logging_1080/kartor/A 59134-2025 karta.png", "A 59134-2025")</f>
        <v/>
      </c>
      <c r="Y36">
        <f>HYPERLINK("https://klasma.github.io/Logging_1080/klagomål/A 59134-2025 FSC-klagomål.docx", "A 59134-2025")</f>
        <v/>
      </c>
      <c r="Z36">
        <f>HYPERLINK("https://klasma.github.io/Logging_1080/klagomålsmail/A 59134-2025 FSC-klagomål mail.docx", "A 59134-2025")</f>
        <v/>
      </c>
      <c r="AA36">
        <f>HYPERLINK("https://klasma.github.io/Logging_1080/tillsyn/A 59134-2025 tillsynsbegäran.docx", "A 59134-2025")</f>
        <v/>
      </c>
      <c r="AB36">
        <f>HYPERLINK("https://klasma.github.io/Logging_1080/tillsynsmail/A 59134-2025 tillsynsbegäran mail.docx", "A 59134-2025")</f>
        <v/>
      </c>
    </row>
    <row r="37" ht="15" customHeight="1">
      <c r="A37" t="inlineStr">
        <is>
          <t>A 42540-2025</t>
        </is>
      </c>
      <c r="B37" t="inlineStr">
        <is>
          <t>avverkningsanmälan</t>
        </is>
      </c>
      <c r="C37" t="inlineStr">
        <is>
          <t>Föryngringsavverkning</t>
        </is>
      </c>
      <c r="D37" s="1" t="n">
        <v>45905</v>
      </c>
      <c r="E37" s="1" t="n">
        <v>46216</v>
      </c>
      <c r="F37" t="inlineStr">
        <is>
          <t>BLEKINGE LÄN</t>
        </is>
      </c>
      <c r="G37" t="inlineStr">
        <is>
          <t>KARLSKRONA</t>
        </is>
      </c>
      <c r="H37" t="inlineStr">
        <is>
          <t>Kommuner</t>
        </is>
      </c>
      <c r="I37" t="n">
        <v>2.9</v>
      </c>
      <c r="J37" t="n">
        <v>1</v>
      </c>
      <c r="K37" t="n">
        <v>2</v>
      </c>
      <c r="L37" t="n">
        <v>0</v>
      </c>
      <c r="M37" t="n">
        <v>2</v>
      </c>
      <c r="N37" t="n">
        <v>0</v>
      </c>
      <c r="O37" t="n">
        <v>0</v>
      </c>
      <c r="P37" t="n">
        <v>0</v>
      </c>
      <c r="Q37" t="n">
        <v>2</v>
      </c>
      <c r="R37" t="n">
        <v>2</v>
      </c>
      <c r="S37" t="n">
        <v>4</v>
      </c>
      <c r="T37" t="n">
        <v>4</v>
      </c>
      <c r="U37" s="2" t="inlineStr">
        <is>
          <t>Igelkott
Nötkörvel
Ekoxe
Fjällig jordtunga</t>
        </is>
      </c>
      <c r="V37">
        <f>HYPERLINK("https://klasma.github.io/Logging_1080/artfynd/A 42540-2025 artfynd.xlsx", "A 42540-2025")</f>
        <v/>
      </c>
      <c r="W37">
        <f>HYPERLINK("https://klasma.github.io/Logging_1080/kartor/A 42540-2025 karta.png", "A 42540-2025")</f>
        <v/>
      </c>
      <c r="Y37">
        <f>HYPERLINK("https://klasma.github.io/Logging_1080/klagomål/A 42540-2025 FSC-klagomål.docx", "A 42540-2025")</f>
        <v/>
      </c>
      <c r="Z37">
        <f>HYPERLINK("https://klasma.github.io/Logging_1080/klagomålsmail/A 42540-2025 FSC-klagomål mail.docx", "A 42540-2025")</f>
        <v/>
      </c>
      <c r="AA37">
        <f>HYPERLINK("https://klasma.github.io/Logging_1080/tillsyn/A 42540-2025 tillsynsbegäran.docx", "A 42540-2025")</f>
        <v/>
      </c>
      <c r="AB37">
        <f>HYPERLINK("https://klasma.github.io/Logging_1080/tillsynsmail/A 42540-2025 tillsynsbegäran mail.docx", "A 42540-2025")</f>
        <v/>
      </c>
    </row>
    <row r="38" ht="15" customHeight="1">
      <c r="A38" t="inlineStr">
        <is>
          <t>A 30508-2022</t>
        </is>
      </c>
      <c r="B38" t="inlineStr">
        <is>
          <t>avverkningsanmälan</t>
        </is>
      </c>
      <c r="C38" t="inlineStr">
        <is>
          <t>Föryngringsavverkning</t>
        </is>
      </c>
      <c r="D38" s="1" t="n">
        <v>44762</v>
      </c>
      <c r="E38" s="1" t="n">
        <v>46216</v>
      </c>
      <c r="F38" t="inlineStr">
        <is>
          <t>BLEKINGE LÄN</t>
        </is>
      </c>
      <c r="G38" t="inlineStr">
        <is>
          <t>RONNEBY</t>
        </is>
      </c>
      <c r="H38" t="inlineStr">
        <is>
          <t>Övriga Aktiebolag</t>
        </is>
      </c>
      <c r="I38" t="n">
        <v>6.7</v>
      </c>
      <c r="J38" t="n">
        <v>1</v>
      </c>
      <c r="K38" t="n">
        <v>2</v>
      </c>
      <c r="L38" t="n">
        <v>1</v>
      </c>
      <c r="M38" t="n">
        <v>0</v>
      </c>
      <c r="N38" t="n">
        <v>0</v>
      </c>
      <c r="O38" t="n">
        <v>0</v>
      </c>
      <c r="P38" t="n">
        <v>0</v>
      </c>
      <c r="Q38" t="n">
        <v>1</v>
      </c>
      <c r="R38" t="n">
        <v>0</v>
      </c>
      <c r="S38" t="n">
        <v>4</v>
      </c>
      <c r="T38" t="n">
        <v>5</v>
      </c>
      <c r="U38" s="2" t="inlineStr">
        <is>
          <t>Puderfläck
Fällmossa
Rostfläck
Blåsippa</t>
        </is>
      </c>
      <c r="V38">
        <f>HYPERLINK("https://klasma.github.io/Logging_1081/artfynd/A 30508-2022 artfynd.xlsx", "A 30508-2022")</f>
        <v/>
      </c>
      <c r="W38">
        <f>HYPERLINK("https://klasma.github.io/Logging_1081/kartor/A 30508-2022 karta.png", "A 30508-2022")</f>
        <v/>
      </c>
      <c r="Y38">
        <f>HYPERLINK("https://klasma.github.io/Logging_1081/klagomål/A 30508-2022 FSC-klagomål.docx", "A 30508-2022")</f>
        <v/>
      </c>
      <c r="Z38">
        <f>HYPERLINK("https://klasma.github.io/Logging_1081/klagomålsmail/A 30508-2022 FSC-klagomål mail.docx", "A 30508-2022")</f>
        <v/>
      </c>
      <c r="AA38">
        <f>HYPERLINK("https://klasma.github.io/Logging_1081/tillsyn/A 30508-2022 tillsynsbegäran.docx", "A 30508-2022")</f>
        <v/>
      </c>
      <c r="AB38">
        <f>HYPERLINK("https://klasma.github.io/Logging_1081/tillsynsmail/A 30508-2022 tillsynsbegäran mail.docx", "A 30508-2022")</f>
        <v/>
      </c>
    </row>
    <row r="39" ht="15" customHeight="1">
      <c r="A39" t="inlineStr">
        <is>
          <t>A 43789-2023</t>
        </is>
      </c>
      <c r="B39" t="inlineStr">
        <is>
          <t>avverkningsanmälan</t>
        </is>
      </c>
      <c r="C39" t="inlineStr">
        <is>
          <t>Föryngringsavverkning</t>
        </is>
      </c>
      <c r="D39" s="1" t="n">
        <v>45187</v>
      </c>
      <c r="E39" s="1" t="n">
        <v>46216</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s="2" t="inlineStr">
        <is>
          <t>Gul dropplav
Hjälmbrosklav
Korallticka
Grå skärelav</t>
        </is>
      </c>
      <c r="V39">
        <f>HYPERLINK("https://klasma.github.io/Logging_1082/artfynd/A 43789-2023 artfynd.xlsx", "A 43789-2023")</f>
        <v/>
      </c>
      <c r="W39">
        <f>HYPERLINK("https://klasma.github.io/Logging_1082/kartor/A 43789-2023 karta.png", "A 43789-2023")</f>
        <v/>
      </c>
      <c r="Y39">
        <f>HYPERLINK("https://klasma.github.io/Logging_1082/klagomål/A 43789-2023 FSC-klagomål.docx", "A 43789-2023")</f>
        <v/>
      </c>
      <c r="Z39">
        <f>HYPERLINK("https://klasma.github.io/Logging_1082/klagomålsmail/A 43789-2023 FSC-klagomål mail.docx", "A 43789-2023")</f>
        <v/>
      </c>
      <c r="AA39">
        <f>HYPERLINK("https://klasma.github.io/Logging_1082/tillsyn/A 43789-2023 tillsynsbegäran.docx", "A 43789-2023")</f>
        <v/>
      </c>
      <c r="AB39">
        <f>HYPERLINK("https://klasma.github.io/Logging_1082/tillsynsmail/A 43789-2023 tillsynsbegäran mail.docx", "A 43789-2023")</f>
        <v/>
      </c>
    </row>
    <row r="40" ht="15" customHeight="1">
      <c r="A40" t="inlineStr">
        <is>
          <t>A 16312-2026</t>
        </is>
      </c>
      <c r="B40" t="inlineStr">
        <is>
          <t>avverkningsanmälan</t>
        </is>
      </c>
      <c r="C40" t="inlineStr">
        <is>
          <t>Föryngringsavverkning</t>
        </is>
      </c>
      <c r="D40" s="1" t="n">
        <v>46111</v>
      </c>
      <c r="E40" s="1" t="n">
        <v>46216</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s="2" t="inlineStr">
        <is>
          <t>Rödlånke
Hasselmus
Långbensgroda
Vanlig padda</t>
        </is>
      </c>
      <c r="V40">
        <f>HYPERLINK("https://klasma.github.io/Logging_1080/artfynd/A 16312-2026 artfynd.xlsx", "A 16312-2026")</f>
        <v/>
      </c>
      <c r="W40">
        <f>HYPERLINK("https://klasma.github.io/Logging_1080/kartor/A 16312-2026 karta.png", "A 16312-2026")</f>
        <v/>
      </c>
      <c r="Y40">
        <f>HYPERLINK("https://klasma.github.io/Logging_1080/klagomål/A 16312-2026 FSC-klagomål.docx", "A 16312-2026")</f>
        <v/>
      </c>
      <c r="Z40">
        <f>HYPERLINK("https://klasma.github.io/Logging_1080/klagomålsmail/A 16312-2026 FSC-klagomål mail.docx", "A 16312-2026")</f>
        <v/>
      </c>
      <c r="AA40">
        <f>HYPERLINK("https://klasma.github.io/Logging_1080/tillsyn/A 16312-2026 tillsynsbegäran.docx", "A 16312-2026")</f>
        <v/>
      </c>
      <c r="AB40">
        <f>HYPERLINK("https://klasma.github.io/Logging_1080/tillsynsmail/A 16312-2026 tillsynsbegäran mail.docx", "A 16312-2026")</f>
        <v/>
      </c>
    </row>
    <row r="41" ht="15" customHeight="1">
      <c r="A41" t="inlineStr">
        <is>
          <t>A 48900-2024</t>
        </is>
      </c>
      <c r="B41" t="inlineStr">
        <is>
          <t>avverkningsanmälan</t>
        </is>
      </c>
      <c r="C41" t="inlineStr">
        <is>
          <t>Föryngringsavverkning</t>
        </is>
      </c>
      <c r="D41" s="1" t="n">
        <v>45594</v>
      </c>
      <c r="E41" s="1" t="n">
        <v>46216</v>
      </c>
      <c r="F41" t="inlineStr">
        <is>
          <t>BLEKINGE LÄN</t>
        </is>
      </c>
      <c r="G41" t="inlineStr">
        <is>
          <t>RONNEBY</t>
        </is>
      </c>
      <c r="H41" t="inlineStr">
        <is>
          <t>Övriga Aktiebolag</t>
        </is>
      </c>
      <c r="I41" t="n">
        <v>8.699999999999999</v>
      </c>
      <c r="J41" t="n">
        <v>0</v>
      </c>
      <c r="K41" t="n">
        <v>2</v>
      </c>
      <c r="L41" t="n">
        <v>1</v>
      </c>
      <c r="M41" t="n">
        <v>1</v>
      </c>
      <c r="N41" t="n">
        <v>0</v>
      </c>
      <c r="O41" t="n">
        <v>0</v>
      </c>
      <c r="P41" t="n">
        <v>0</v>
      </c>
      <c r="Q41" t="n">
        <v>2</v>
      </c>
      <c r="R41" t="n">
        <v>1</v>
      </c>
      <c r="S41" t="n">
        <v>4</v>
      </c>
      <c r="T41" t="n">
        <v>4</v>
      </c>
      <c r="U41" s="2" t="inlineStr">
        <is>
          <t>Ekpricklav
Oxtungssvamp
Havstulpanlav
Rostfläck</t>
        </is>
      </c>
      <c r="V41">
        <f>HYPERLINK("https://klasma.github.io/Logging_1081/artfynd/A 48900-2024 artfynd.xlsx", "A 48900-2024")</f>
        <v/>
      </c>
      <c r="W41">
        <f>HYPERLINK("https://klasma.github.io/Logging_1081/kartor/A 48900-2024 karta.png", "A 48900-2024")</f>
        <v/>
      </c>
      <c r="Y41">
        <f>HYPERLINK("https://klasma.github.io/Logging_1081/klagomål/A 48900-2024 FSC-klagomål.docx", "A 48900-2024")</f>
        <v/>
      </c>
      <c r="Z41">
        <f>HYPERLINK("https://klasma.github.io/Logging_1081/klagomålsmail/A 48900-2024 FSC-klagomål mail.docx", "A 48900-2024")</f>
        <v/>
      </c>
      <c r="AA41">
        <f>HYPERLINK("https://klasma.github.io/Logging_1081/tillsyn/A 48900-2024 tillsynsbegäran.docx", "A 48900-2024")</f>
        <v/>
      </c>
      <c r="AB41">
        <f>HYPERLINK("https://klasma.github.io/Logging_1081/tillsynsmail/A 48900-2024 tillsynsbegäran mail.docx", "A 48900-2024")</f>
        <v/>
      </c>
    </row>
    <row r="42" ht="15" customHeight="1">
      <c r="A42" t="inlineStr">
        <is>
          <t>S 5776-2021</t>
        </is>
      </c>
      <c r="B42" t="inlineStr">
        <is>
          <t>samrådsanmälan</t>
        </is>
      </c>
      <c r="C42" t="inlineStr">
        <is>
          <t>Åtgärd i nyckelbiotop</t>
        </is>
      </c>
      <c r="D42" s="1" t="n">
        <v>44438</v>
      </c>
      <c r="E42" s="1" t="n">
        <v>46216</v>
      </c>
      <c r="F42" t="inlineStr">
        <is>
          <t>BLEKINGE LÄN</t>
        </is>
      </c>
      <c r="G42" t="inlineStr">
        <is>
          <t>KARLSKRONA</t>
        </is>
      </c>
      <c r="I42" t="n">
        <v>3.3</v>
      </c>
      <c r="J42" t="n">
        <v>0</v>
      </c>
      <c r="K42" t="n">
        <v>0</v>
      </c>
      <c r="L42" t="n">
        <v>3</v>
      </c>
      <c r="M42" t="n">
        <v>0</v>
      </c>
      <c r="N42" t="n">
        <v>1</v>
      </c>
      <c r="O42" t="n">
        <v>0</v>
      </c>
      <c r="P42" t="n">
        <v>0</v>
      </c>
      <c r="Q42" t="n">
        <v>4</v>
      </c>
      <c r="R42" t="n">
        <v>1</v>
      </c>
      <c r="S42" t="n">
        <v>4</v>
      </c>
      <c r="T42" t="n">
        <v>24</v>
      </c>
      <c r="U42" s="2" t="inlineStr">
        <is>
          <t>Trumgräshoppa
Liten myrlejonslända
Motaggsvamp
Silversmygare</t>
        </is>
      </c>
      <c r="V42">
        <f>HYPERLINK("https://klasma.github.io/Logging_1080/artfynd/S 5776-2021 artfynd.xlsx", "S 5776-2021")</f>
        <v/>
      </c>
      <c r="W42">
        <f>HYPERLINK("https://klasma.github.io/Logging_1080/kartor/S 5776-2021 karta.png", "S 5776-2021")</f>
        <v/>
      </c>
      <c r="Y42">
        <f>HYPERLINK("https://klasma.github.io/Logging_1080/klagomål/S 5776-2021 FSC-klagomål.docx", "S 5776-2021")</f>
        <v/>
      </c>
      <c r="Z42">
        <f>HYPERLINK("https://klasma.github.io/Logging_1080/klagomålsmail/S 5776-2021 FSC-klagomål mail.docx", "S 5776-2021")</f>
        <v/>
      </c>
      <c r="AA42">
        <f>HYPERLINK("https://klasma.github.io/Logging_1080/tillsyn/S 5776-2021 tillsynsbegäran.docx", "S 5776-2021")</f>
        <v/>
      </c>
      <c r="AB42">
        <f>HYPERLINK("https://klasma.github.io/Logging_1080/tillsynsmail/S 5776-2021 tillsynsbegäran mail.docx", "S 5776-2021")</f>
        <v/>
      </c>
    </row>
    <row r="43" ht="15" customHeight="1">
      <c r="A43" t="inlineStr">
        <is>
          <t>S 2753-2025</t>
        </is>
      </c>
      <c r="B43" t="inlineStr">
        <is>
          <t>samrådsanmälan</t>
        </is>
      </c>
      <c r="C43" t="inlineStr">
        <is>
          <t>Annan skogsbruksåtgärd</t>
        </is>
      </c>
      <c r="D43" s="1" t="n">
        <v>45934</v>
      </c>
      <c r="E43" s="1" t="n">
        <v>46216</v>
      </c>
      <c r="F43" t="inlineStr">
        <is>
          <t>BLEKINGE LÄN</t>
        </is>
      </c>
      <c r="G43" t="inlineStr">
        <is>
          <t>KARLSHAMN</t>
        </is>
      </c>
      <c r="I43" t="n">
        <v>2.2</v>
      </c>
      <c r="J43" t="n">
        <v>0</v>
      </c>
      <c r="K43" t="n">
        <v>1</v>
      </c>
      <c r="L43" t="n">
        <v>2</v>
      </c>
      <c r="M43" t="n">
        <v>1</v>
      </c>
      <c r="N43" t="n">
        <v>0</v>
      </c>
      <c r="O43" t="n">
        <v>0</v>
      </c>
      <c r="P43" t="n">
        <v>0</v>
      </c>
      <c r="Q43" t="n">
        <v>3</v>
      </c>
      <c r="R43" t="n">
        <v>1</v>
      </c>
      <c r="S43" t="n">
        <v>4</v>
      </c>
      <c r="T43" t="n">
        <v>4</v>
      </c>
      <c r="U43" s="2" t="inlineStr">
        <is>
          <t>Tårticka
Gul dropplav
Oxtungssvamp
Rostfläck</t>
        </is>
      </c>
      <c r="V43">
        <f>HYPERLINK("https://klasma.github.io/Logging_1082/artfynd/S 2753-2025 artfynd.xlsx", "S 2753-2025")</f>
        <v/>
      </c>
      <c r="W43">
        <f>HYPERLINK("https://klasma.github.io/Logging_1082/kartor/S 2753-2025 karta.png", "S 2753-2025")</f>
        <v/>
      </c>
      <c r="Y43">
        <f>HYPERLINK("https://klasma.github.io/Logging_1082/klagomål/S 2753-2025 FSC-klagomål.docx", "S 2753-2025")</f>
        <v/>
      </c>
      <c r="Z43">
        <f>HYPERLINK("https://klasma.github.io/Logging_1082/klagomålsmail/S 2753-2025 FSC-klagomål mail.docx", "S 2753-2025")</f>
        <v/>
      </c>
      <c r="AA43">
        <f>HYPERLINK("https://klasma.github.io/Logging_1082/tillsyn/S 2753-2025 tillsynsbegäran.docx", "S 2753-2025")</f>
        <v/>
      </c>
      <c r="AB43">
        <f>HYPERLINK("https://klasma.github.io/Logging_1082/tillsynsmail/S 2753-2025 tillsynsbegäran mail.docx", "S 2753-2025")</f>
        <v/>
      </c>
    </row>
    <row r="44" ht="15" customHeight="1">
      <c r="A44" t="inlineStr">
        <is>
          <t>S 1977-2026</t>
        </is>
      </c>
      <c r="B44" t="inlineStr">
        <is>
          <t>samrådsanmälan</t>
        </is>
      </c>
      <c r="C44" t="inlineStr">
        <is>
          <t>Askåterföring</t>
        </is>
      </c>
      <c r="D44" s="1" t="n">
        <v>46211</v>
      </c>
      <c r="E44" s="1" t="n">
        <v>46216</v>
      </c>
      <c r="F44" t="inlineStr">
        <is>
          <t>BLEKINGE LÄN</t>
        </is>
      </c>
      <c r="G44" t="inlineStr">
        <is>
          <t>KARLSHAMN</t>
        </is>
      </c>
      <c r="I44" t="n">
        <v>15.2</v>
      </c>
      <c r="J44" t="n">
        <v>0</v>
      </c>
      <c r="K44" t="n">
        <v>1</v>
      </c>
      <c r="L44" t="n">
        <v>2</v>
      </c>
      <c r="M44" t="n">
        <v>1</v>
      </c>
      <c r="N44" t="n">
        <v>0</v>
      </c>
      <c r="O44" t="n">
        <v>0</v>
      </c>
      <c r="P44" t="n">
        <v>0</v>
      </c>
      <c r="Q44" t="n">
        <v>3</v>
      </c>
      <c r="R44" t="n">
        <v>1</v>
      </c>
      <c r="S44" t="n">
        <v>4</v>
      </c>
      <c r="T44" t="n">
        <v>5</v>
      </c>
      <c r="U44" s="2" t="inlineStr">
        <is>
          <t>Ryl
Sommarfibbla
Vippärt
Hässleklocka</t>
        </is>
      </c>
      <c r="V44">
        <f>HYPERLINK("https://klasma.github.io/Logging_1082/artfynd/S 1977-2026 artfynd.xlsx", "S 1977-2026")</f>
        <v/>
      </c>
      <c r="W44">
        <f>HYPERLINK("https://klasma.github.io/Logging_1082/kartor/S 1977-2026 karta.png", "S 1977-2026")</f>
        <v/>
      </c>
      <c r="Y44">
        <f>HYPERLINK("https://klasma.github.io/Logging_1082/klagomål/S 1977-2026 FSC-klagomål.docx", "S 1977-2026")</f>
        <v/>
      </c>
      <c r="Z44">
        <f>HYPERLINK("https://klasma.github.io/Logging_1082/klagomålsmail/S 1977-2026 FSC-klagomål mail.docx", "S 1977-2026")</f>
        <v/>
      </c>
      <c r="AA44">
        <f>HYPERLINK("https://klasma.github.io/Logging_1082/tillsyn/S 1977-2026 tillsynsbegäran.docx", "S 1977-2026")</f>
        <v/>
      </c>
      <c r="AB44">
        <f>HYPERLINK("https://klasma.github.io/Logging_1082/tillsynsmail/S 1977-2026 tillsynsbegäran mail.docx", "S 1977-2026")</f>
        <v/>
      </c>
    </row>
    <row r="45" ht="15" customHeight="1">
      <c r="A45" t="inlineStr">
        <is>
          <t>A 13468-2022</t>
        </is>
      </c>
      <c r="B45" t="inlineStr">
        <is>
          <t>avverkningsanmälan</t>
        </is>
      </c>
      <c r="C45" t="inlineStr">
        <is>
          <t>Föryngringsavverkning</t>
        </is>
      </c>
      <c r="D45" s="1" t="n">
        <v>44645</v>
      </c>
      <c r="E45" s="1" t="n">
        <v>46216</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s="2" t="inlineStr">
        <is>
          <t>Krushättemossa
Liljekonvalj
Skogsstjärna</t>
        </is>
      </c>
      <c r="V45">
        <f>HYPERLINK("https://klasma.github.io/Logging_1081/artfynd/A 13468-2022 artfynd.xlsx", "A 13468-2022")</f>
        <v/>
      </c>
      <c r="W45">
        <f>HYPERLINK("https://klasma.github.io/Logging_1081/kartor/A 13468-2022 karta.png", "A 13468-2022")</f>
        <v/>
      </c>
      <c r="Y45">
        <f>HYPERLINK("https://klasma.github.io/Logging_1081/klagomål/A 13468-2022 FSC-klagomål.docx", "A 13468-2022")</f>
        <v/>
      </c>
      <c r="Z45">
        <f>HYPERLINK("https://klasma.github.io/Logging_1081/klagomålsmail/A 13468-2022 FSC-klagomål mail.docx", "A 13468-2022")</f>
        <v/>
      </c>
      <c r="AA45">
        <f>HYPERLINK("https://klasma.github.io/Logging_1081/tillsyn/A 13468-2022 tillsynsbegäran.docx", "A 13468-2022")</f>
        <v/>
      </c>
      <c r="AB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46216</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s="2" t="inlineStr">
        <is>
          <t>Långbensgroda
Åkergroda
Vanlig padda</t>
        </is>
      </c>
      <c r="V46">
        <f>HYPERLINK("https://klasma.github.io/Logging_1080/artfynd/A 63862-2021 artfynd.xlsx", "A 63862-2021")</f>
        <v/>
      </c>
      <c r="W46">
        <f>HYPERLINK("https://klasma.github.io/Logging_1080/kartor/A 63862-2021 karta.png", "A 63862-2021")</f>
        <v/>
      </c>
      <c r="Y46">
        <f>HYPERLINK("https://klasma.github.io/Logging_1080/klagomål/A 63862-2021 FSC-klagomål.docx", "A 63862-2021")</f>
        <v/>
      </c>
      <c r="Z46">
        <f>HYPERLINK("https://klasma.github.io/Logging_1080/klagomålsmail/A 63862-2021 FSC-klagomål mail.docx", "A 63862-2021")</f>
        <v/>
      </c>
      <c r="AA46">
        <f>HYPERLINK("https://klasma.github.io/Logging_1080/tillsyn/A 63862-2021 tillsynsbegäran.docx", "A 63862-2021")</f>
        <v/>
      </c>
      <c r="AB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46216</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s="2" t="inlineStr">
        <is>
          <t>Långbensgroda
Större vattensalamander
Mindre vattensalamander</t>
        </is>
      </c>
      <c r="V47">
        <f>HYPERLINK("https://klasma.github.io/Logging_1080/artfynd/A 6359-2022 artfynd.xlsx", "A 6359-2022")</f>
        <v/>
      </c>
      <c r="W47">
        <f>HYPERLINK("https://klasma.github.io/Logging_1080/kartor/A 6359-2022 karta.png", "A 6359-2022")</f>
        <v/>
      </c>
      <c r="Y47">
        <f>HYPERLINK("https://klasma.github.io/Logging_1080/klagomål/A 6359-2022 FSC-klagomål.docx", "A 6359-2022")</f>
        <v/>
      </c>
      <c r="Z47">
        <f>HYPERLINK("https://klasma.github.io/Logging_1080/klagomålsmail/A 6359-2022 FSC-klagomål mail.docx", "A 6359-2022")</f>
        <v/>
      </c>
      <c r="AA47">
        <f>HYPERLINK("https://klasma.github.io/Logging_1080/tillsyn/A 6359-2022 tillsynsbegäran.docx", "A 6359-2022")</f>
        <v/>
      </c>
      <c r="AB47">
        <f>HYPERLINK("https://klasma.github.io/Logging_1080/tillsynsmail/A 6359-2022 tillsynsbegäran mail.docx", "A 6359-2022")</f>
        <v/>
      </c>
    </row>
    <row r="48" ht="15" customHeight="1">
      <c r="A48" t="inlineStr">
        <is>
          <t>A 41702-2021</t>
        </is>
      </c>
      <c r="B48" t="inlineStr">
        <is>
          <t>avverkningsanmälan</t>
        </is>
      </c>
      <c r="C48" t="inlineStr">
        <is>
          <t>Föryngringsavverkning</t>
        </is>
      </c>
      <c r="D48" s="1" t="n">
        <v>44425</v>
      </c>
      <c r="E48" s="1" t="n">
        <v>46216</v>
      </c>
      <c r="F48" t="inlineStr">
        <is>
          <t>BLEKINGE LÄN</t>
        </is>
      </c>
      <c r="G48" t="inlineStr">
        <is>
          <t>RONNEBY</t>
        </is>
      </c>
      <c r="I48" t="n">
        <v>1.6</v>
      </c>
      <c r="J48" t="n">
        <v>3</v>
      </c>
      <c r="K48" t="n">
        <v>0</v>
      </c>
      <c r="L48" t="n">
        <v>0</v>
      </c>
      <c r="M48" t="n">
        <v>1</v>
      </c>
      <c r="N48" t="n">
        <v>0</v>
      </c>
      <c r="O48" t="n">
        <v>0</v>
      </c>
      <c r="P48" t="n">
        <v>0</v>
      </c>
      <c r="Q48" t="n">
        <v>1</v>
      </c>
      <c r="R48" t="n">
        <v>1</v>
      </c>
      <c r="S48" t="n">
        <v>3</v>
      </c>
      <c r="T48" t="n">
        <v>6</v>
      </c>
      <c r="U48" s="2" t="inlineStr">
        <is>
          <t>Sandödla
Huggorm
Skogsödla</t>
        </is>
      </c>
      <c r="V48">
        <f>HYPERLINK("https://klasma.github.io/Logging_1081/artfynd/A 41702-2021 artfynd.xlsx", "A 41702-2021")</f>
        <v/>
      </c>
      <c r="W48">
        <f>HYPERLINK("https://klasma.github.io/Logging_1081/kartor/A 41702-2021 karta.png", "A 41702-2021")</f>
        <v/>
      </c>
      <c r="Y48">
        <f>HYPERLINK("https://klasma.github.io/Logging_1081/klagomål/A 41702-2021 FSC-klagomål.docx", "A 41702-2021")</f>
        <v/>
      </c>
      <c r="Z48">
        <f>HYPERLINK("https://klasma.github.io/Logging_1081/klagomålsmail/A 41702-2021 FSC-klagomål mail.docx", "A 41702-2021")</f>
        <v/>
      </c>
      <c r="AA48">
        <f>HYPERLINK("https://klasma.github.io/Logging_1081/tillsyn/A 41702-2021 tillsynsbegäran.docx", "A 41702-2021")</f>
        <v/>
      </c>
      <c r="AB48">
        <f>HYPERLINK("https://klasma.github.io/Logging_1081/tillsynsmail/A 41702-2021 tillsynsbegäran mail.docx", "A 41702-2021")</f>
        <v/>
      </c>
    </row>
    <row r="49" ht="15" customHeight="1">
      <c r="A49" t="inlineStr">
        <is>
          <t>A 30531-2022</t>
        </is>
      </c>
      <c r="B49" t="inlineStr">
        <is>
          <t>avverkningsanmälan</t>
        </is>
      </c>
      <c r="C49" t="inlineStr">
        <is>
          <t>Föryngringsavverkning</t>
        </is>
      </c>
      <c r="D49" s="1" t="n">
        <v>44762</v>
      </c>
      <c r="E49" s="1" t="n">
        <v>46216</v>
      </c>
      <c r="F49" t="inlineStr">
        <is>
          <t>BLEKINGE LÄN</t>
        </is>
      </c>
      <c r="G49" t="inlineStr">
        <is>
          <t>RONNEBY</t>
        </is>
      </c>
      <c r="H49" t="inlineStr">
        <is>
          <t>Övriga Aktiebolag</t>
        </is>
      </c>
      <c r="I49" t="n">
        <v>2.1</v>
      </c>
      <c r="J49" t="n">
        <v>1</v>
      </c>
      <c r="K49" t="n">
        <v>1</v>
      </c>
      <c r="L49" t="n">
        <v>1</v>
      </c>
      <c r="M49" t="n">
        <v>0</v>
      </c>
      <c r="N49" t="n">
        <v>0</v>
      </c>
      <c r="O49" t="n">
        <v>0</v>
      </c>
      <c r="P49" t="n">
        <v>0</v>
      </c>
      <c r="Q49" t="n">
        <v>1</v>
      </c>
      <c r="R49" t="n">
        <v>0</v>
      </c>
      <c r="S49" t="n">
        <v>3</v>
      </c>
      <c r="T49" t="n">
        <v>3</v>
      </c>
      <c r="U49" s="2" t="inlineStr">
        <is>
          <t>Puderfläck
Rostfläck
Blåsippa</t>
        </is>
      </c>
      <c r="V49">
        <f>HYPERLINK("https://klasma.github.io/Logging_1081/artfynd/A 30531-2022 artfynd.xlsx", "A 30531-2022")</f>
        <v/>
      </c>
      <c r="W49">
        <f>HYPERLINK("https://klasma.github.io/Logging_1081/kartor/A 30531-2022 karta.png", "A 30531-2022")</f>
        <v/>
      </c>
      <c r="Y49">
        <f>HYPERLINK("https://klasma.github.io/Logging_1081/klagomål/A 30531-2022 FSC-klagomål.docx", "A 30531-2022")</f>
        <v/>
      </c>
      <c r="Z49">
        <f>HYPERLINK("https://klasma.github.io/Logging_1081/klagomålsmail/A 30531-2022 FSC-klagomål mail.docx", "A 30531-2022")</f>
        <v/>
      </c>
      <c r="AA49">
        <f>HYPERLINK("https://klasma.github.io/Logging_1081/tillsyn/A 30531-2022 tillsynsbegäran.docx", "A 30531-2022")</f>
        <v/>
      </c>
      <c r="AB49">
        <f>HYPERLINK("https://klasma.github.io/Logging_1081/tillsynsmail/A 30531-2022 tillsynsbegäran mail.docx", "A 30531-2022")</f>
        <v/>
      </c>
    </row>
    <row r="50" ht="15" customHeight="1">
      <c r="A50" t="inlineStr">
        <is>
          <t>A 547-2026</t>
        </is>
      </c>
      <c r="B50" t="inlineStr">
        <is>
          <t>avverkningsanmälan</t>
        </is>
      </c>
      <c r="C50" t="inlineStr">
        <is>
          <t>Föryngringsavverkning</t>
        </is>
      </c>
      <c r="D50" s="1" t="n">
        <v>46029</v>
      </c>
      <c r="E50" s="1" t="n">
        <v>46216</v>
      </c>
      <c r="F50" t="inlineStr">
        <is>
          <t>BLEKINGE LÄN</t>
        </is>
      </c>
      <c r="G50" t="inlineStr">
        <is>
          <t>OLOFSTRÖM</t>
        </is>
      </c>
      <c r="I50" t="n">
        <v>2.3</v>
      </c>
      <c r="J50" t="n">
        <v>1</v>
      </c>
      <c r="K50" t="n">
        <v>1</v>
      </c>
      <c r="L50" t="n">
        <v>0</v>
      </c>
      <c r="M50" t="n">
        <v>1</v>
      </c>
      <c r="N50" t="n">
        <v>0</v>
      </c>
      <c r="O50" t="n">
        <v>0</v>
      </c>
      <c r="P50" t="n">
        <v>0</v>
      </c>
      <c r="Q50" t="n">
        <v>1</v>
      </c>
      <c r="R50" t="n">
        <v>1</v>
      </c>
      <c r="S50" t="n">
        <v>3</v>
      </c>
      <c r="T50" t="n">
        <v>4</v>
      </c>
      <c r="U50" s="2" t="inlineStr">
        <is>
          <t>Småvänderot
Skogsbräsma
Revlummer</t>
        </is>
      </c>
      <c r="V50">
        <f>HYPERLINK("https://klasma.github.io/Logging_1060/artfynd/A 547-2026 artfynd.xlsx", "A 547-2026")</f>
        <v/>
      </c>
      <c r="W50">
        <f>HYPERLINK("https://klasma.github.io/Logging_1060/kartor/A 547-2026 karta.png", "A 547-2026")</f>
        <v/>
      </c>
      <c r="Y50">
        <f>HYPERLINK("https://klasma.github.io/Logging_1060/klagomål/A 547-2026 FSC-klagomål.docx", "A 547-2026")</f>
        <v/>
      </c>
      <c r="Z50">
        <f>HYPERLINK("https://klasma.github.io/Logging_1060/klagomålsmail/A 547-2026 FSC-klagomål mail.docx", "A 547-2026")</f>
        <v/>
      </c>
      <c r="AA50">
        <f>HYPERLINK("https://klasma.github.io/Logging_1060/tillsyn/A 547-2026 tillsynsbegäran.docx", "A 547-2026")</f>
        <v/>
      </c>
      <c r="AB50">
        <f>HYPERLINK("https://klasma.github.io/Logging_1060/tillsynsmail/A 547-2026 tillsynsbegäran mail.docx", "A 547-2026")</f>
        <v/>
      </c>
    </row>
    <row r="51" ht="15" customHeight="1">
      <c r="A51" t="inlineStr">
        <is>
          <t>A 37115-2021</t>
        </is>
      </c>
      <c r="B51" t="inlineStr">
        <is>
          <t>avverkningsanmälan</t>
        </is>
      </c>
      <c r="C51" t="inlineStr">
        <is>
          <t>Föryngringsavverkning</t>
        </is>
      </c>
      <c r="D51" s="1" t="n">
        <v>44395</v>
      </c>
      <c r="E51" s="1" t="n">
        <v>46216</v>
      </c>
      <c r="F51" t="inlineStr">
        <is>
          <t>BLEKINGE LÄN</t>
        </is>
      </c>
      <c r="G51" t="inlineStr">
        <is>
          <t>KARLSHAMN</t>
        </is>
      </c>
      <c r="I51" t="n">
        <v>16</v>
      </c>
      <c r="J51" t="n">
        <v>0</v>
      </c>
      <c r="K51" t="n">
        <v>1</v>
      </c>
      <c r="L51" t="n">
        <v>0</v>
      </c>
      <c r="M51" t="n">
        <v>2</v>
      </c>
      <c r="N51" t="n">
        <v>0</v>
      </c>
      <c r="O51" t="n">
        <v>0</v>
      </c>
      <c r="P51" t="n">
        <v>0</v>
      </c>
      <c r="Q51" t="n">
        <v>2</v>
      </c>
      <c r="R51" t="n">
        <v>2</v>
      </c>
      <c r="S51" t="n">
        <v>3</v>
      </c>
      <c r="T51" t="n">
        <v>3</v>
      </c>
      <c r="U51" s="2" t="inlineStr">
        <is>
          <t>Hållav
Pulverädellav
Havstulpanlav</t>
        </is>
      </c>
      <c r="V51">
        <f>HYPERLINK("https://klasma.github.io/Logging_1082/artfynd/A 37115-2021 artfynd.xlsx", "A 37115-2021")</f>
        <v/>
      </c>
      <c r="W51">
        <f>HYPERLINK("https://klasma.github.io/Logging_1082/kartor/A 37115-2021 karta.png", "A 37115-2021")</f>
        <v/>
      </c>
      <c r="Y51">
        <f>HYPERLINK("https://klasma.github.io/Logging_1082/klagomål/A 37115-2021 FSC-klagomål.docx", "A 37115-2021")</f>
        <v/>
      </c>
      <c r="Z51">
        <f>HYPERLINK("https://klasma.github.io/Logging_1082/klagomålsmail/A 37115-2021 FSC-klagomål mail.docx", "A 37115-2021")</f>
        <v/>
      </c>
      <c r="AA51">
        <f>HYPERLINK("https://klasma.github.io/Logging_1082/tillsyn/A 37115-2021 tillsynsbegäran.docx", "A 37115-2021")</f>
        <v/>
      </c>
      <c r="AB51">
        <f>HYPERLINK("https://klasma.github.io/Logging_1082/tillsynsmail/A 37115-2021 tillsynsbegäran mail.docx", "A 37115-2021")</f>
        <v/>
      </c>
    </row>
    <row r="52" ht="15" customHeight="1">
      <c r="A52" t="inlineStr">
        <is>
          <t>A 9449-2026</t>
        </is>
      </c>
      <c r="B52" t="inlineStr">
        <is>
          <t>avverkningsanmälan</t>
        </is>
      </c>
      <c r="C52" t="inlineStr">
        <is>
          <t>Föryngringsavverkning</t>
        </is>
      </c>
      <c r="D52" s="1" t="n">
        <v>46071</v>
      </c>
      <c r="E52" s="1" t="n">
        <v>46216</v>
      </c>
      <c r="F52" t="inlineStr">
        <is>
          <t>BLEKINGE LÄN</t>
        </is>
      </c>
      <c r="G52" t="inlineStr">
        <is>
          <t>RONNEBY</t>
        </is>
      </c>
      <c r="H52" t="inlineStr">
        <is>
          <t>Övriga Aktiebolag</t>
        </is>
      </c>
      <c r="I52" t="n">
        <v>7.3</v>
      </c>
      <c r="J52" t="n">
        <v>0</v>
      </c>
      <c r="K52" t="n">
        <v>2</v>
      </c>
      <c r="L52" t="n">
        <v>0</v>
      </c>
      <c r="M52" t="n">
        <v>0</v>
      </c>
      <c r="N52" t="n">
        <v>1</v>
      </c>
      <c r="O52" t="n">
        <v>0</v>
      </c>
      <c r="P52" t="n">
        <v>0</v>
      </c>
      <c r="Q52" t="n">
        <v>1</v>
      </c>
      <c r="R52" t="n">
        <v>1</v>
      </c>
      <c r="S52" t="n">
        <v>3</v>
      </c>
      <c r="T52" t="n">
        <v>4</v>
      </c>
      <c r="U52" s="2" t="inlineStr">
        <is>
          <t>Ask
Blåmossa
Grå skärelav</t>
        </is>
      </c>
      <c r="V52">
        <f>HYPERLINK("https://klasma.github.io/Logging_1081/artfynd/A 9449-2026 artfynd.xlsx", "A 9449-2026")</f>
        <v/>
      </c>
      <c r="W52">
        <f>HYPERLINK("https://klasma.github.io/Logging_1081/kartor/A 9449-2026 karta.png", "A 9449-2026")</f>
        <v/>
      </c>
      <c r="Y52">
        <f>HYPERLINK("https://klasma.github.io/Logging_1081/klagomål/A 9449-2026 FSC-klagomål.docx", "A 9449-2026")</f>
        <v/>
      </c>
      <c r="Z52">
        <f>HYPERLINK("https://klasma.github.io/Logging_1081/klagomålsmail/A 9449-2026 FSC-klagomål mail.docx", "A 9449-2026")</f>
        <v/>
      </c>
      <c r="AA52">
        <f>HYPERLINK("https://klasma.github.io/Logging_1081/tillsyn/A 9449-2026 tillsynsbegäran.docx", "A 9449-2026")</f>
        <v/>
      </c>
      <c r="AB52">
        <f>HYPERLINK("https://klasma.github.io/Logging_1081/tillsynsmail/A 9449-2026 tillsynsbegäran mail.docx", "A 9449-2026")</f>
        <v/>
      </c>
    </row>
    <row r="53" ht="15" customHeight="1">
      <c r="A53" t="inlineStr">
        <is>
          <t>A 33863-2023</t>
        </is>
      </c>
      <c r="B53" t="inlineStr">
        <is>
          <t>avverkningsanmälan</t>
        </is>
      </c>
      <c r="C53" t="inlineStr">
        <is>
          <t>Föryngringsavverkning</t>
        </is>
      </c>
      <c r="D53" s="1" t="n">
        <v>45133</v>
      </c>
      <c r="E53" s="1" t="n">
        <v>46216</v>
      </c>
      <c r="F53" t="inlineStr">
        <is>
          <t>BLEKINGE LÄN</t>
        </is>
      </c>
      <c r="G53" t="inlineStr">
        <is>
          <t>OLOFSTRÖM</t>
        </is>
      </c>
      <c r="I53" t="n">
        <v>6.4</v>
      </c>
      <c r="J53" t="n">
        <v>1</v>
      </c>
      <c r="K53" t="n">
        <v>0</v>
      </c>
      <c r="L53" t="n">
        <v>1</v>
      </c>
      <c r="M53" t="n">
        <v>0</v>
      </c>
      <c r="N53" t="n">
        <v>1</v>
      </c>
      <c r="O53" t="n">
        <v>0</v>
      </c>
      <c r="P53" t="n">
        <v>0</v>
      </c>
      <c r="Q53" t="n">
        <v>2</v>
      </c>
      <c r="R53" t="n">
        <v>1</v>
      </c>
      <c r="S53" t="n">
        <v>3</v>
      </c>
      <c r="T53" t="n">
        <v>4</v>
      </c>
      <c r="U53" s="2" t="inlineStr">
        <is>
          <t>Skogsalm
Backruta
Grönvit nattviol</t>
        </is>
      </c>
      <c r="V53">
        <f>HYPERLINK("https://klasma.github.io/Logging_1060/artfynd/A 33863-2023 artfynd.xlsx", "A 33863-2023")</f>
        <v/>
      </c>
      <c r="W53">
        <f>HYPERLINK("https://klasma.github.io/Logging_1060/kartor/A 33863-2023 karta.png", "A 33863-2023")</f>
        <v/>
      </c>
      <c r="Y53">
        <f>HYPERLINK("https://klasma.github.io/Logging_1060/klagomål/A 33863-2023 FSC-klagomål.docx", "A 33863-2023")</f>
        <v/>
      </c>
      <c r="Z53">
        <f>HYPERLINK("https://klasma.github.io/Logging_1060/klagomålsmail/A 33863-2023 FSC-klagomål mail.docx", "A 33863-2023")</f>
        <v/>
      </c>
      <c r="AA53">
        <f>HYPERLINK("https://klasma.github.io/Logging_1060/tillsyn/A 33863-2023 tillsynsbegäran.docx", "A 33863-2023")</f>
        <v/>
      </c>
      <c r="AB53">
        <f>HYPERLINK("https://klasma.github.io/Logging_1060/tillsynsmail/A 33863-2023 tillsynsbegäran mail.docx", "A 33863-2023")</f>
        <v/>
      </c>
    </row>
    <row r="54" ht="15" customHeight="1">
      <c r="A54" t="inlineStr">
        <is>
          <t>A 57229-2024</t>
        </is>
      </c>
      <c r="B54" t="inlineStr">
        <is>
          <t>avverkningsanmälan</t>
        </is>
      </c>
      <c r="C54" t="inlineStr">
        <is>
          <t>Föryngringsavverkning</t>
        </is>
      </c>
      <c r="D54" s="1" t="n">
        <v>45629</v>
      </c>
      <c r="E54" s="1" t="n">
        <v>46216</v>
      </c>
      <c r="F54" t="inlineStr">
        <is>
          <t>BLEKINGE LÄN</t>
        </is>
      </c>
      <c r="G54" t="inlineStr">
        <is>
          <t>OLOFSTRÖM</t>
        </is>
      </c>
      <c r="I54" t="n">
        <v>2</v>
      </c>
      <c r="J54" t="n">
        <v>0</v>
      </c>
      <c r="K54" t="n">
        <v>1</v>
      </c>
      <c r="L54" t="n">
        <v>1</v>
      </c>
      <c r="M54" t="n">
        <v>0</v>
      </c>
      <c r="N54" t="n">
        <v>1</v>
      </c>
      <c r="O54" t="n">
        <v>0</v>
      </c>
      <c r="P54" t="n">
        <v>0</v>
      </c>
      <c r="Q54" t="n">
        <v>2</v>
      </c>
      <c r="R54" t="n">
        <v>1</v>
      </c>
      <c r="S54" t="n">
        <v>3</v>
      </c>
      <c r="T54" t="n">
        <v>3</v>
      </c>
      <c r="U54" s="2" t="inlineStr">
        <is>
          <t>Ask
Lunglav
Platt fjädermossa</t>
        </is>
      </c>
      <c r="V54">
        <f>HYPERLINK("https://klasma.github.io/Logging_1060/artfynd/A 57229-2024 artfynd.xlsx", "A 57229-2024")</f>
        <v/>
      </c>
      <c r="W54">
        <f>HYPERLINK("https://klasma.github.io/Logging_1060/kartor/A 57229-2024 karta.png", "A 57229-2024")</f>
        <v/>
      </c>
      <c r="Y54">
        <f>HYPERLINK("https://klasma.github.io/Logging_1060/klagomål/A 57229-2024 FSC-klagomål.docx", "A 57229-2024")</f>
        <v/>
      </c>
      <c r="Z54">
        <f>HYPERLINK("https://klasma.github.io/Logging_1060/klagomålsmail/A 57229-2024 FSC-klagomål mail.docx", "A 57229-2024")</f>
        <v/>
      </c>
      <c r="AA54">
        <f>HYPERLINK("https://klasma.github.io/Logging_1060/tillsyn/A 57229-2024 tillsynsbegäran.docx", "A 57229-2024")</f>
        <v/>
      </c>
      <c r="AB54">
        <f>HYPERLINK("https://klasma.github.io/Logging_1060/tillsynsmail/A 57229-2024 tillsynsbegäran mail.docx", "A 57229-2024")</f>
        <v/>
      </c>
    </row>
    <row r="55" ht="15" customHeight="1">
      <c r="A55" t="inlineStr">
        <is>
          <t>A 62747-2023</t>
        </is>
      </c>
      <c r="B55" t="inlineStr">
        <is>
          <t>avverkningsanmälan</t>
        </is>
      </c>
      <c r="C55" t="inlineStr">
        <is>
          <t>Föryngringsavverkning</t>
        </is>
      </c>
      <c r="D55" s="1" t="n">
        <v>45268</v>
      </c>
      <c r="E55" s="1" t="n">
        <v>46216</v>
      </c>
      <c r="F55" t="inlineStr">
        <is>
          <t>BLEKINGE LÄN</t>
        </is>
      </c>
      <c r="G55" t="inlineStr">
        <is>
          <t>OLOFSTRÖM</t>
        </is>
      </c>
      <c r="H55" t="inlineStr">
        <is>
          <t>Övriga Aktiebolag</t>
        </is>
      </c>
      <c r="I55" t="n">
        <v>8</v>
      </c>
      <c r="J55" t="n">
        <v>2</v>
      </c>
      <c r="K55" t="n">
        <v>0</v>
      </c>
      <c r="L55" t="n">
        <v>1</v>
      </c>
      <c r="M55" t="n">
        <v>1</v>
      </c>
      <c r="N55" t="n">
        <v>0</v>
      </c>
      <c r="O55" t="n">
        <v>0</v>
      </c>
      <c r="P55" t="n">
        <v>0</v>
      </c>
      <c r="Q55" t="n">
        <v>2</v>
      </c>
      <c r="R55" t="n">
        <v>1</v>
      </c>
      <c r="S55" t="n">
        <v>3</v>
      </c>
      <c r="T55" t="n">
        <v>4</v>
      </c>
      <c r="U55" s="2" t="inlineStr">
        <is>
          <t>Igelkott
Kungsfiskare
Utter</t>
        </is>
      </c>
      <c r="V55">
        <f>HYPERLINK("https://klasma.github.io/Logging_1060/artfynd/A 62747-2023 artfynd.xlsx", "A 62747-2023")</f>
        <v/>
      </c>
      <c r="W55">
        <f>HYPERLINK("https://klasma.github.io/Logging_1060/kartor/A 62747-2023 karta.png", "A 62747-2023")</f>
        <v/>
      </c>
      <c r="Y55">
        <f>HYPERLINK("https://klasma.github.io/Logging_1060/klagomål/A 62747-2023 FSC-klagomål.docx", "A 62747-2023")</f>
        <v/>
      </c>
      <c r="Z55">
        <f>HYPERLINK("https://klasma.github.io/Logging_1060/klagomålsmail/A 62747-2023 FSC-klagomål mail.docx", "A 62747-2023")</f>
        <v/>
      </c>
      <c r="AA55">
        <f>HYPERLINK("https://klasma.github.io/Logging_1060/tillsyn/A 62747-2023 tillsynsbegäran.docx", "A 62747-2023")</f>
        <v/>
      </c>
      <c r="AB55">
        <f>HYPERLINK("https://klasma.github.io/Logging_1060/tillsynsmail/A 62747-2023 tillsynsbegäran mail.docx", "A 62747-2023")</f>
        <v/>
      </c>
    </row>
    <row r="56" ht="15" customHeight="1">
      <c r="A56" t="inlineStr">
        <is>
          <t>A 5556-2023</t>
        </is>
      </c>
      <c r="B56" t="inlineStr">
        <is>
          <t>avverkningsanmälan</t>
        </is>
      </c>
      <c r="C56" t="inlineStr">
        <is>
          <t>Föryngringsavverkning</t>
        </is>
      </c>
      <c r="D56" s="1" t="n">
        <v>44960</v>
      </c>
      <c r="E56" s="1" t="n">
        <v>46216</v>
      </c>
      <c r="F56" t="inlineStr">
        <is>
          <t>BLEKINGE LÄN</t>
        </is>
      </c>
      <c r="G56" t="inlineStr">
        <is>
          <t>KARLSKRONA</t>
        </is>
      </c>
      <c r="I56" t="n">
        <v>2</v>
      </c>
      <c r="J56" t="n">
        <v>1</v>
      </c>
      <c r="K56" t="n">
        <v>1</v>
      </c>
      <c r="L56" t="n">
        <v>1</v>
      </c>
      <c r="M56" t="n">
        <v>0</v>
      </c>
      <c r="N56" t="n">
        <v>0</v>
      </c>
      <c r="O56" t="n">
        <v>0</v>
      </c>
      <c r="P56" t="n">
        <v>0</v>
      </c>
      <c r="Q56" t="n">
        <v>1</v>
      </c>
      <c r="R56" t="n">
        <v>0</v>
      </c>
      <c r="S56" t="n">
        <v>3</v>
      </c>
      <c r="T56" t="n">
        <v>3</v>
      </c>
      <c r="U56" s="2" t="inlineStr">
        <is>
          <t>Rödlånke
Blåmossa
Långbensgroda</t>
        </is>
      </c>
      <c r="V56">
        <f>HYPERLINK("https://klasma.github.io/Logging_1080/artfynd/A 5556-2023 artfynd.xlsx", "A 5556-2023")</f>
        <v/>
      </c>
      <c r="W56">
        <f>HYPERLINK("https://klasma.github.io/Logging_1080/kartor/A 5556-2023 karta.png", "A 5556-2023")</f>
        <v/>
      </c>
      <c r="Y56">
        <f>HYPERLINK("https://klasma.github.io/Logging_1080/klagomål/A 5556-2023 FSC-klagomål.docx", "A 5556-2023")</f>
        <v/>
      </c>
      <c r="Z56">
        <f>HYPERLINK("https://klasma.github.io/Logging_1080/klagomålsmail/A 5556-2023 FSC-klagomål mail.docx", "A 5556-2023")</f>
        <v/>
      </c>
      <c r="AA56">
        <f>HYPERLINK("https://klasma.github.io/Logging_1080/tillsyn/A 5556-2023 tillsynsbegäran.docx", "A 5556-2023")</f>
        <v/>
      </c>
      <c r="AB56">
        <f>HYPERLINK("https://klasma.github.io/Logging_1080/tillsynsmail/A 5556-2023 tillsynsbegäran mail.docx", "A 5556-2023")</f>
        <v/>
      </c>
    </row>
    <row r="57" ht="15" customHeight="1">
      <c r="A57" t="inlineStr">
        <is>
          <t>A 39568-2021</t>
        </is>
      </c>
      <c r="B57" t="inlineStr">
        <is>
          <t>avverkningsanmälan</t>
        </is>
      </c>
      <c r="C57" t="inlineStr">
        <is>
          <t>Föryngringsavverkning</t>
        </is>
      </c>
      <c r="D57" s="1" t="n">
        <v>44416</v>
      </c>
      <c r="E57" s="1" t="n">
        <v>46216</v>
      </c>
      <c r="F57" t="inlineStr">
        <is>
          <t>BLEKINGE LÄN</t>
        </is>
      </c>
      <c r="G57" t="inlineStr">
        <is>
          <t>OLOFSTRÖM</t>
        </is>
      </c>
      <c r="I57" t="n">
        <v>1</v>
      </c>
      <c r="J57" t="n">
        <v>0</v>
      </c>
      <c r="K57" t="n">
        <v>1</v>
      </c>
      <c r="L57" t="n">
        <v>1</v>
      </c>
      <c r="M57" t="n">
        <v>1</v>
      </c>
      <c r="N57" t="n">
        <v>0</v>
      </c>
      <c r="O57" t="n">
        <v>0</v>
      </c>
      <c r="P57" t="n">
        <v>0</v>
      </c>
      <c r="Q57" t="n">
        <v>2</v>
      </c>
      <c r="R57" t="n">
        <v>1</v>
      </c>
      <c r="S57" t="n">
        <v>3</v>
      </c>
      <c r="T57" t="n">
        <v>4</v>
      </c>
      <c r="U57" s="2" t="inlineStr">
        <is>
          <t>Småvänderot
Gullpudra
Stenporella</t>
        </is>
      </c>
      <c r="V57">
        <f>HYPERLINK("https://klasma.github.io/Logging_1060/artfynd/A 39568-2021 artfynd.xlsx", "A 39568-2021")</f>
        <v/>
      </c>
      <c r="W57">
        <f>HYPERLINK("https://klasma.github.io/Logging_1060/kartor/A 39568-2021 karta.png", "A 39568-2021")</f>
        <v/>
      </c>
      <c r="Y57">
        <f>HYPERLINK("https://klasma.github.io/Logging_1060/klagomål/A 39568-2021 FSC-klagomål.docx", "A 39568-2021")</f>
        <v/>
      </c>
      <c r="Z57">
        <f>HYPERLINK("https://klasma.github.io/Logging_1060/klagomålsmail/A 39568-2021 FSC-klagomål mail.docx", "A 39568-2021")</f>
        <v/>
      </c>
      <c r="AA57">
        <f>HYPERLINK("https://klasma.github.io/Logging_1060/tillsyn/A 39568-2021 tillsynsbegäran.docx", "A 39568-2021")</f>
        <v/>
      </c>
      <c r="AB57">
        <f>HYPERLINK("https://klasma.github.io/Logging_1060/tillsynsmail/A 39568-2021 tillsynsbegäran mail.docx", "A 39568-2021")</f>
        <v/>
      </c>
    </row>
    <row r="58" ht="15" customHeight="1">
      <c r="A58" t="inlineStr">
        <is>
          <t>A 26616-2026</t>
        </is>
      </c>
      <c r="B58" t="inlineStr">
        <is>
          <t>avverkningsanmälan</t>
        </is>
      </c>
      <c r="C58" t="inlineStr">
        <is>
          <t>Föryngringsavverkning</t>
        </is>
      </c>
      <c r="D58" s="1" t="n">
        <v>46184</v>
      </c>
      <c r="E58" s="1" t="n">
        <v>46216</v>
      </c>
      <c r="F58" t="inlineStr">
        <is>
          <t>BLEKINGE LÄN</t>
        </is>
      </c>
      <c r="G58" t="inlineStr">
        <is>
          <t>KARLSHAMN</t>
        </is>
      </c>
      <c r="I58" t="n">
        <v>4.1</v>
      </c>
      <c r="J58" t="n">
        <v>0</v>
      </c>
      <c r="K58" t="n">
        <v>2</v>
      </c>
      <c r="L58" t="n">
        <v>0</v>
      </c>
      <c r="M58" t="n">
        <v>0</v>
      </c>
      <c r="N58" t="n">
        <v>1</v>
      </c>
      <c r="O58" t="n">
        <v>0</v>
      </c>
      <c r="P58" t="n">
        <v>0</v>
      </c>
      <c r="Q58" t="n">
        <v>1</v>
      </c>
      <c r="R58" t="n">
        <v>1</v>
      </c>
      <c r="S58" t="n">
        <v>3</v>
      </c>
      <c r="T58" t="n">
        <v>4</v>
      </c>
      <c r="U58" s="2" t="inlineStr">
        <is>
          <t>Skogsalm
Skogsbräsma
Trädporella</t>
        </is>
      </c>
      <c r="V58">
        <f>HYPERLINK("https://klasma.github.io/Logging_1082/artfynd/A 26616-2026 artfynd.xlsx", "A 26616-2026")</f>
        <v/>
      </c>
      <c r="W58">
        <f>HYPERLINK("https://klasma.github.io/Logging_1082/kartor/A 26616-2026 karta.png", "A 26616-2026")</f>
        <v/>
      </c>
      <c r="Y58">
        <f>HYPERLINK("https://klasma.github.io/Logging_1082/klagomål/A 26616-2026 FSC-klagomål.docx", "A 26616-2026")</f>
        <v/>
      </c>
      <c r="Z58">
        <f>HYPERLINK("https://klasma.github.io/Logging_1082/klagomålsmail/A 26616-2026 FSC-klagomål mail.docx", "A 26616-2026")</f>
        <v/>
      </c>
      <c r="AA58">
        <f>HYPERLINK("https://klasma.github.io/Logging_1082/tillsyn/A 26616-2026 tillsynsbegäran.docx", "A 26616-2026")</f>
        <v/>
      </c>
      <c r="AB58">
        <f>HYPERLINK("https://klasma.github.io/Logging_1082/tillsynsmail/A 26616-2026 tillsynsbegäran mail.docx", "A 26616-2026")</f>
        <v/>
      </c>
    </row>
    <row r="59" ht="15" customHeight="1">
      <c r="A59" t="inlineStr">
        <is>
          <t>A 55925-2025</t>
        </is>
      </c>
      <c r="B59" t="inlineStr">
        <is>
          <t>avverkningsanmälan</t>
        </is>
      </c>
      <c r="C59" t="inlineStr">
        <is>
          <t>Avverkning för att bevara och utveckla /försöksver</t>
        </is>
      </c>
      <c r="D59" s="1" t="n">
        <v>45973</v>
      </c>
      <c r="E59" s="1" t="n">
        <v>46216</v>
      </c>
      <c r="F59" t="inlineStr">
        <is>
          <t>BLEKINGE LÄN</t>
        </is>
      </c>
      <c r="G59" t="inlineStr">
        <is>
          <t>RONNEBY</t>
        </is>
      </c>
      <c r="I59" t="n">
        <v>6.4</v>
      </c>
      <c r="J59" t="n">
        <v>1</v>
      </c>
      <c r="K59" t="n">
        <v>1</v>
      </c>
      <c r="L59" t="n">
        <v>1</v>
      </c>
      <c r="M59" t="n">
        <v>0</v>
      </c>
      <c r="N59" t="n">
        <v>1</v>
      </c>
      <c r="O59" t="n">
        <v>0</v>
      </c>
      <c r="P59" t="n">
        <v>0</v>
      </c>
      <c r="Q59" t="n">
        <v>2</v>
      </c>
      <c r="R59" t="n">
        <v>1</v>
      </c>
      <c r="S59" t="n">
        <v>3</v>
      </c>
      <c r="T59" t="n">
        <v>16</v>
      </c>
      <c r="U59" s="2" t="inlineStr">
        <is>
          <t>Ask
Flikros
Ekoxe</t>
        </is>
      </c>
      <c r="V59">
        <f>HYPERLINK("https://klasma.github.io/Logging_1081/artfynd/A 55925-2025 artfynd.xlsx", "A 55925-2025")</f>
        <v/>
      </c>
      <c r="W59">
        <f>HYPERLINK("https://klasma.github.io/Logging_1081/kartor/A 55925-2025 karta.png", "A 55925-2025")</f>
        <v/>
      </c>
      <c r="Y59">
        <f>HYPERLINK("https://klasma.github.io/Logging_1081/klagomål/A 55925-2025 FSC-klagomål.docx", "A 55925-2025")</f>
        <v/>
      </c>
      <c r="Z59">
        <f>HYPERLINK("https://klasma.github.io/Logging_1081/klagomålsmail/A 55925-2025 FSC-klagomål mail.docx", "A 55925-2025")</f>
        <v/>
      </c>
      <c r="AA59">
        <f>HYPERLINK("https://klasma.github.io/Logging_1081/tillsyn/A 55925-2025 tillsynsbegäran.docx", "A 55925-2025")</f>
        <v/>
      </c>
      <c r="AB59">
        <f>HYPERLINK("https://klasma.github.io/Logging_1081/tillsynsmail/A 55925-2025 tillsynsbegäran mail.docx", "A 55925-2025")</f>
        <v/>
      </c>
    </row>
    <row r="60" ht="15" customHeight="1">
      <c r="A60" t="inlineStr">
        <is>
          <t>A 26407-2026</t>
        </is>
      </c>
      <c r="B60" t="inlineStr">
        <is>
          <t>avverkningsanmälan</t>
        </is>
      </c>
      <c r="C60" t="inlineStr">
        <is>
          <t>Föryngringsavverkning</t>
        </is>
      </c>
      <c r="D60" s="1" t="n">
        <v>46182</v>
      </c>
      <c r="E60" s="1" t="n">
        <v>46216</v>
      </c>
      <c r="F60" t="inlineStr">
        <is>
          <t>BLEKINGE LÄN</t>
        </is>
      </c>
      <c r="G60" t="inlineStr">
        <is>
          <t>KARLSKRONA</t>
        </is>
      </c>
      <c r="I60" t="n">
        <v>21.1</v>
      </c>
      <c r="J60" t="n">
        <v>1</v>
      </c>
      <c r="K60" t="n">
        <v>2</v>
      </c>
      <c r="L60" t="n">
        <v>0</v>
      </c>
      <c r="M60" t="n">
        <v>0</v>
      </c>
      <c r="N60" t="n">
        <v>1</v>
      </c>
      <c r="O60" t="n">
        <v>0</v>
      </c>
      <c r="P60" t="n">
        <v>0</v>
      </c>
      <c r="Q60" t="n">
        <v>1</v>
      </c>
      <c r="R60" t="n">
        <v>1</v>
      </c>
      <c r="S60" t="n">
        <v>3</v>
      </c>
      <c r="T60" t="n">
        <v>4</v>
      </c>
      <c r="U60" s="2" t="inlineStr">
        <is>
          <t>Ask
Ekoxe
Myskmadra</t>
        </is>
      </c>
      <c r="V60">
        <f>HYPERLINK("https://klasma.github.io/Logging_1080/artfynd/A 26407-2026 artfynd.xlsx", "A 26407-2026")</f>
        <v/>
      </c>
      <c r="W60">
        <f>HYPERLINK("https://klasma.github.io/Logging_1080/kartor/A 26407-2026 karta.png", "A 26407-2026")</f>
        <v/>
      </c>
      <c r="Y60">
        <f>HYPERLINK("https://klasma.github.io/Logging_1080/klagomål/A 26407-2026 FSC-klagomål.docx", "A 26407-2026")</f>
        <v/>
      </c>
      <c r="Z60">
        <f>HYPERLINK("https://klasma.github.io/Logging_1080/klagomålsmail/A 26407-2026 FSC-klagomål mail.docx", "A 26407-2026")</f>
        <v/>
      </c>
      <c r="AA60">
        <f>HYPERLINK("https://klasma.github.io/Logging_1080/tillsyn/A 26407-2026 tillsynsbegäran.docx", "A 26407-2026")</f>
        <v/>
      </c>
      <c r="AB60">
        <f>HYPERLINK("https://klasma.github.io/Logging_1080/tillsynsmail/A 26407-2026 tillsynsbegäran mail.docx", "A 26407-2026")</f>
        <v/>
      </c>
    </row>
    <row r="61" ht="15" customHeight="1">
      <c r="A61" t="inlineStr">
        <is>
          <t>A 10096-2022</t>
        </is>
      </c>
      <c r="B61" t="inlineStr">
        <is>
          <t>avverkningsanmälan</t>
        </is>
      </c>
      <c r="C61" t="inlineStr">
        <is>
          <t>Avverkning för annat ändamål</t>
        </is>
      </c>
      <c r="D61" s="1" t="n">
        <v>44621</v>
      </c>
      <c r="E61" s="1" t="n">
        <v>46216</v>
      </c>
      <c r="F61" t="inlineStr">
        <is>
          <t>BLEKINGE LÄN</t>
        </is>
      </c>
      <c r="G61" t="inlineStr">
        <is>
          <t>KARLSHAMN</t>
        </is>
      </c>
      <c r="H61" t="inlineStr">
        <is>
          <t>Kommuner</t>
        </is>
      </c>
      <c r="I61" t="n">
        <v>4.8</v>
      </c>
      <c r="J61" t="n">
        <v>1</v>
      </c>
      <c r="K61" t="n">
        <v>1</v>
      </c>
      <c r="L61" t="n">
        <v>0</v>
      </c>
      <c r="M61" t="n">
        <v>2</v>
      </c>
      <c r="N61" t="n">
        <v>0</v>
      </c>
      <c r="O61" t="n">
        <v>0</v>
      </c>
      <c r="P61" t="n">
        <v>0</v>
      </c>
      <c r="Q61" t="n">
        <v>2</v>
      </c>
      <c r="R61" t="n">
        <v>2</v>
      </c>
      <c r="S61" t="n">
        <v>3</v>
      </c>
      <c r="T61" t="n">
        <v>3</v>
      </c>
      <c r="U61" s="2" t="inlineStr">
        <is>
          <t>Stare
Ädellav
Gulpudrad spiklav</t>
        </is>
      </c>
      <c r="V61">
        <f>HYPERLINK("https://klasma.github.io/Logging_1082/artfynd/A 10096-2022 artfynd.xlsx", "A 10096-2022")</f>
        <v/>
      </c>
      <c r="W61">
        <f>HYPERLINK("https://klasma.github.io/Logging_1082/kartor/A 10096-2022 karta.png", "A 10096-2022")</f>
        <v/>
      </c>
      <c r="Y61">
        <f>HYPERLINK("https://klasma.github.io/Logging_1082/klagomål/A 10096-2022 FSC-klagomål.docx", "A 10096-2022")</f>
        <v/>
      </c>
      <c r="Z61">
        <f>HYPERLINK("https://klasma.github.io/Logging_1082/klagomålsmail/A 10096-2022 FSC-klagomål mail.docx", "A 10096-2022")</f>
        <v/>
      </c>
      <c r="AA61">
        <f>HYPERLINK("https://klasma.github.io/Logging_1082/tillsyn/A 10096-2022 tillsynsbegäran.docx", "A 10096-2022")</f>
        <v/>
      </c>
      <c r="AB61">
        <f>HYPERLINK("https://klasma.github.io/Logging_1082/tillsynsmail/A 10096-2022 tillsynsbegäran mail.docx", "A 10096-2022")</f>
        <v/>
      </c>
      <c r="AC61">
        <f>HYPERLINK("https://klasma.github.io/Logging_1082/fåglar/A 10096-2022 prioriterade fågelarter.docx", "A 10096-2022")</f>
        <v/>
      </c>
    </row>
    <row r="62" ht="15" customHeight="1">
      <c r="A62" t="inlineStr">
        <is>
          <t>S 3881-2023</t>
        </is>
      </c>
      <c r="B62" t="inlineStr">
        <is>
          <t>samrådsanmälan</t>
        </is>
      </c>
      <c r="C62" t="inlineStr">
        <is>
          <t>Annan skogsbruksåtgärd</t>
        </is>
      </c>
      <c r="D62" s="1" t="n">
        <v>45230</v>
      </c>
      <c r="E62" s="1" t="n">
        <v>46216</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s="2" t="inlineStr">
        <is>
          <t>Lunglav
Stiftklotterlav
Guldlockmossa</t>
        </is>
      </c>
      <c r="V62">
        <f>HYPERLINK("https://klasma.github.io/Logging_1081/artfynd/S 3881-2023 artfynd.xlsx", "S 3881-2023")</f>
        <v/>
      </c>
      <c r="W62">
        <f>HYPERLINK("https://klasma.github.io/Logging_1081/kartor/S 3881-2023 karta.png", "S 3881-2023")</f>
        <v/>
      </c>
      <c r="Y62">
        <f>HYPERLINK("https://klasma.github.io/Logging_1081/klagomål/S 3881-2023 FSC-klagomål.docx", "S 3881-2023")</f>
        <v/>
      </c>
      <c r="Z62">
        <f>HYPERLINK("https://klasma.github.io/Logging_1081/klagomålsmail/S 3881-2023 FSC-klagomål mail.docx", "S 3881-2023")</f>
        <v/>
      </c>
      <c r="AA62">
        <f>HYPERLINK("https://klasma.github.io/Logging_1081/tillsyn/S 3881-2023 tillsynsbegäran.docx", "S 3881-2023")</f>
        <v/>
      </c>
      <c r="AB62">
        <f>HYPERLINK("https://klasma.github.io/Logging_1081/tillsynsmail/S 3881-2023 tillsynsbegäran mail.docx", "S 3881-2023")</f>
        <v/>
      </c>
    </row>
    <row r="63" ht="15" customHeight="1">
      <c r="A63" t="inlineStr">
        <is>
          <t>S 4692-2022</t>
        </is>
      </c>
      <c r="B63" t="inlineStr">
        <is>
          <t>samrådsanmälan</t>
        </is>
      </c>
      <c r="C63" t="inlineStr">
        <is>
          <t>Askåterföring</t>
        </is>
      </c>
      <c r="D63" s="1" t="n">
        <v>44796</v>
      </c>
      <c r="E63" s="1" t="n">
        <v>46216</v>
      </c>
      <c r="F63" t="inlineStr">
        <is>
          <t>BLEKINGE LÄN</t>
        </is>
      </c>
      <c r="G63" t="inlineStr">
        <is>
          <t>SÖLVESBORG</t>
        </is>
      </c>
      <c r="I63" t="n">
        <v>56.8</v>
      </c>
      <c r="J63" t="n">
        <v>1</v>
      </c>
      <c r="K63" t="n">
        <v>1</v>
      </c>
      <c r="L63" t="n">
        <v>1</v>
      </c>
      <c r="M63" t="n">
        <v>0</v>
      </c>
      <c r="N63" t="n">
        <v>0</v>
      </c>
      <c r="O63" t="n">
        <v>0</v>
      </c>
      <c r="P63" t="n">
        <v>0</v>
      </c>
      <c r="Q63" t="n">
        <v>1</v>
      </c>
      <c r="R63" t="n">
        <v>0</v>
      </c>
      <c r="S63" t="n">
        <v>3</v>
      </c>
      <c r="T63" t="n">
        <v>3</v>
      </c>
      <c r="U63" s="2" t="inlineStr">
        <is>
          <t>Sommarfibbla
Myskmadra
Långbensgroda</t>
        </is>
      </c>
      <c r="V63">
        <f>HYPERLINK("https://klasma.github.io/Logging_1083/artfynd/S 4692-2022 artfynd.xlsx", "S 4692-2022")</f>
        <v/>
      </c>
      <c r="W63">
        <f>HYPERLINK("https://klasma.github.io/Logging_1083/kartor/S 4692-2022 karta.png", "S 4692-2022")</f>
        <v/>
      </c>
      <c r="Y63">
        <f>HYPERLINK("https://klasma.github.io/Logging_1083/klagomål/S 4692-2022 FSC-klagomål.docx", "S 4692-2022")</f>
        <v/>
      </c>
      <c r="Z63">
        <f>HYPERLINK("https://klasma.github.io/Logging_1083/klagomålsmail/S 4692-2022 FSC-klagomål mail.docx", "S 4692-2022")</f>
        <v/>
      </c>
      <c r="AA63">
        <f>HYPERLINK("https://klasma.github.io/Logging_1083/tillsyn/S 4692-2022 tillsynsbegäran.docx", "S 4692-2022")</f>
        <v/>
      </c>
      <c r="AB63">
        <f>HYPERLINK("https://klasma.github.io/Logging_1083/tillsynsmail/S 4692-2022 tillsynsbegäran mail.docx", "S 4692-2022")</f>
        <v/>
      </c>
    </row>
    <row r="64" ht="15" customHeight="1">
      <c r="A64" t="inlineStr">
        <is>
          <t>S 4614-2024</t>
        </is>
      </c>
      <c r="B64" t="inlineStr">
        <is>
          <t>samrådsanmälan</t>
        </is>
      </c>
      <c r="C64" t="inlineStr">
        <is>
          <t>Askåterföring</t>
        </is>
      </c>
      <c r="D64" s="1" t="n">
        <v>45603</v>
      </c>
      <c r="E64" s="1" t="n">
        <v>46216</v>
      </c>
      <c r="F64" t="inlineStr">
        <is>
          <t>BLEKINGE LÄN</t>
        </is>
      </c>
      <c r="G64" t="inlineStr">
        <is>
          <t>KARLSHAMN</t>
        </is>
      </c>
      <c r="I64" t="n">
        <v>210.3</v>
      </c>
      <c r="J64" t="n">
        <v>1</v>
      </c>
      <c r="K64" t="n">
        <v>0</v>
      </c>
      <c r="L64" t="n">
        <v>1</v>
      </c>
      <c r="M64" t="n">
        <v>1</v>
      </c>
      <c r="N64" t="n">
        <v>0</v>
      </c>
      <c r="O64" t="n">
        <v>0</v>
      </c>
      <c r="P64" t="n">
        <v>0</v>
      </c>
      <c r="Q64" t="n">
        <v>2</v>
      </c>
      <c r="R64" t="n">
        <v>1</v>
      </c>
      <c r="S64" t="n">
        <v>3</v>
      </c>
      <c r="T64" t="n">
        <v>3</v>
      </c>
      <c r="U64" s="2" t="inlineStr">
        <is>
          <t>Stortimjan
Slåtterfibbla
Trana</t>
        </is>
      </c>
      <c r="V64">
        <f>HYPERLINK("https://klasma.github.io/Logging_1082/artfynd/S 4614-2024 artfynd.xlsx", "S 4614-2024")</f>
        <v/>
      </c>
      <c r="W64">
        <f>HYPERLINK("https://klasma.github.io/Logging_1082/kartor/S 4614-2024 karta.png", "S 4614-2024")</f>
        <v/>
      </c>
      <c r="Y64">
        <f>HYPERLINK("https://klasma.github.io/Logging_1082/klagomål/S 4614-2024 FSC-klagomål.docx", "S 4614-2024")</f>
        <v/>
      </c>
      <c r="Z64">
        <f>HYPERLINK("https://klasma.github.io/Logging_1082/klagomålsmail/S 4614-2024 FSC-klagomål mail.docx", "S 4614-2024")</f>
        <v/>
      </c>
      <c r="AA64">
        <f>HYPERLINK("https://klasma.github.io/Logging_1082/tillsyn/S 4614-2024 tillsynsbegäran.docx", "S 4614-2024")</f>
        <v/>
      </c>
      <c r="AB64">
        <f>HYPERLINK("https://klasma.github.io/Logging_1082/tillsynsmail/S 4614-2024 tillsynsbegäran mail.docx", "S 4614-2024")</f>
        <v/>
      </c>
      <c r="AC64">
        <f>HYPERLINK("https://klasma.github.io/Logging_1082/fåglar/S 4614-2024 prioriterade fågelarter.docx", "S 4614-2024")</f>
        <v/>
      </c>
    </row>
    <row r="65" ht="15" customHeight="1">
      <c r="A65" t="inlineStr">
        <is>
          <t>S 2121-2022</t>
        </is>
      </c>
      <c r="B65" t="inlineStr">
        <is>
          <t>samrådsanmälan</t>
        </is>
      </c>
      <c r="C65" t="inlineStr">
        <is>
          <t>Askåterföring</t>
        </is>
      </c>
      <c r="D65" s="1" t="n">
        <v>44676</v>
      </c>
      <c r="E65" s="1" t="n">
        <v>46216</v>
      </c>
      <c r="F65" t="inlineStr">
        <is>
          <t>BLEKINGE LÄN</t>
        </is>
      </c>
      <c r="G65" t="inlineStr">
        <is>
          <t>RONNEBY</t>
        </is>
      </c>
      <c r="H65" t="inlineStr">
        <is>
          <t>Övriga Aktiebolag</t>
        </is>
      </c>
      <c r="I65" t="n">
        <v>220.6</v>
      </c>
      <c r="J65" t="n">
        <v>0</v>
      </c>
      <c r="K65" t="n">
        <v>1</v>
      </c>
      <c r="L65" t="n">
        <v>2</v>
      </c>
      <c r="M65" t="n">
        <v>0</v>
      </c>
      <c r="N65" t="n">
        <v>0</v>
      </c>
      <c r="O65" t="n">
        <v>0</v>
      </c>
      <c r="P65" t="n">
        <v>0</v>
      </c>
      <c r="Q65" t="n">
        <v>2</v>
      </c>
      <c r="R65" t="n">
        <v>0</v>
      </c>
      <c r="S65" t="n">
        <v>3</v>
      </c>
      <c r="T65" t="n">
        <v>3</v>
      </c>
      <c r="U65" s="2" t="inlineStr">
        <is>
          <t>Korskovall
Svart skogssnigel
Tibast</t>
        </is>
      </c>
      <c r="V65">
        <f>HYPERLINK("https://klasma.github.io/Logging_1081/artfynd/S 2121-2022 artfynd.xlsx", "S 2121-2022")</f>
        <v/>
      </c>
      <c r="W65">
        <f>HYPERLINK("https://klasma.github.io/Logging_1081/kartor/S 2121-2022 karta.png", "S 2121-2022")</f>
        <v/>
      </c>
      <c r="Y65">
        <f>HYPERLINK("https://klasma.github.io/Logging_1081/klagomål/S 2121-2022 FSC-klagomål.docx", "S 2121-2022")</f>
        <v/>
      </c>
      <c r="Z65">
        <f>HYPERLINK("https://klasma.github.io/Logging_1081/klagomålsmail/S 2121-2022 FSC-klagomål mail.docx", "S 2121-2022")</f>
        <v/>
      </c>
      <c r="AA65">
        <f>HYPERLINK("https://klasma.github.io/Logging_1081/tillsyn/S 2121-2022 tillsynsbegäran.docx", "S 2121-2022")</f>
        <v/>
      </c>
      <c r="AB65">
        <f>HYPERLINK("https://klasma.github.io/Logging_1081/tillsynsmail/S 2121-2022 tillsynsbegäran mail.docx", "S 2121-2022")</f>
        <v/>
      </c>
    </row>
    <row r="66" ht="15" customHeight="1">
      <c r="A66" t="inlineStr">
        <is>
          <t>S 360-2026</t>
        </is>
      </c>
      <c r="B66" t="inlineStr">
        <is>
          <t>samrådsanmälan</t>
        </is>
      </c>
      <c r="C66" t="inlineStr">
        <is>
          <t>Askåterföring</t>
        </is>
      </c>
      <c r="D66" s="1" t="n">
        <v>46064</v>
      </c>
      <c r="E66" s="1" t="n">
        <v>46216</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s="2" t="inlineStr">
        <is>
          <t>Långbensgroda
Större vattensalamander
Åkergroda</t>
        </is>
      </c>
      <c r="V66">
        <f>HYPERLINK("https://klasma.github.io/Logging_1080/artfynd/S 360-2026 artfynd.xlsx", "S 360-2026")</f>
        <v/>
      </c>
      <c r="W66">
        <f>HYPERLINK("https://klasma.github.io/Logging_1080/kartor/S 360-2026 karta.png", "S 360-2026")</f>
        <v/>
      </c>
      <c r="Y66">
        <f>HYPERLINK("https://klasma.github.io/Logging_1080/klagomål/S 360-2026 FSC-klagomål.docx", "S 360-2026")</f>
        <v/>
      </c>
      <c r="Z66">
        <f>HYPERLINK("https://klasma.github.io/Logging_1080/klagomålsmail/S 360-2026 FSC-klagomål mail.docx", "S 360-2026")</f>
        <v/>
      </c>
      <c r="AA66">
        <f>HYPERLINK("https://klasma.github.io/Logging_1080/tillsyn/S 360-2026 tillsynsbegäran.docx", "S 360-2026")</f>
        <v/>
      </c>
      <c r="AB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46216</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s="2" t="inlineStr">
        <is>
          <t>Nattskärra
Vanlig padda
Grönvit nattviol</t>
        </is>
      </c>
      <c r="V67">
        <f>HYPERLINK("https://klasma.github.io/Logging_1082/artfynd/S 698-2026 artfynd.xlsx", "S 698-2026")</f>
        <v/>
      </c>
      <c r="W67">
        <f>HYPERLINK("https://klasma.github.io/Logging_1082/kartor/S 698-2026 karta.png", "S 698-2026")</f>
        <v/>
      </c>
      <c r="Y67">
        <f>HYPERLINK("https://klasma.github.io/Logging_1082/klagomål/S 698-2026 FSC-klagomål.docx", "S 698-2026")</f>
        <v/>
      </c>
      <c r="Z67">
        <f>HYPERLINK("https://klasma.github.io/Logging_1082/klagomålsmail/S 698-2026 FSC-klagomål mail.docx", "S 698-2026")</f>
        <v/>
      </c>
      <c r="AA67">
        <f>HYPERLINK("https://klasma.github.io/Logging_1082/tillsyn/S 698-2026 tillsynsbegäran.docx", "S 698-2026")</f>
        <v/>
      </c>
      <c r="AB67">
        <f>HYPERLINK("https://klasma.github.io/Logging_1082/tillsynsmail/S 698-2026 tillsynsbegäran mail.docx", "S 698-2026")</f>
        <v/>
      </c>
      <c r="AC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46216</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s="2" t="inlineStr">
        <is>
          <t>Ask
Långbensgroda
Större vattensalamander</t>
        </is>
      </c>
      <c r="V68">
        <f>HYPERLINK("https://klasma.github.io/Logging_1080/artfynd/S 858-2026 artfynd.xlsx", "S 858-2026")</f>
        <v/>
      </c>
      <c r="W68">
        <f>HYPERLINK("https://klasma.github.io/Logging_1080/kartor/S 858-2026 karta.png", "S 858-2026")</f>
        <v/>
      </c>
      <c r="Y68">
        <f>HYPERLINK("https://klasma.github.io/Logging_1080/klagomål/S 858-2026 FSC-klagomål.docx", "S 858-2026")</f>
        <v/>
      </c>
      <c r="Z68">
        <f>HYPERLINK("https://klasma.github.io/Logging_1080/klagomålsmail/S 858-2026 FSC-klagomål mail.docx", "S 858-2026")</f>
        <v/>
      </c>
      <c r="AA68">
        <f>HYPERLINK("https://klasma.github.io/Logging_1080/tillsyn/S 858-2026 tillsynsbegäran.docx", "S 858-2026")</f>
        <v/>
      </c>
      <c r="AB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46216</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s="2" t="inlineStr">
        <is>
          <t>Björksplintborre
Vanlig padda</t>
        </is>
      </c>
      <c r="V69">
        <f>HYPERLINK("https://klasma.github.io/Logging_1060/artfynd/A 74357-2021 artfynd.xlsx", "A 74357-2021")</f>
        <v/>
      </c>
      <c r="W69">
        <f>HYPERLINK("https://klasma.github.io/Logging_1060/kartor/A 74357-2021 karta.png", "A 74357-2021")</f>
        <v/>
      </c>
      <c r="Y69">
        <f>HYPERLINK("https://klasma.github.io/Logging_1060/klagomål/A 74357-2021 FSC-klagomål.docx", "A 74357-2021")</f>
        <v/>
      </c>
      <c r="Z69">
        <f>HYPERLINK("https://klasma.github.io/Logging_1060/klagomålsmail/A 74357-2021 FSC-klagomål mail.docx", "A 74357-2021")</f>
        <v/>
      </c>
      <c r="AA69">
        <f>HYPERLINK("https://klasma.github.io/Logging_1060/tillsyn/A 74357-2021 tillsynsbegäran.docx", "A 74357-2021")</f>
        <v/>
      </c>
      <c r="AB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46216</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s="2" t="inlineStr">
        <is>
          <t>Större vattensalamander
Mindre vattensalamander</t>
        </is>
      </c>
      <c r="V70">
        <f>HYPERLINK("https://klasma.github.io/Logging_1083/artfynd/A 10274-2022 artfynd.xlsx", "A 10274-2022")</f>
        <v/>
      </c>
      <c r="W70">
        <f>HYPERLINK("https://klasma.github.io/Logging_1083/kartor/A 10274-2022 karta.png", "A 10274-2022")</f>
        <v/>
      </c>
      <c r="Y70">
        <f>HYPERLINK("https://klasma.github.io/Logging_1083/klagomål/A 10274-2022 FSC-klagomål.docx", "A 10274-2022")</f>
        <v/>
      </c>
      <c r="Z70">
        <f>HYPERLINK("https://klasma.github.io/Logging_1083/klagomålsmail/A 10274-2022 FSC-klagomål mail.docx", "A 10274-2022")</f>
        <v/>
      </c>
      <c r="AA70">
        <f>HYPERLINK("https://klasma.github.io/Logging_1083/tillsyn/A 10274-2022 tillsynsbegäran.docx", "A 10274-2022")</f>
        <v/>
      </c>
      <c r="AB70">
        <f>HYPERLINK("https://klasma.github.io/Logging_1083/tillsynsmail/A 10274-2022 tillsynsbegäran mail.docx", "A 10274-2022")</f>
        <v/>
      </c>
    </row>
    <row r="71" ht="15" customHeight="1">
      <c r="A71" t="inlineStr">
        <is>
          <t>A 16893-2023</t>
        </is>
      </c>
      <c r="B71" t="inlineStr">
        <is>
          <t>avverkningsanmälan</t>
        </is>
      </c>
      <c r="C71" t="inlineStr">
        <is>
          <t>Avverkning för annat ändamål</t>
        </is>
      </c>
      <c r="D71" s="1" t="n">
        <v>45028</v>
      </c>
      <c r="E71" s="1" t="n">
        <v>46216</v>
      </c>
      <c r="F71" t="inlineStr">
        <is>
          <t>BLEKINGE LÄN</t>
        </is>
      </c>
      <c r="G71" t="inlineStr">
        <is>
          <t>KARLSHAMN</t>
        </is>
      </c>
      <c r="I71" t="n">
        <v>10.7</v>
      </c>
      <c r="J71" t="n">
        <v>0</v>
      </c>
      <c r="K71" t="n">
        <v>0</v>
      </c>
      <c r="L71" t="n">
        <v>1</v>
      </c>
      <c r="M71" t="n">
        <v>1</v>
      </c>
      <c r="N71" t="n">
        <v>0</v>
      </c>
      <c r="O71" t="n">
        <v>0</v>
      </c>
      <c r="P71" t="n">
        <v>0</v>
      </c>
      <c r="Q71" t="n">
        <v>2</v>
      </c>
      <c r="R71" t="n">
        <v>1</v>
      </c>
      <c r="S71" t="n">
        <v>2</v>
      </c>
      <c r="T71" t="n">
        <v>3</v>
      </c>
      <c r="U71" s="2" t="inlineStr">
        <is>
          <t>Stortimjan
Flikros</t>
        </is>
      </c>
      <c r="V71">
        <f>HYPERLINK("https://klasma.github.io/Logging_1082/artfynd/A 16893-2023 artfynd.xlsx", "A 16893-2023")</f>
        <v/>
      </c>
      <c r="W71">
        <f>HYPERLINK("https://klasma.github.io/Logging_1082/kartor/A 16893-2023 karta.png", "A 16893-2023")</f>
        <v/>
      </c>
      <c r="Y71">
        <f>HYPERLINK("https://klasma.github.io/Logging_1082/klagomål/A 16893-2023 FSC-klagomål.docx", "A 16893-2023")</f>
        <v/>
      </c>
      <c r="Z71">
        <f>HYPERLINK("https://klasma.github.io/Logging_1082/klagomålsmail/A 16893-2023 FSC-klagomål mail.docx", "A 16893-2023")</f>
        <v/>
      </c>
      <c r="AA71">
        <f>HYPERLINK("https://klasma.github.io/Logging_1082/tillsyn/A 16893-2023 tillsynsbegäran.docx", "A 16893-2023")</f>
        <v/>
      </c>
      <c r="AB71">
        <f>HYPERLINK("https://klasma.github.io/Logging_1082/tillsynsmail/A 16893-2023 tillsynsbegäran mail.docx", "A 16893-2023")</f>
        <v/>
      </c>
    </row>
    <row r="72" ht="15" customHeight="1">
      <c r="A72" t="inlineStr">
        <is>
          <t>A 38918-2025</t>
        </is>
      </c>
      <c r="B72" t="inlineStr">
        <is>
          <t>avverkningsanmälan</t>
        </is>
      </c>
      <c r="C72" t="inlineStr">
        <is>
          <t>Föryngringsavverkning</t>
        </is>
      </c>
      <c r="D72" s="1" t="n">
        <v>45884</v>
      </c>
      <c r="E72" s="1" t="n">
        <v>46216</v>
      </c>
      <c r="F72" t="inlineStr">
        <is>
          <t>BLEKINGE LÄN</t>
        </is>
      </c>
      <c r="G72" t="inlineStr">
        <is>
          <t>RONNEBY</t>
        </is>
      </c>
      <c r="H72" t="inlineStr">
        <is>
          <t>Kyrkan</t>
        </is>
      </c>
      <c r="I72" t="n">
        <v>6.1</v>
      </c>
      <c r="J72" t="n">
        <v>1</v>
      </c>
      <c r="K72" t="n">
        <v>1</v>
      </c>
      <c r="L72" t="n">
        <v>0</v>
      </c>
      <c r="M72" t="n">
        <v>0</v>
      </c>
      <c r="N72" t="n">
        <v>0</v>
      </c>
      <c r="O72" t="n">
        <v>0</v>
      </c>
      <c r="P72" t="n">
        <v>0</v>
      </c>
      <c r="Q72" t="n">
        <v>0</v>
      </c>
      <c r="R72" t="n">
        <v>0</v>
      </c>
      <c r="S72" t="n">
        <v>2</v>
      </c>
      <c r="T72" t="n">
        <v>2</v>
      </c>
      <c r="U72" s="2" t="inlineStr">
        <is>
          <t>Blåmossa
Pudrad kärrtrollslända</t>
        </is>
      </c>
      <c r="V72">
        <f>HYPERLINK("https://klasma.github.io/Logging_1081/artfynd/A 38918-2025 artfynd.xlsx", "A 38918-2025")</f>
        <v/>
      </c>
      <c r="W72">
        <f>HYPERLINK("https://klasma.github.io/Logging_1081/kartor/A 38918-2025 karta.png", "A 38918-2025")</f>
        <v/>
      </c>
      <c r="Y72">
        <f>HYPERLINK("https://klasma.github.io/Logging_1081/klagomål/A 38918-2025 FSC-klagomål.docx", "A 38918-2025")</f>
        <v/>
      </c>
      <c r="Z72">
        <f>HYPERLINK("https://klasma.github.io/Logging_1081/klagomålsmail/A 38918-2025 FSC-klagomål mail.docx", "A 38918-2025")</f>
        <v/>
      </c>
      <c r="AA72">
        <f>HYPERLINK("https://klasma.github.io/Logging_1081/tillsyn/A 38918-2025 tillsynsbegäran.docx", "A 38918-2025")</f>
        <v/>
      </c>
      <c r="AB72">
        <f>HYPERLINK("https://klasma.github.io/Logging_1081/tillsynsmail/A 38918-2025 tillsynsbegäran mail.docx", "A 38918-2025")</f>
        <v/>
      </c>
    </row>
    <row r="73" ht="15" customHeight="1">
      <c r="A73" t="inlineStr">
        <is>
          <t>A 14625-2022</t>
        </is>
      </c>
      <c r="B73" t="inlineStr">
        <is>
          <t>avverkningsanmälan</t>
        </is>
      </c>
      <c r="C73" t="inlineStr">
        <is>
          <t>Föryngringsavverkning</t>
        </is>
      </c>
      <c r="D73" s="1" t="n">
        <v>44655</v>
      </c>
      <c r="E73" s="1" t="n">
        <v>46216</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s="2" t="inlineStr">
        <is>
          <t>Havstulpanlav
Klippfrullania</t>
        </is>
      </c>
      <c r="V73">
        <f>HYPERLINK("https://klasma.github.io/Logging_1081/artfynd/A 14625-2022 artfynd.xlsx", "A 14625-2022")</f>
        <v/>
      </c>
      <c r="W73">
        <f>HYPERLINK("https://klasma.github.io/Logging_1081/kartor/A 14625-2022 karta.png", "A 14625-2022")</f>
        <v/>
      </c>
      <c r="Y73">
        <f>HYPERLINK("https://klasma.github.io/Logging_1081/klagomål/A 14625-2022 FSC-klagomål.docx", "A 14625-2022")</f>
        <v/>
      </c>
      <c r="Z73">
        <f>HYPERLINK("https://klasma.github.io/Logging_1081/klagomålsmail/A 14625-2022 FSC-klagomål mail.docx", "A 14625-2022")</f>
        <v/>
      </c>
      <c r="AA73">
        <f>HYPERLINK("https://klasma.github.io/Logging_1081/tillsyn/A 14625-2022 tillsynsbegäran.docx", "A 14625-2022")</f>
        <v/>
      </c>
      <c r="AB73">
        <f>HYPERLINK("https://klasma.github.io/Logging_1081/tillsynsmail/A 14625-2022 tillsynsbegäran mail.docx", "A 14625-2022")</f>
        <v/>
      </c>
    </row>
    <row r="74" ht="15" customHeight="1">
      <c r="A74" t="inlineStr">
        <is>
          <t>A 21769-2023</t>
        </is>
      </c>
      <c r="B74" t="inlineStr">
        <is>
          <t>avverkningsanmälan</t>
        </is>
      </c>
      <c r="C74" t="inlineStr">
        <is>
          <t>Avverkning för annat ändamål</t>
        </is>
      </c>
      <c r="D74" s="1" t="n">
        <v>45065</v>
      </c>
      <c r="E74" s="1" t="n">
        <v>46216</v>
      </c>
      <c r="F74" t="inlineStr">
        <is>
          <t>BLEKINGE LÄN</t>
        </is>
      </c>
      <c r="G74" t="inlineStr">
        <is>
          <t>SÖLVESBORG</t>
        </is>
      </c>
      <c r="I74" t="n">
        <v>2.1</v>
      </c>
      <c r="J74" t="n">
        <v>1</v>
      </c>
      <c r="K74" t="n">
        <v>0</v>
      </c>
      <c r="L74" t="n">
        <v>0</v>
      </c>
      <c r="M74" t="n">
        <v>0</v>
      </c>
      <c r="N74" t="n">
        <v>1</v>
      </c>
      <c r="O74" t="n">
        <v>0</v>
      </c>
      <c r="P74" t="n">
        <v>0</v>
      </c>
      <c r="Q74" t="n">
        <v>1</v>
      </c>
      <c r="R74" t="n">
        <v>1</v>
      </c>
      <c r="S74" t="n">
        <v>2</v>
      </c>
      <c r="T74" t="n">
        <v>2</v>
      </c>
      <c r="U74" s="2" t="inlineStr">
        <is>
          <t>Skogsalm
Sankt pers nycklar</t>
        </is>
      </c>
      <c r="V74">
        <f>HYPERLINK("https://klasma.github.io/Logging_1083/artfynd/A 21769-2023 artfynd.xlsx", "A 21769-2023")</f>
        <v/>
      </c>
      <c r="W74">
        <f>HYPERLINK("https://klasma.github.io/Logging_1083/kartor/A 21769-2023 karta.png", "A 21769-2023")</f>
        <v/>
      </c>
      <c r="Y74">
        <f>HYPERLINK("https://klasma.github.io/Logging_1083/klagomål/A 21769-2023 FSC-klagomål.docx", "A 21769-2023")</f>
        <v/>
      </c>
      <c r="Z74">
        <f>HYPERLINK("https://klasma.github.io/Logging_1083/klagomålsmail/A 21769-2023 FSC-klagomål mail.docx", "A 21769-2023")</f>
        <v/>
      </c>
      <c r="AA74">
        <f>HYPERLINK("https://klasma.github.io/Logging_1083/tillsyn/A 21769-2023 tillsynsbegäran.docx", "A 21769-2023")</f>
        <v/>
      </c>
      <c r="AB74">
        <f>HYPERLINK("https://klasma.github.io/Logging_1083/tillsynsmail/A 21769-2023 tillsynsbegäran mail.docx", "A 21769-2023")</f>
        <v/>
      </c>
    </row>
    <row r="75" ht="15" customHeight="1">
      <c r="A75" t="inlineStr">
        <is>
          <t>A 59891-2024</t>
        </is>
      </c>
      <c r="B75" t="inlineStr">
        <is>
          <t>avverkningsanmälan</t>
        </is>
      </c>
      <c r="C75" t="inlineStr">
        <is>
          <t>Föryngringsavverkning</t>
        </is>
      </c>
      <c r="D75" s="1" t="n">
        <v>45641</v>
      </c>
      <c r="E75" s="1" t="n">
        <v>46216</v>
      </c>
      <c r="F75" t="inlineStr">
        <is>
          <t>BLEKINGE LÄN</t>
        </is>
      </c>
      <c r="G75" t="inlineStr">
        <is>
          <t>OLOFSTRÖM</t>
        </is>
      </c>
      <c r="I75" t="n">
        <v>4.3</v>
      </c>
      <c r="J75" t="n">
        <v>1</v>
      </c>
      <c r="K75" t="n">
        <v>0</v>
      </c>
      <c r="L75" t="n">
        <v>0</v>
      </c>
      <c r="M75" t="n">
        <v>1</v>
      </c>
      <c r="N75" t="n">
        <v>0</v>
      </c>
      <c r="O75" t="n">
        <v>0</v>
      </c>
      <c r="P75" t="n">
        <v>0</v>
      </c>
      <c r="Q75" t="n">
        <v>1</v>
      </c>
      <c r="R75" t="n">
        <v>1</v>
      </c>
      <c r="S75" t="n">
        <v>2</v>
      </c>
      <c r="T75" t="n">
        <v>4</v>
      </c>
      <c r="U75" s="2" t="inlineStr">
        <is>
          <t>Sjötåtel
Revlummer</t>
        </is>
      </c>
      <c r="V75">
        <f>HYPERLINK("https://klasma.github.io/Logging_1060/artfynd/A 59891-2024 artfynd.xlsx", "A 59891-2024")</f>
        <v/>
      </c>
      <c r="W75">
        <f>HYPERLINK("https://klasma.github.io/Logging_1060/kartor/A 59891-2024 karta.png", "A 59891-2024")</f>
        <v/>
      </c>
      <c r="Y75">
        <f>HYPERLINK("https://klasma.github.io/Logging_1060/klagomål/A 59891-2024 FSC-klagomål.docx", "A 59891-2024")</f>
        <v/>
      </c>
      <c r="Z75">
        <f>HYPERLINK("https://klasma.github.io/Logging_1060/klagomålsmail/A 59891-2024 FSC-klagomål mail.docx", "A 59891-2024")</f>
        <v/>
      </c>
      <c r="AA75">
        <f>HYPERLINK("https://klasma.github.io/Logging_1060/tillsyn/A 59891-2024 tillsynsbegäran.docx", "A 59891-2024")</f>
        <v/>
      </c>
      <c r="AB75">
        <f>HYPERLINK("https://klasma.github.io/Logging_1060/tillsynsmail/A 59891-2024 tillsynsbegäran mail.docx", "A 59891-2024")</f>
        <v/>
      </c>
    </row>
    <row r="76" ht="15" customHeight="1">
      <c r="A76" t="inlineStr">
        <is>
          <t>A 41421-2025</t>
        </is>
      </c>
      <c r="B76" t="inlineStr">
        <is>
          <t>avverkningsanmälan</t>
        </is>
      </c>
      <c r="C76" t="inlineStr">
        <is>
          <t>Föryngringsavverkning</t>
        </is>
      </c>
      <c r="D76" s="1" t="n">
        <v>45901</v>
      </c>
      <c r="E76" s="1" t="n">
        <v>46216</v>
      </c>
      <c r="F76" t="inlineStr">
        <is>
          <t>BLEKINGE LÄN</t>
        </is>
      </c>
      <c r="G76" t="inlineStr">
        <is>
          <t>KARLSKRONA</t>
        </is>
      </c>
      <c r="H76" t="inlineStr">
        <is>
          <t>Kommuner</t>
        </is>
      </c>
      <c r="I76" t="n">
        <v>4.2</v>
      </c>
      <c r="J76" t="n">
        <v>1</v>
      </c>
      <c r="K76" t="n">
        <v>1</v>
      </c>
      <c r="L76" t="n">
        <v>1</v>
      </c>
      <c r="M76" t="n">
        <v>0</v>
      </c>
      <c r="N76" t="n">
        <v>0</v>
      </c>
      <c r="O76" t="n">
        <v>0</v>
      </c>
      <c r="P76" t="n">
        <v>0</v>
      </c>
      <c r="Q76" t="n">
        <v>1</v>
      </c>
      <c r="R76" t="n">
        <v>0</v>
      </c>
      <c r="S76" t="n">
        <v>2</v>
      </c>
      <c r="T76" t="n">
        <v>4</v>
      </c>
      <c r="U76" s="2" t="inlineStr">
        <is>
          <t>Sydlig sotticka
Ekoxe</t>
        </is>
      </c>
      <c r="V76">
        <f>HYPERLINK("https://klasma.github.io/Logging_1080/artfynd/A 41421-2025 artfynd.xlsx", "A 41421-2025")</f>
        <v/>
      </c>
      <c r="W76">
        <f>HYPERLINK("https://klasma.github.io/Logging_1080/kartor/A 41421-2025 karta.png", "A 41421-2025")</f>
        <v/>
      </c>
      <c r="Y76">
        <f>HYPERLINK("https://klasma.github.io/Logging_1080/klagomål/A 41421-2025 FSC-klagomål.docx", "A 41421-2025")</f>
        <v/>
      </c>
      <c r="Z76">
        <f>HYPERLINK("https://klasma.github.io/Logging_1080/klagomålsmail/A 41421-2025 FSC-klagomål mail.docx", "A 41421-2025")</f>
        <v/>
      </c>
      <c r="AA76">
        <f>HYPERLINK("https://klasma.github.io/Logging_1080/tillsyn/A 41421-2025 tillsynsbegäran.docx", "A 41421-2025")</f>
        <v/>
      </c>
      <c r="AB76">
        <f>HYPERLINK("https://klasma.github.io/Logging_1080/tillsynsmail/A 41421-2025 tillsynsbegäran mail.docx", "A 41421-2025")</f>
        <v/>
      </c>
    </row>
    <row r="77" ht="15" customHeight="1">
      <c r="A77" t="inlineStr">
        <is>
          <t>A 47800-2024</t>
        </is>
      </c>
      <c r="B77" t="inlineStr">
        <is>
          <t>avverkningsanmälan</t>
        </is>
      </c>
      <c r="C77" t="inlineStr">
        <is>
          <t>Föryngringsavverkning</t>
        </is>
      </c>
      <c r="D77" s="1" t="n">
        <v>45588</v>
      </c>
      <c r="E77" s="1" t="n">
        <v>46216</v>
      </c>
      <c r="F77" t="inlineStr">
        <is>
          <t>BLEKINGE LÄN</t>
        </is>
      </c>
      <c r="G77" t="inlineStr">
        <is>
          <t>RONNEBY</t>
        </is>
      </c>
      <c r="H77" t="inlineStr">
        <is>
          <t>Kommuner</t>
        </is>
      </c>
      <c r="I77" t="n">
        <v>5.8</v>
      </c>
      <c r="J77" t="n">
        <v>0</v>
      </c>
      <c r="K77" t="n">
        <v>0</v>
      </c>
      <c r="L77" t="n">
        <v>2</v>
      </c>
      <c r="M77" t="n">
        <v>0</v>
      </c>
      <c r="N77" t="n">
        <v>0</v>
      </c>
      <c r="O77" t="n">
        <v>0</v>
      </c>
      <c r="P77" t="n">
        <v>0</v>
      </c>
      <c r="Q77" t="n">
        <v>2</v>
      </c>
      <c r="R77" t="n">
        <v>0</v>
      </c>
      <c r="S77" t="n">
        <v>2</v>
      </c>
      <c r="T77" t="n">
        <v>2</v>
      </c>
      <c r="U77" s="2" t="inlineStr">
        <is>
          <t>Grå taggsvamp
Tjockfotad fingersvamp</t>
        </is>
      </c>
      <c r="V77">
        <f>HYPERLINK("https://klasma.github.io/Logging_1081/artfynd/A 47800-2024 artfynd.xlsx", "A 47800-2024")</f>
        <v/>
      </c>
      <c r="W77">
        <f>HYPERLINK("https://klasma.github.io/Logging_1081/kartor/A 47800-2024 karta.png", "A 47800-2024")</f>
        <v/>
      </c>
      <c r="Y77">
        <f>HYPERLINK("https://klasma.github.io/Logging_1081/klagomål/A 47800-2024 FSC-klagomål.docx", "A 47800-2024")</f>
        <v/>
      </c>
      <c r="Z77">
        <f>HYPERLINK("https://klasma.github.io/Logging_1081/klagomålsmail/A 47800-2024 FSC-klagomål mail.docx", "A 47800-2024")</f>
        <v/>
      </c>
      <c r="AA77">
        <f>HYPERLINK("https://klasma.github.io/Logging_1081/tillsyn/A 47800-2024 tillsynsbegäran.docx", "A 47800-2024")</f>
        <v/>
      </c>
      <c r="AB77">
        <f>HYPERLINK("https://klasma.github.io/Logging_1081/tillsynsmail/A 47800-2024 tillsynsbegäran mail.docx", "A 47800-2024")</f>
        <v/>
      </c>
    </row>
    <row r="78" ht="15" customHeight="1">
      <c r="A78" t="inlineStr">
        <is>
          <t>A 25455-2023</t>
        </is>
      </c>
      <c r="B78" t="inlineStr">
        <is>
          <t>avverkningsanmälan</t>
        </is>
      </c>
      <c r="C78" t="inlineStr">
        <is>
          <t>Föryngringsavverkning</t>
        </is>
      </c>
      <c r="D78" s="1" t="n">
        <v>45089</v>
      </c>
      <c r="E78" s="1" t="n">
        <v>46216</v>
      </c>
      <c r="F78" t="inlineStr">
        <is>
          <t>BLEKINGE LÄN</t>
        </is>
      </c>
      <c r="G78" t="inlineStr">
        <is>
          <t>KARLSKRONA</t>
        </is>
      </c>
      <c r="I78" t="n">
        <v>1.8</v>
      </c>
      <c r="J78" t="n">
        <v>0</v>
      </c>
      <c r="K78" t="n">
        <v>0</v>
      </c>
      <c r="L78" t="n">
        <v>1</v>
      </c>
      <c r="M78" t="n">
        <v>1</v>
      </c>
      <c r="N78" t="n">
        <v>0</v>
      </c>
      <c r="O78" t="n">
        <v>0</v>
      </c>
      <c r="P78" t="n">
        <v>0</v>
      </c>
      <c r="Q78" t="n">
        <v>2</v>
      </c>
      <c r="R78" t="n">
        <v>1</v>
      </c>
      <c r="S78" t="n">
        <v>2</v>
      </c>
      <c r="T78" t="n">
        <v>3</v>
      </c>
      <c r="U78" s="2" t="inlineStr">
        <is>
          <t>Mindre bastardsvärmare
Slåtterfibbla</t>
        </is>
      </c>
      <c r="V78">
        <f>HYPERLINK("https://klasma.github.io/Logging_1080/artfynd/A 25455-2023 artfynd.xlsx", "A 25455-2023")</f>
        <v/>
      </c>
      <c r="W78">
        <f>HYPERLINK("https://klasma.github.io/Logging_1080/kartor/A 25455-2023 karta.png", "A 25455-2023")</f>
        <v/>
      </c>
      <c r="Y78">
        <f>HYPERLINK("https://klasma.github.io/Logging_1080/klagomål/A 25455-2023 FSC-klagomål.docx", "A 25455-2023")</f>
        <v/>
      </c>
      <c r="Z78">
        <f>HYPERLINK("https://klasma.github.io/Logging_1080/klagomålsmail/A 25455-2023 FSC-klagomål mail.docx", "A 25455-2023")</f>
        <v/>
      </c>
      <c r="AA78">
        <f>HYPERLINK("https://klasma.github.io/Logging_1080/tillsyn/A 25455-2023 tillsynsbegäran.docx", "A 25455-2023")</f>
        <v/>
      </c>
      <c r="AB78">
        <f>HYPERLINK("https://klasma.github.io/Logging_1080/tillsynsmail/A 25455-2023 tillsynsbegäran mail.docx", "A 25455-2023")</f>
        <v/>
      </c>
    </row>
    <row r="79" ht="15" customHeight="1">
      <c r="A79" t="inlineStr">
        <is>
          <t>A 40310-2023</t>
        </is>
      </c>
      <c r="B79" t="inlineStr">
        <is>
          <t>avverkningsanmälan</t>
        </is>
      </c>
      <c r="C79" t="inlineStr">
        <is>
          <t>Föryngringsavverkning</t>
        </is>
      </c>
      <c r="D79" s="1" t="n">
        <v>45169</v>
      </c>
      <c r="E79" s="1" t="n">
        <v>46216</v>
      </c>
      <c r="F79" t="inlineStr">
        <is>
          <t>BLEKINGE LÄN</t>
        </is>
      </c>
      <c r="G79" t="inlineStr">
        <is>
          <t>KARLSHAMN</t>
        </is>
      </c>
      <c r="I79" t="n">
        <v>3.9</v>
      </c>
      <c r="J79" t="n">
        <v>1</v>
      </c>
      <c r="K79" t="n">
        <v>1</v>
      </c>
      <c r="L79" t="n">
        <v>1</v>
      </c>
      <c r="M79" t="n">
        <v>0</v>
      </c>
      <c r="N79" t="n">
        <v>0</v>
      </c>
      <c r="O79" t="n">
        <v>0</v>
      </c>
      <c r="P79" t="n">
        <v>0</v>
      </c>
      <c r="Q79" t="n">
        <v>1</v>
      </c>
      <c r="R79" t="n">
        <v>0</v>
      </c>
      <c r="S79" t="n">
        <v>2</v>
      </c>
      <c r="T79" t="n">
        <v>4</v>
      </c>
      <c r="U79" s="2" t="inlineStr">
        <is>
          <t>Sydspärgel
Skogsknipprot</t>
        </is>
      </c>
      <c r="V79">
        <f>HYPERLINK("https://klasma.github.io/Logging_1082/artfynd/A 40310-2023 artfynd.xlsx", "A 40310-2023")</f>
        <v/>
      </c>
      <c r="W79">
        <f>HYPERLINK("https://klasma.github.io/Logging_1082/kartor/A 40310-2023 karta.png", "A 40310-2023")</f>
        <v/>
      </c>
      <c r="Y79">
        <f>HYPERLINK("https://klasma.github.io/Logging_1082/klagomål/A 40310-2023 FSC-klagomål.docx", "A 40310-2023")</f>
        <v/>
      </c>
      <c r="Z79">
        <f>HYPERLINK("https://klasma.github.io/Logging_1082/klagomålsmail/A 40310-2023 FSC-klagomål mail.docx", "A 40310-2023")</f>
        <v/>
      </c>
      <c r="AA79">
        <f>HYPERLINK("https://klasma.github.io/Logging_1082/tillsyn/A 40310-2023 tillsynsbegäran.docx", "A 40310-2023")</f>
        <v/>
      </c>
      <c r="AB79">
        <f>HYPERLINK("https://klasma.github.io/Logging_1082/tillsynsmail/A 40310-2023 tillsynsbegäran mail.docx", "A 40310-2023")</f>
        <v/>
      </c>
    </row>
    <row r="80" ht="15" customHeight="1">
      <c r="A80" t="inlineStr">
        <is>
          <t>A 691-2023</t>
        </is>
      </c>
      <c r="B80" t="inlineStr">
        <is>
          <t>avverkningsanmälan</t>
        </is>
      </c>
      <c r="C80" t="inlineStr">
        <is>
          <t>Föryngringsavverkning</t>
        </is>
      </c>
      <c r="D80" s="1" t="n">
        <v>44930</v>
      </c>
      <c r="E80" s="1" t="n">
        <v>46216</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s="2" t="inlineStr">
        <is>
          <t>Kavelhirs
Mjukdån</t>
        </is>
      </c>
      <c r="V80">
        <f>HYPERLINK("https://klasma.github.io/Logging_1080/artfynd/A 691-2023 artfynd.xlsx", "A 691-2023")</f>
        <v/>
      </c>
      <c r="W80">
        <f>HYPERLINK("https://klasma.github.io/Logging_1080/kartor/A 691-2023 karta.png", "A 691-2023")</f>
        <v/>
      </c>
      <c r="Y80">
        <f>HYPERLINK("https://klasma.github.io/Logging_1080/klagomål/A 691-2023 FSC-klagomål.docx", "A 691-2023")</f>
        <v/>
      </c>
      <c r="Z80">
        <f>HYPERLINK("https://klasma.github.io/Logging_1080/klagomålsmail/A 691-2023 FSC-klagomål mail.docx", "A 691-2023")</f>
        <v/>
      </c>
      <c r="AA80">
        <f>HYPERLINK("https://klasma.github.io/Logging_1080/tillsyn/A 691-2023 tillsynsbegäran.docx", "A 691-2023")</f>
        <v/>
      </c>
      <c r="AB80">
        <f>HYPERLINK("https://klasma.github.io/Logging_1080/tillsynsmail/A 691-2023 tillsynsbegäran mail.docx", "A 691-2023")</f>
        <v/>
      </c>
    </row>
    <row r="81" ht="15" customHeight="1">
      <c r="A81" t="inlineStr">
        <is>
          <t>A 14351-2025</t>
        </is>
      </c>
      <c r="B81" t="inlineStr">
        <is>
          <t>avverkningsanmälan</t>
        </is>
      </c>
      <c r="C81" t="inlineStr">
        <is>
          <t>Föryngringsavverkning</t>
        </is>
      </c>
      <c r="D81" s="1" t="n">
        <v>45741</v>
      </c>
      <c r="E81" s="1" t="n">
        <v>46216</v>
      </c>
      <c r="F81" t="inlineStr">
        <is>
          <t>BLEKINGE LÄN</t>
        </is>
      </c>
      <c r="G81" t="inlineStr">
        <is>
          <t>RONNEBY</t>
        </is>
      </c>
      <c r="H81" t="inlineStr">
        <is>
          <t>Övriga Aktiebolag</t>
        </is>
      </c>
      <c r="I81" t="n">
        <v>5.5</v>
      </c>
      <c r="J81" t="n">
        <v>0</v>
      </c>
      <c r="K81" t="n">
        <v>1</v>
      </c>
      <c r="L81" t="n">
        <v>1</v>
      </c>
      <c r="M81" t="n">
        <v>0</v>
      </c>
      <c r="N81" t="n">
        <v>0</v>
      </c>
      <c r="O81" t="n">
        <v>0</v>
      </c>
      <c r="P81" t="n">
        <v>0</v>
      </c>
      <c r="Q81" t="n">
        <v>1</v>
      </c>
      <c r="R81" t="n">
        <v>0</v>
      </c>
      <c r="S81" t="n">
        <v>2</v>
      </c>
      <c r="T81" t="n">
        <v>2</v>
      </c>
      <c r="U81" s="2" t="inlineStr">
        <is>
          <t>Oxtungssvamp
Sotlav</t>
        </is>
      </c>
      <c r="V81">
        <f>HYPERLINK("https://klasma.github.io/Logging_1081/artfynd/A 14351-2025 artfynd.xlsx", "A 14351-2025")</f>
        <v/>
      </c>
      <c r="W81">
        <f>HYPERLINK("https://klasma.github.io/Logging_1081/kartor/A 14351-2025 karta.png", "A 14351-2025")</f>
        <v/>
      </c>
      <c r="Y81">
        <f>HYPERLINK("https://klasma.github.io/Logging_1081/klagomål/A 14351-2025 FSC-klagomål.docx", "A 14351-2025")</f>
        <v/>
      </c>
      <c r="Z81">
        <f>HYPERLINK("https://klasma.github.io/Logging_1081/klagomålsmail/A 14351-2025 FSC-klagomål mail.docx", "A 14351-2025")</f>
        <v/>
      </c>
      <c r="AA81">
        <f>HYPERLINK("https://klasma.github.io/Logging_1081/tillsyn/A 14351-2025 tillsynsbegäran.docx", "A 14351-2025")</f>
        <v/>
      </c>
      <c r="AB81">
        <f>HYPERLINK("https://klasma.github.io/Logging_1081/tillsynsmail/A 14351-2025 tillsynsbegäran mail.docx", "A 14351-2025")</f>
        <v/>
      </c>
    </row>
    <row r="82" ht="15" customHeight="1">
      <c r="A82" t="inlineStr">
        <is>
          <t>A 14176-2024</t>
        </is>
      </c>
      <c r="B82" t="inlineStr">
        <is>
          <t>avverkningsanmälan</t>
        </is>
      </c>
      <c r="C82" t="inlineStr">
        <is>
          <t>Föryngringsavverkning</t>
        </is>
      </c>
      <c r="D82" s="1" t="n">
        <v>45393</v>
      </c>
      <c r="E82" s="1" t="n">
        <v>46216</v>
      </c>
      <c r="F82" t="inlineStr">
        <is>
          <t>BLEKINGE LÄN</t>
        </is>
      </c>
      <c r="G82" t="inlineStr">
        <is>
          <t>KARLSKRONA</t>
        </is>
      </c>
      <c r="I82" t="n">
        <v>1.8</v>
      </c>
      <c r="J82" t="n">
        <v>2</v>
      </c>
      <c r="K82" t="n">
        <v>0</v>
      </c>
      <c r="L82" t="n">
        <v>0</v>
      </c>
      <c r="M82" t="n">
        <v>0</v>
      </c>
      <c r="N82" t="n">
        <v>0</v>
      </c>
      <c r="O82" t="n">
        <v>0</v>
      </c>
      <c r="P82" t="n">
        <v>0</v>
      </c>
      <c r="Q82" t="n">
        <v>0</v>
      </c>
      <c r="R82" t="n">
        <v>0</v>
      </c>
      <c r="S82" t="n">
        <v>2</v>
      </c>
      <c r="T82" t="n">
        <v>2</v>
      </c>
      <c r="U82" s="2" t="inlineStr">
        <is>
          <t>Långbensgroda
Mindre vattensalamander</t>
        </is>
      </c>
      <c r="V82">
        <f>HYPERLINK("https://klasma.github.io/Logging_1080/artfynd/A 14176-2024 artfynd.xlsx", "A 14176-2024")</f>
        <v/>
      </c>
      <c r="W82">
        <f>HYPERLINK("https://klasma.github.io/Logging_1080/kartor/A 14176-2024 karta.png", "A 14176-2024")</f>
        <v/>
      </c>
      <c r="Y82">
        <f>HYPERLINK("https://klasma.github.io/Logging_1080/klagomål/A 14176-2024 FSC-klagomål.docx", "A 14176-2024")</f>
        <v/>
      </c>
      <c r="Z82">
        <f>HYPERLINK("https://klasma.github.io/Logging_1080/klagomålsmail/A 14176-2024 FSC-klagomål mail.docx", "A 14176-2024")</f>
        <v/>
      </c>
      <c r="AA82">
        <f>HYPERLINK("https://klasma.github.io/Logging_1080/tillsyn/A 14176-2024 tillsynsbegäran.docx", "A 14176-2024")</f>
        <v/>
      </c>
      <c r="AB82">
        <f>HYPERLINK("https://klasma.github.io/Logging_1080/tillsynsmail/A 14176-2024 tillsynsbegäran mail.docx", "A 14176-2024")</f>
        <v/>
      </c>
    </row>
    <row r="83" ht="15" customHeight="1">
      <c r="A83" t="inlineStr">
        <is>
          <t>A 46157-2024</t>
        </is>
      </c>
      <c r="B83" t="inlineStr">
        <is>
          <t>avverkningsanmälan</t>
        </is>
      </c>
      <c r="C83" t="inlineStr">
        <is>
          <t>Föryngringsavverkning</t>
        </is>
      </c>
      <c r="D83" s="1" t="n">
        <v>45581</v>
      </c>
      <c r="E83" s="1" t="n">
        <v>46216</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s="2" t="inlineStr">
        <is>
          <t>Knärot
Västlig hakmossa</t>
        </is>
      </c>
      <c r="V83">
        <f>HYPERLINK("https://klasma.github.io/Logging_1060/artfynd/A 46157-2024 artfynd.xlsx", "A 46157-2024")</f>
        <v/>
      </c>
      <c r="W83">
        <f>HYPERLINK("https://klasma.github.io/Logging_1060/kartor/A 46157-2024 karta.png", "A 46157-2024")</f>
        <v/>
      </c>
      <c r="X83">
        <f>HYPERLINK("https://klasma.github.io/Logging_1060/knärot/A 46157-2024 karta knärot.png", "A 46157-2024")</f>
        <v/>
      </c>
      <c r="Y83">
        <f>HYPERLINK("https://klasma.github.io/Logging_1060/klagomål/A 46157-2024 FSC-klagomål.docx", "A 46157-2024")</f>
        <v/>
      </c>
      <c r="Z83">
        <f>HYPERLINK("https://klasma.github.io/Logging_1060/klagomålsmail/A 46157-2024 FSC-klagomål mail.docx", "A 46157-2024")</f>
        <v/>
      </c>
      <c r="AA83">
        <f>HYPERLINK("https://klasma.github.io/Logging_1060/tillsyn/A 46157-2024 tillsynsbegäran.docx", "A 46157-2024")</f>
        <v/>
      </c>
      <c r="AB83">
        <f>HYPERLINK("https://klasma.github.io/Logging_1060/tillsynsmail/A 46157-2024 tillsynsbegäran mail.docx", "A 46157-2024")</f>
        <v/>
      </c>
    </row>
    <row r="84" ht="15" customHeight="1">
      <c r="A84" t="inlineStr">
        <is>
          <t>A 27307-2026</t>
        </is>
      </c>
      <c r="B84" t="inlineStr">
        <is>
          <t>avverkningsanmälan</t>
        </is>
      </c>
      <c r="C84" t="inlineStr">
        <is>
          <t>Avverkning för att bevara och utveckla /försöksver</t>
        </is>
      </c>
      <c r="D84" s="1" t="n">
        <v>46188</v>
      </c>
      <c r="E84" s="1" t="n">
        <v>46216</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s="2" t="inlineStr">
        <is>
          <t>Ekskinn
Noshornsoxe</t>
        </is>
      </c>
      <c r="V84">
        <f>HYPERLINK("https://klasma.github.io/Logging_1081/artfynd/A 27307-2026 artfynd.xlsx", "A 27307-2026")</f>
        <v/>
      </c>
      <c r="W84">
        <f>HYPERLINK("https://klasma.github.io/Logging_1081/kartor/A 27307-2026 karta.png", "A 27307-2026")</f>
        <v/>
      </c>
      <c r="Y84">
        <f>HYPERLINK("https://klasma.github.io/Logging_1081/klagomål/A 27307-2026 FSC-klagomål.docx", "A 27307-2026")</f>
        <v/>
      </c>
      <c r="Z84">
        <f>HYPERLINK("https://klasma.github.io/Logging_1081/klagomålsmail/A 27307-2026 FSC-klagomål mail.docx", "A 27307-2026")</f>
        <v/>
      </c>
      <c r="AA84">
        <f>HYPERLINK("https://klasma.github.io/Logging_1081/tillsyn/A 27307-2026 tillsynsbegäran.docx", "A 27307-2026")</f>
        <v/>
      </c>
      <c r="AB84">
        <f>HYPERLINK("https://klasma.github.io/Logging_1081/tillsynsmail/A 27307-2026 tillsynsbegäran mail.docx", "A 27307-2026")</f>
        <v/>
      </c>
    </row>
    <row r="85" ht="15" customHeight="1">
      <c r="A85" t="inlineStr">
        <is>
          <t>A 12131-2023</t>
        </is>
      </c>
      <c r="B85" t="inlineStr">
        <is>
          <t>avverkningsanmälan</t>
        </is>
      </c>
      <c r="C85" t="inlineStr">
        <is>
          <t>Föryngringsavverkning</t>
        </is>
      </c>
      <c r="D85" s="1" t="n">
        <v>44998</v>
      </c>
      <c r="E85" s="1" t="n">
        <v>46216</v>
      </c>
      <c r="F85" t="inlineStr">
        <is>
          <t>BLEKINGE LÄN</t>
        </is>
      </c>
      <c r="G85" t="inlineStr">
        <is>
          <t>RONNEBY</t>
        </is>
      </c>
      <c r="I85" t="n">
        <v>3.8</v>
      </c>
      <c r="J85" t="n">
        <v>2</v>
      </c>
      <c r="K85" t="n">
        <v>0</v>
      </c>
      <c r="L85" t="n">
        <v>1</v>
      </c>
      <c r="M85" t="n">
        <v>0</v>
      </c>
      <c r="N85" t="n">
        <v>0</v>
      </c>
      <c r="O85" t="n">
        <v>0</v>
      </c>
      <c r="P85" t="n">
        <v>0</v>
      </c>
      <c r="Q85" t="n">
        <v>1</v>
      </c>
      <c r="R85" t="n">
        <v>0</v>
      </c>
      <c r="S85" t="n">
        <v>2</v>
      </c>
      <c r="T85" t="n">
        <v>2</v>
      </c>
      <c r="U85" s="2" t="inlineStr">
        <is>
          <t>Svarthakad buskskvätta
Trana</t>
        </is>
      </c>
      <c r="V85">
        <f>HYPERLINK("https://klasma.github.io/Logging_1081/artfynd/A 12131-2023 artfynd.xlsx", "A 12131-2023")</f>
        <v/>
      </c>
      <c r="W85">
        <f>HYPERLINK("https://klasma.github.io/Logging_1081/kartor/A 12131-2023 karta.png", "A 12131-2023")</f>
        <v/>
      </c>
      <c r="Y85">
        <f>HYPERLINK("https://klasma.github.io/Logging_1081/klagomål/A 12131-2023 FSC-klagomål.docx", "A 12131-2023")</f>
        <v/>
      </c>
      <c r="Z85">
        <f>HYPERLINK("https://klasma.github.io/Logging_1081/klagomålsmail/A 12131-2023 FSC-klagomål mail.docx", "A 12131-2023")</f>
        <v/>
      </c>
      <c r="AA85">
        <f>HYPERLINK("https://klasma.github.io/Logging_1081/tillsyn/A 12131-2023 tillsynsbegäran.docx", "A 12131-2023")</f>
        <v/>
      </c>
      <c r="AB85">
        <f>HYPERLINK("https://klasma.github.io/Logging_1081/tillsynsmail/A 12131-2023 tillsynsbegäran mail.docx", "A 12131-2023")</f>
        <v/>
      </c>
      <c r="AC85">
        <f>HYPERLINK("https://klasma.github.io/Logging_1081/fåglar/A 12131-2023 prioriterade fågelarter.docx", "A 12131-2023")</f>
        <v/>
      </c>
    </row>
    <row r="86" ht="15" customHeight="1">
      <c r="A86" t="inlineStr">
        <is>
          <t>A 55678-2022</t>
        </is>
      </c>
      <c r="B86" t="inlineStr">
        <is>
          <t>avverkningsanmälan</t>
        </is>
      </c>
      <c r="C86" t="inlineStr">
        <is>
          <t>Föryngringsavverkning</t>
        </is>
      </c>
      <c r="D86" s="1" t="n">
        <v>44888</v>
      </c>
      <c r="E86" s="1" t="n">
        <v>46216</v>
      </c>
      <c r="F86" t="inlineStr">
        <is>
          <t>BLEKINGE LÄN</t>
        </is>
      </c>
      <c r="G86" t="inlineStr">
        <is>
          <t>RONNEBY</t>
        </is>
      </c>
      <c r="I86" t="n">
        <v>1</v>
      </c>
      <c r="J86" t="n">
        <v>2</v>
      </c>
      <c r="K86" t="n">
        <v>0</v>
      </c>
      <c r="L86" t="n">
        <v>0</v>
      </c>
      <c r="M86" t="n">
        <v>0</v>
      </c>
      <c r="N86" t="n">
        <v>0</v>
      </c>
      <c r="O86" t="n">
        <v>0</v>
      </c>
      <c r="P86" t="n">
        <v>0</v>
      </c>
      <c r="Q86" t="n">
        <v>0</v>
      </c>
      <c r="R86" t="n">
        <v>0</v>
      </c>
      <c r="S86" t="n">
        <v>2</v>
      </c>
      <c r="T86" t="n">
        <v>2</v>
      </c>
      <c r="U86" s="2" t="inlineStr">
        <is>
          <t>Kungsfågel
Röd glada</t>
        </is>
      </c>
      <c r="V86">
        <f>HYPERLINK("https://klasma.github.io/Logging_1081/artfynd/A 55678-2022 artfynd.xlsx", "A 55678-2022")</f>
        <v/>
      </c>
      <c r="W86">
        <f>HYPERLINK("https://klasma.github.io/Logging_1081/kartor/A 55678-2022 karta.png", "A 55678-2022")</f>
        <v/>
      </c>
      <c r="Y86">
        <f>HYPERLINK("https://klasma.github.io/Logging_1081/klagomål/A 55678-2022 FSC-klagomål.docx", "A 55678-2022")</f>
        <v/>
      </c>
      <c r="Z86">
        <f>HYPERLINK("https://klasma.github.io/Logging_1081/klagomålsmail/A 55678-2022 FSC-klagomål mail.docx", "A 55678-2022")</f>
        <v/>
      </c>
      <c r="AA86">
        <f>HYPERLINK("https://klasma.github.io/Logging_1081/tillsyn/A 55678-2022 tillsynsbegäran.docx", "A 55678-2022")</f>
        <v/>
      </c>
      <c r="AB86">
        <f>HYPERLINK("https://klasma.github.io/Logging_1081/tillsynsmail/A 55678-2022 tillsynsbegäran mail.docx", "A 55678-2022")</f>
        <v/>
      </c>
      <c r="AC86">
        <f>HYPERLINK("https://klasma.github.io/Logging_1081/fåglar/A 55678-2022 prioriterade fågelarter.docx", "A 55678-2022")</f>
        <v/>
      </c>
    </row>
    <row r="87" ht="15" customHeight="1">
      <c r="A87" t="inlineStr">
        <is>
          <t>A 17849-2023</t>
        </is>
      </c>
      <c r="B87" t="inlineStr">
        <is>
          <t>avverkningsanmälan</t>
        </is>
      </c>
      <c r="C87" t="inlineStr">
        <is>
          <t>Föryngringsavverkning</t>
        </is>
      </c>
      <c r="D87" s="1" t="n">
        <v>45037</v>
      </c>
      <c r="E87" s="1" t="n">
        <v>46216</v>
      </c>
      <c r="F87" t="inlineStr">
        <is>
          <t>BLEKINGE LÄN</t>
        </is>
      </c>
      <c r="G87" t="inlineStr">
        <is>
          <t>KARLSKRONA</t>
        </is>
      </c>
      <c r="H87" t="inlineStr">
        <is>
          <t>Kommuner</t>
        </is>
      </c>
      <c r="I87" t="n">
        <v>10</v>
      </c>
      <c r="J87" t="n">
        <v>0</v>
      </c>
      <c r="K87" t="n">
        <v>1</v>
      </c>
      <c r="L87" t="n">
        <v>0</v>
      </c>
      <c r="M87" t="n">
        <v>1</v>
      </c>
      <c r="N87" t="n">
        <v>0</v>
      </c>
      <c r="O87" t="n">
        <v>0</v>
      </c>
      <c r="P87" t="n">
        <v>0</v>
      </c>
      <c r="Q87" t="n">
        <v>1</v>
      </c>
      <c r="R87" t="n">
        <v>1</v>
      </c>
      <c r="S87" t="n">
        <v>2</v>
      </c>
      <c r="T87" t="n">
        <v>2</v>
      </c>
      <c r="U87" s="2" t="inlineStr">
        <is>
          <t>Igelkott
Vätteros</t>
        </is>
      </c>
      <c r="V87">
        <f>HYPERLINK("https://klasma.github.io/Logging_1080/artfynd/A 17849-2023 artfynd.xlsx", "A 17849-2023")</f>
        <v/>
      </c>
      <c r="W87">
        <f>HYPERLINK("https://klasma.github.io/Logging_1080/kartor/A 17849-2023 karta.png", "A 17849-2023")</f>
        <v/>
      </c>
      <c r="Y87">
        <f>HYPERLINK("https://klasma.github.io/Logging_1080/klagomål/A 17849-2023 FSC-klagomål.docx", "A 17849-2023")</f>
        <v/>
      </c>
      <c r="Z87">
        <f>HYPERLINK("https://klasma.github.io/Logging_1080/klagomålsmail/A 17849-2023 FSC-klagomål mail.docx", "A 17849-2023")</f>
        <v/>
      </c>
      <c r="AA87">
        <f>HYPERLINK("https://klasma.github.io/Logging_1080/tillsyn/A 17849-2023 tillsynsbegäran.docx", "A 17849-2023")</f>
        <v/>
      </c>
      <c r="AB87">
        <f>HYPERLINK("https://klasma.github.io/Logging_1080/tillsynsmail/A 17849-2023 tillsynsbegäran mail.docx", "A 17849-2023")</f>
        <v/>
      </c>
    </row>
    <row r="88" ht="15" customHeight="1">
      <c r="A88" t="inlineStr">
        <is>
          <t>A 36463-2023</t>
        </is>
      </c>
      <c r="B88" t="inlineStr">
        <is>
          <t>avverkningsanmälan</t>
        </is>
      </c>
      <c r="C88" t="inlineStr">
        <is>
          <t>Föryngringsavverkning</t>
        </is>
      </c>
      <c r="D88" s="1" t="n">
        <v>45152</v>
      </c>
      <c r="E88" s="1" t="n">
        <v>46216</v>
      </c>
      <c r="F88" t="inlineStr">
        <is>
          <t>BLEKINGE LÄN</t>
        </is>
      </c>
      <c r="G88" t="inlineStr">
        <is>
          <t>RONNEBY</t>
        </is>
      </c>
      <c r="I88" t="n">
        <v>2.2</v>
      </c>
      <c r="J88" t="n">
        <v>0</v>
      </c>
      <c r="K88" t="n">
        <v>2</v>
      </c>
      <c r="L88" t="n">
        <v>0</v>
      </c>
      <c r="M88" t="n">
        <v>0</v>
      </c>
      <c r="N88" t="n">
        <v>0</v>
      </c>
      <c r="O88" t="n">
        <v>0</v>
      </c>
      <c r="P88" t="n">
        <v>0</v>
      </c>
      <c r="Q88" t="n">
        <v>0</v>
      </c>
      <c r="R88" t="n">
        <v>0</v>
      </c>
      <c r="S88" t="n">
        <v>2</v>
      </c>
      <c r="T88" t="n">
        <v>5</v>
      </c>
      <c r="U88" s="2" t="inlineStr">
        <is>
          <t>Murgröna
Rostfläck</t>
        </is>
      </c>
      <c r="V88">
        <f>HYPERLINK("https://klasma.github.io/Logging_1081/artfynd/A 36463-2023 artfynd.xlsx", "A 36463-2023")</f>
        <v/>
      </c>
      <c r="W88">
        <f>HYPERLINK("https://klasma.github.io/Logging_1081/kartor/A 36463-2023 karta.png", "A 36463-2023")</f>
        <v/>
      </c>
      <c r="Y88">
        <f>HYPERLINK("https://klasma.github.io/Logging_1081/klagomål/A 36463-2023 FSC-klagomål.docx", "A 36463-2023")</f>
        <v/>
      </c>
      <c r="Z88">
        <f>HYPERLINK("https://klasma.github.io/Logging_1081/klagomålsmail/A 36463-2023 FSC-klagomål mail.docx", "A 36463-2023")</f>
        <v/>
      </c>
      <c r="AA88">
        <f>HYPERLINK("https://klasma.github.io/Logging_1081/tillsyn/A 36463-2023 tillsynsbegäran.docx", "A 36463-2023")</f>
        <v/>
      </c>
      <c r="AB88">
        <f>HYPERLINK("https://klasma.github.io/Logging_1081/tillsynsmail/A 36463-2023 tillsynsbegäran mail.docx", "A 36463-2023")</f>
        <v/>
      </c>
    </row>
    <row r="89" ht="15" customHeight="1">
      <c r="A89" t="inlineStr">
        <is>
          <t>A 32004-2023</t>
        </is>
      </c>
      <c r="B89" t="inlineStr">
        <is>
          <t>avverkningsanmälan</t>
        </is>
      </c>
      <c r="C89" t="inlineStr">
        <is>
          <t>Föryngringsavverkning</t>
        </is>
      </c>
      <c r="D89" s="1" t="n">
        <v>45107</v>
      </c>
      <c r="E89" s="1" t="n">
        <v>46216</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s="2" t="inlineStr">
        <is>
          <t>Murgröna
Blåsippa</t>
        </is>
      </c>
      <c r="V89">
        <f>HYPERLINK("https://klasma.github.io/Logging_1060/artfynd/A 32004-2023 artfynd.xlsx", "A 32004-2023")</f>
        <v/>
      </c>
      <c r="W89">
        <f>HYPERLINK("https://klasma.github.io/Logging_1060/kartor/A 32004-2023 karta.png", "A 32004-2023")</f>
        <v/>
      </c>
      <c r="Y89">
        <f>HYPERLINK("https://klasma.github.io/Logging_1060/klagomål/A 32004-2023 FSC-klagomål.docx", "A 32004-2023")</f>
        <v/>
      </c>
      <c r="Z89">
        <f>HYPERLINK("https://klasma.github.io/Logging_1060/klagomålsmail/A 32004-2023 FSC-klagomål mail.docx", "A 32004-2023")</f>
        <v/>
      </c>
      <c r="AA89">
        <f>HYPERLINK("https://klasma.github.io/Logging_1060/tillsyn/A 32004-2023 tillsynsbegäran.docx", "A 32004-2023")</f>
        <v/>
      </c>
      <c r="AB89">
        <f>HYPERLINK("https://klasma.github.io/Logging_1060/tillsynsmail/A 32004-2023 tillsynsbegäran mail.docx", "A 32004-2023")</f>
        <v/>
      </c>
    </row>
    <row r="90" ht="15" customHeight="1">
      <c r="A90" t="inlineStr">
        <is>
          <t>A 46918-2024</t>
        </is>
      </c>
      <c r="B90" t="inlineStr">
        <is>
          <t>avverkningsanmälan</t>
        </is>
      </c>
      <c r="C90" t="inlineStr">
        <is>
          <t>Föryngringsavverkning</t>
        </is>
      </c>
      <c r="D90" s="1" t="n">
        <v>45583</v>
      </c>
      <c r="E90" s="1" t="n">
        <v>46216</v>
      </c>
      <c r="F90" t="inlineStr">
        <is>
          <t>BLEKINGE LÄN</t>
        </is>
      </c>
      <c r="G90" t="inlineStr">
        <is>
          <t>OLOFSTRÖM</t>
        </is>
      </c>
      <c r="I90" t="n">
        <v>16</v>
      </c>
      <c r="J90" t="n">
        <v>0</v>
      </c>
      <c r="K90" t="n">
        <v>1</v>
      </c>
      <c r="L90" t="n">
        <v>1</v>
      </c>
      <c r="M90" t="n">
        <v>0</v>
      </c>
      <c r="N90" t="n">
        <v>0</v>
      </c>
      <c r="O90" t="n">
        <v>0</v>
      </c>
      <c r="P90" t="n">
        <v>0</v>
      </c>
      <c r="Q90" t="n">
        <v>1</v>
      </c>
      <c r="R90" t="n">
        <v>0</v>
      </c>
      <c r="S90" t="n">
        <v>2</v>
      </c>
      <c r="T90" t="n">
        <v>2</v>
      </c>
      <c r="U90" s="2" t="inlineStr">
        <is>
          <t>Fyrflikig jordstjärna
Kamjordstjärna</t>
        </is>
      </c>
      <c r="V90">
        <f>HYPERLINK("https://klasma.github.io/Logging_1060/artfynd/A 46918-2024 artfynd.xlsx", "A 46918-2024")</f>
        <v/>
      </c>
      <c r="W90">
        <f>HYPERLINK("https://klasma.github.io/Logging_1060/kartor/A 46918-2024 karta.png", "A 46918-2024")</f>
        <v/>
      </c>
      <c r="Y90">
        <f>HYPERLINK("https://klasma.github.io/Logging_1060/klagomål/A 46918-2024 FSC-klagomål.docx", "A 46918-2024")</f>
        <v/>
      </c>
      <c r="Z90">
        <f>HYPERLINK("https://klasma.github.io/Logging_1060/klagomålsmail/A 46918-2024 FSC-klagomål mail.docx", "A 46918-2024")</f>
        <v/>
      </c>
      <c r="AA90">
        <f>HYPERLINK("https://klasma.github.io/Logging_1060/tillsyn/A 46918-2024 tillsynsbegäran.docx", "A 46918-2024")</f>
        <v/>
      </c>
      <c r="AB90">
        <f>HYPERLINK("https://klasma.github.io/Logging_1060/tillsynsmail/A 46918-2024 tillsynsbegäran mail.docx", "A 46918-2024")</f>
        <v/>
      </c>
    </row>
    <row r="91" ht="15" customHeight="1">
      <c r="A91" t="inlineStr">
        <is>
          <t>S 388-2025</t>
        </is>
      </c>
      <c r="B91" t="inlineStr">
        <is>
          <t>samrådsanmälan</t>
        </is>
      </c>
      <c r="C91" t="inlineStr">
        <is>
          <t>Annan skogsbruksåtgärd</t>
        </is>
      </c>
      <c r="D91" s="1" t="n">
        <v>45692</v>
      </c>
      <c r="E91" s="1" t="n">
        <v>46216</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s="2" t="inlineStr">
        <is>
          <t>Ekträdlöpare
Huggorm</t>
        </is>
      </c>
      <c r="V91">
        <f>HYPERLINK("https://klasma.github.io/Logging_1080/artfynd/S 388-2025 artfynd.xlsx", "S 388-2025")</f>
        <v/>
      </c>
      <c r="W91">
        <f>HYPERLINK("https://klasma.github.io/Logging_1080/kartor/S 388-2025 karta.png", "S 388-2025")</f>
        <v/>
      </c>
      <c r="Y91">
        <f>HYPERLINK("https://klasma.github.io/Logging_1080/klagomål/S 388-2025 FSC-klagomål.docx", "S 388-2025")</f>
        <v/>
      </c>
      <c r="Z91">
        <f>HYPERLINK("https://klasma.github.io/Logging_1080/klagomålsmail/S 388-2025 FSC-klagomål mail.docx", "S 388-2025")</f>
        <v/>
      </c>
      <c r="AA91">
        <f>HYPERLINK("https://klasma.github.io/Logging_1080/tillsyn/S 388-2025 tillsynsbegäran.docx", "S 388-2025")</f>
        <v/>
      </c>
      <c r="AB91">
        <f>HYPERLINK("https://klasma.github.io/Logging_1080/tillsynsmail/S 388-2025 tillsynsbegäran mail.docx", "S 388-2025")</f>
        <v/>
      </c>
    </row>
    <row r="92" ht="15" customHeight="1">
      <c r="A92" t="inlineStr">
        <is>
          <t>S 1695-2020</t>
        </is>
      </c>
      <c r="B92" t="inlineStr">
        <is>
          <t>samrådsanmälan</t>
        </is>
      </c>
      <c r="C92" t="inlineStr">
        <is>
          <t>Åtgärd i nyckelbiotop</t>
        </is>
      </c>
      <c r="D92" s="1" t="n">
        <v>44039</v>
      </c>
      <c r="E92" s="1" t="n">
        <v>46216</v>
      </c>
      <c r="F92" t="inlineStr">
        <is>
          <t>BLEKINGE LÄN</t>
        </is>
      </c>
      <c r="G92" t="inlineStr">
        <is>
          <t>RONNEBY</t>
        </is>
      </c>
      <c r="I92" t="n">
        <v>0.1</v>
      </c>
      <c r="J92" t="n">
        <v>0</v>
      </c>
      <c r="K92" t="n">
        <v>1</v>
      </c>
      <c r="L92" t="n">
        <v>1</v>
      </c>
      <c r="M92" t="n">
        <v>0</v>
      </c>
      <c r="N92" t="n">
        <v>0</v>
      </c>
      <c r="O92" t="n">
        <v>0</v>
      </c>
      <c r="P92" t="n">
        <v>0</v>
      </c>
      <c r="Q92" t="n">
        <v>1</v>
      </c>
      <c r="R92" t="n">
        <v>0</v>
      </c>
      <c r="S92" t="n">
        <v>2</v>
      </c>
      <c r="T92" t="n">
        <v>2</v>
      </c>
      <c r="U92" s="2" t="inlineStr">
        <is>
          <t>Gammelekslav
Grå skärelav</t>
        </is>
      </c>
      <c r="V92">
        <f>HYPERLINK("https://klasma.github.io/Logging_1081/artfynd/S 1695-2020 artfynd.xlsx", "S 1695-2020")</f>
        <v/>
      </c>
      <c r="W92">
        <f>HYPERLINK("https://klasma.github.io/Logging_1081/kartor/S 1695-2020 karta.png", "S 1695-2020")</f>
        <v/>
      </c>
      <c r="Y92">
        <f>HYPERLINK("https://klasma.github.io/Logging_1081/klagomål/S 1695-2020 FSC-klagomål.docx", "S 1695-2020")</f>
        <v/>
      </c>
      <c r="Z92">
        <f>HYPERLINK("https://klasma.github.io/Logging_1081/klagomålsmail/S 1695-2020 FSC-klagomål mail.docx", "S 1695-2020")</f>
        <v/>
      </c>
      <c r="AA92">
        <f>HYPERLINK("https://klasma.github.io/Logging_1081/tillsyn/S 1695-2020 tillsynsbegäran.docx", "S 1695-2020")</f>
        <v/>
      </c>
      <c r="AB92">
        <f>HYPERLINK("https://klasma.github.io/Logging_1081/tillsynsmail/S 1695-2020 tillsynsbegäran mail.docx", "S 1695-2020")</f>
        <v/>
      </c>
    </row>
    <row r="93" ht="15" customHeight="1">
      <c r="A93" t="inlineStr">
        <is>
          <t>S 528-2022</t>
        </is>
      </c>
      <c r="B93" t="inlineStr">
        <is>
          <t>samrådsanmälan</t>
        </is>
      </c>
      <c r="C93" t="inlineStr">
        <is>
          <t>Annan skogsbruksåtgärd</t>
        </is>
      </c>
      <c r="D93" s="1" t="n">
        <v>44589</v>
      </c>
      <c r="E93" s="1" t="n">
        <v>46216</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s="2" t="inlineStr">
        <is>
          <t>Ask
Blanksvart trämyra</t>
        </is>
      </c>
      <c r="V93">
        <f>HYPERLINK("https://klasma.github.io/Logging_1080/artfynd/S 528-2022 artfynd.xlsx", "S 528-2022")</f>
        <v/>
      </c>
      <c r="W93">
        <f>HYPERLINK("https://klasma.github.io/Logging_1080/kartor/S 528-2022 karta.png", "S 528-2022")</f>
        <v/>
      </c>
      <c r="Y93">
        <f>HYPERLINK("https://klasma.github.io/Logging_1080/klagomål/S 528-2022 FSC-klagomål.docx", "S 528-2022")</f>
        <v/>
      </c>
      <c r="Z93">
        <f>HYPERLINK("https://klasma.github.io/Logging_1080/klagomålsmail/S 528-2022 FSC-klagomål mail.docx", "S 528-2022")</f>
        <v/>
      </c>
      <c r="AA93">
        <f>HYPERLINK("https://klasma.github.io/Logging_1080/tillsyn/S 528-2022 tillsynsbegäran.docx", "S 528-2022")</f>
        <v/>
      </c>
      <c r="AB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46216</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s="2" t="inlineStr">
        <is>
          <t>Ask
Safsa</t>
        </is>
      </c>
      <c r="V94">
        <f>HYPERLINK("https://klasma.github.io/Logging_1082/artfynd/S 6860-2022 artfynd.xlsx", "S 6860-2022")</f>
        <v/>
      </c>
      <c r="W94">
        <f>HYPERLINK("https://klasma.github.io/Logging_1082/kartor/S 6860-2022 karta.png", "S 6860-2022")</f>
        <v/>
      </c>
      <c r="Y94">
        <f>HYPERLINK("https://klasma.github.io/Logging_1082/klagomål/S 6860-2022 FSC-klagomål.docx", "S 6860-2022")</f>
        <v/>
      </c>
      <c r="Z94">
        <f>HYPERLINK("https://klasma.github.io/Logging_1082/klagomålsmail/S 6860-2022 FSC-klagomål mail.docx", "S 6860-2022")</f>
        <v/>
      </c>
      <c r="AA94">
        <f>HYPERLINK("https://klasma.github.io/Logging_1082/tillsyn/S 6860-2022 tillsynsbegäran.docx", "S 6860-2022")</f>
        <v/>
      </c>
      <c r="AB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46216</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s="2" t="inlineStr">
        <is>
          <t>Slåtterfibbla
Skogsknipprot</t>
        </is>
      </c>
      <c r="V95">
        <f>HYPERLINK("https://klasma.github.io/Logging_1080/artfynd/S 736-2023 artfynd.xlsx", "S 736-2023")</f>
        <v/>
      </c>
      <c r="W95">
        <f>HYPERLINK("https://klasma.github.io/Logging_1080/kartor/S 736-2023 karta.png", "S 736-2023")</f>
        <v/>
      </c>
      <c r="Y95">
        <f>HYPERLINK("https://klasma.github.io/Logging_1080/klagomål/S 736-2023 FSC-klagomål.docx", "S 736-2023")</f>
        <v/>
      </c>
      <c r="Z95">
        <f>HYPERLINK("https://klasma.github.io/Logging_1080/klagomålsmail/S 736-2023 FSC-klagomål mail.docx", "S 736-2023")</f>
        <v/>
      </c>
      <c r="AA95">
        <f>HYPERLINK("https://klasma.github.io/Logging_1080/tillsyn/S 736-2023 tillsynsbegäran.docx", "S 736-2023")</f>
        <v/>
      </c>
      <c r="AB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46216</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s="2" t="inlineStr">
        <is>
          <t>Guldlockmossa
Safsa</t>
        </is>
      </c>
      <c r="V96">
        <f>HYPERLINK("https://klasma.github.io/Logging_1080/artfynd/S 3746-2022 artfynd.xlsx", "S 3746-2022")</f>
        <v/>
      </c>
      <c r="W96">
        <f>HYPERLINK("https://klasma.github.io/Logging_1080/kartor/S 3746-2022 karta.png", "S 3746-2022")</f>
        <v/>
      </c>
      <c r="Y96">
        <f>HYPERLINK("https://klasma.github.io/Logging_1080/klagomål/S 3746-2022 FSC-klagomål.docx", "S 3746-2022")</f>
        <v/>
      </c>
      <c r="Z96">
        <f>HYPERLINK("https://klasma.github.io/Logging_1080/klagomålsmail/S 3746-2022 FSC-klagomål mail.docx", "S 3746-2022")</f>
        <v/>
      </c>
      <c r="AA96">
        <f>HYPERLINK("https://klasma.github.io/Logging_1080/tillsyn/S 3746-2022 tillsynsbegäran.docx", "S 3746-2022")</f>
        <v/>
      </c>
      <c r="AB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46216</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s="2" t="inlineStr">
        <is>
          <t>Igelkott
Kungsfågel</t>
        </is>
      </c>
      <c r="V97">
        <f>HYPERLINK("https://klasma.github.io/Logging_1082/artfynd/S 704-2026 artfynd.xlsx", "S 704-2026")</f>
        <v/>
      </c>
      <c r="W97">
        <f>HYPERLINK("https://klasma.github.io/Logging_1082/kartor/S 704-2026 karta.png", "S 704-2026")</f>
        <v/>
      </c>
      <c r="Y97">
        <f>HYPERLINK("https://klasma.github.io/Logging_1082/klagomål/S 704-2026 FSC-klagomål.docx", "S 704-2026")</f>
        <v/>
      </c>
      <c r="Z97">
        <f>HYPERLINK("https://klasma.github.io/Logging_1082/klagomålsmail/S 704-2026 FSC-klagomål mail.docx", "S 704-2026")</f>
        <v/>
      </c>
      <c r="AA97">
        <f>HYPERLINK("https://klasma.github.io/Logging_1082/tillsyn/S 704-2026 tillsynsbegäran.docx", "S 704-2026")</f>
        <v/>
      </c>
      <c r="AB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46216</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s="2" t="inlineStr">
        <is>
          <t>Ekoxe</t>
        </is>
      </c>
      <c r="V98">
        <f>HYPERLINK("https://klasma.github.io/Logging_1082/artfynd/A 5497-2022 artfynd.xlsx", "A 5497-2022")</f>
        <v/>
      </c>
      <c r="W98">
        <f>HYPERLINK("https://klasma.github.io/Logging_1082/kartor/A 5497-2022 karta.png", "A 5497-2022")</f>
        <v/>
      </c>
      <c r="Y98">
        <f>HYPERLINK("https://klasma.github.io/Logging_1082/klagomål/A 5497-2022 FSC-klagomål.docx", "A 5497-2022")</f>
        <v/>
      </c>
      <c r="Z98">
        <f>HYPERLINK("https://klasma.github.io/Logging_1082/klagomålsmail/A 5497-2022 FSC-klagomål mail.docx", "A 5497-2022")</f>
        <v/>
      </c>
      <c r="AA98">
        <f>HYPERLINK("https://klasma.github.io/Logging_1082/tillsyn/A 5497-2022 tillsynsbegäran.docx", "A 5497-2022")</f>
        <v/>
      </c>
      <c r="AB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46216</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s="2" t="inlineStr">
        <is>
          <t>Ekoxe</t>
        </is>
      </c>
      <c r="V99">
        <f>HYPERLINK("https://klasma.github.io/Logging_1081/artfynd/A 43246-2021 artfynd.xlsx", "A 43246-2021")</f>
        <v/>
      </c>
      <c r="W99">
        <f>HYPERLINK("https://klasma.github.io/Logging_1081/kartor/A 43246-2021 karta.png", "A 43246-2021")</f>
        <v/>
      </c>
      <c r="Y99">
        <f>HYPERLINK("https://klasma.github.io/Logging_1081/klagomål/A 43246-2021 FSC-klagomål.docx", "A 43246-2021")</f>
        <v/>
      </c>
      <c r="Z99">
        <f>HYPERLINK("https://klasma.github.io/Logging_1081/klagomålsmail/A 43246-2021 FSC-klagomål mail.docx", "A 43246-2021")</f>
        <v/>
      </c>
      <c r="AA99">
        <f>HYPERLINK("https://klasma.github.io/Logging_1081/tillsyn/A 43246-2021 tillsynsbegäran.docx", "A 43246-2021")</f>
        <v/>
      </c>
      <c r="AB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46216</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s="2" t="inlineStr">
        <is>
          <t>Ekticka</t>
        </is>
      </c>
      <c r="V100">
        <f>HYPERLINK("https://klasma.github.io/Logging_1080/artfynd/A 38415-2021 artfynd.xlsx", "A 38415-2021")</f>
        <v/>
      </c>
      <c r="W100">
        <f>HYPERLINK("https://klasma.github.io/Logging_1080/kartor/A 38415-2021 karta.png", "A 38415-2021")</f>
        <v/>
      </c>
      <c r="Y100">
        <f>HYPERLINK("https://klasma.github.io/Logging_1080/klagomål/A 38415-2021 FSC-klagomål.docx", "A 38415-2021")</f>
        <v/>
      </c>
      <c r="Z100">
        <f>HYPERLINK("https://klasma.github.io/Logging_1080/klagomålsmail/A 38415-2021 FSC-klagomål mail.docx", "A 38415-2021")</f>
        <v/>
      </c>
      <c r="AA100">
        <f>HYPERLINK("https://klasma.github.io/Logging_1080/tillsyn/A 38415-2021 tillsynsbegäran.docx", "A 38415-2021")</f>
        <v/>
      </c>
      <c r="AB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46216</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s="2" t="inlineStr">
        <is>
          <t>Grönhjon</t>
        </is>
      </c>
      <c r="V101">
        <f>HYPERLINK("https://klasma.github.io/Logging_1081/artfynd/A 15071-2022 artfynd.xlsx", "A 15071-2022")</f>
        <v/>
      </c>
      <c r="W101">
        <f>HYPERLINK("https://klasma.github.io/Logging_1081/kartor/A 15071-2022 karta.png", "A 15071-2022")</f>
        <v/>
      </c>
      <c r="Y101">
        <f>HYPERLINK("https://klasma.github.io/Logging_1081/klagomål/A 15071-2022 FSC-klagomål.docx", "A 15071-2022")</f>
        <v/>
      </c>
      <c r="Z101">
        <f>HYPERLINK("https://klasma.github.io/Logging_1081/klagomålsmail/A 15071-2022 FSC-klagomål mail.docx", "A 15071-2022")</f>
        <v/>
      </c>
      <c r="AA101">
        <f>HYPERLINK("https://klasma.github.io/Logging_1081/tillsyn/A 15071-2022 tillsynsbegäran.docx", "A 15071-2022")</f>
        <v/>
      </c>
      <c r="AB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46216</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s="2" t="inlineStr">
        <is>
          <t>Grönhjon</t>
        </is>
      </c>
      <c r="V102">
        <f>HYPERLINK("https://klasma.github.io/Logging_1060/artfynd/A 38709-2021 artfynd.xlsx", "A 38709-2021")</f>
        <v/>
      </c>
      <c r="W102">
        <f>HYPERLINK("https://klasma.github.io/Logging_1060/kartor/A 38709-2021 karta.png", "A 38709-2021")</f>
        <v/>
      </c>
      <c r="Y102">
        <f>HYPERLINK("https://klasma.github.io/Logging_1060/klagomål/A 38709-2021 FSC-klagomål.docx", "A 38709-2021")</f>
        <v/>
      </c>
      <c r="Z102">
        <f>HYPERLINK("https://klasma.github.io/Logging_1060/klagomålsmail/A 38709-2021 FSC-klagomål mail.docx", "A 38709-2021")</f>
        <v/>
      </c>
      <c r="AA102">
        <f>HYPERLINK("https://klasma.github.io/Logging_1060/tillsyn/A 38709-2021 tillsynsbegäran.docx", "A 38709-2021")</f>
        <v/>
      </c>
      <c r="AB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46216</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s="2" t="inlineStr">
        <is>
          <t>Krusfrö</t>
        </is>
      </c>
      <c r="V103">
        <f>HYPERLINK("https://klasma.github.io/Logging_1080/artfynd/A 61190-2021 artfynd.xlsx", "A 61190-2021")</f>
        <v/>
      </c>
      <c r="W103">
        <f>HYPERLINK("https://klasma.github.io/Logging_1080/kartor/A 61190-2021 karta.png", "A 61190-2021")</f>
        <v/>
      </c>
      <c r="Y103">
        <f>HYPERLINK("https://klasma.github.io/Logging_1080/klagomål/A 61190-2021 FSC-klagomål.docx", "A 61190-2021")</f>
        <v/>
      </c>
      <c r="Z103">
        <f>HYPERLINK("https://klasma.github.io/Logging_1080/klagomålsmail/A 61190-2021 FSC-klagomål mail.docx", "A 61190-2021")</f>
        <v/>
      </c>
      <c r="AA103">
        <f>HYPERLINK("https://klasma.github.io/Logging_1080/tillsyn/A 61190-2021 tillsynsbegäran.docx", "A 61190-2021")</f>
        <v/>
      </c>
      <c r="AB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46216</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s="2" t="inlineStr">
        <is>
          <t>Ekticka</t>
        </is>
      </c>
      <c r="V104">
        <f>HYPERLINK("https://klasma.github.io/Logging_1081/artfynd/A 41708-2021 artfynd.xlsx", "A 41708-2021")</f>
        <v/>
      </c>
      <c r="W104">
        <f>HYPERLINK("https://klasma.github.io/Logging_1081/kartor/A 41708-2021 karta.png", "A 41708-2021")</f>
        <v/>
      </c>
      <c r="Y104">
        <f>HYPERLINK("https://klasma.github.io/Logging_1081/klagomål/A 41708-2021 FSC-klagomål.docx", "A 41708-2021")</f>
        <v/>
      </c>
      <c r="Z104">
        <f>HYPERLINK("https://klasma.github.io/Logging_1081/klagomålsmail/A 41708-2021 FSC-klagomål mail.docx", "A 41708-2021")</f>
        <v/>
      </c>
      <c r="AA104">
        <f>HYPERLINK("https://klasma.github.io/Logging_1081/tillsyn/A 41708-2021 tillsynsbegäran.docx", "A 41708-2021")</f>
        <v/>
      </c>
      <c r="AB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46216</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s="2" t="inlineStr">
        <is>
          <t>Västlig hakmossa</t>
        </is>
      </c>
      <c r="V105">
        <f>HYPERLINK("https://klasma.github.io/Logging_1082/artfynd/A 49902-2021 artfynd.xlsx", "A 49902-2021")</f>
        <v/>
      </c>
      <c r="W105">
        <f>HYPERLINK("https://klasma.github.io/Logging_1082/kartor/A 49902-2021 karta.png", "A 49902-2021")</f>
        <v/>
      </c>
      <c r="Y105">
        <f>HYPERLINK("https://klasma.github.io/Logging_1082/klagomål/A 49902-2021 FSC-klagomål.docx", "A 49902-2021")</f>
        <v/>
      </c>
      <c r="Z105">
        <f>HYPERLINK("https://klasma.github.io/Logging_1082/klagomålsmail/A 49902-2021 FSC-klagomål mail.docx", "A 49902-2021")</f>
        <v/>
      </c>
      <c r="AA105">
        <f>HYPERLINK("https://klasma.github.io/Logging_1082/tillsyn/A 49902-2021 tillsynsbegäran.docx", "A 49902-2021")</f>
        <v/>
      </c>
      <c r="AB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46216</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s="2" t="inlineStr">
        <is>
          <t>Ekoxe</t>
        </is>
      </c>
      <c r="V106">
        <f>HYPERLINK("https://klasma.github.io/Logging_1080/artfynd/A 45615-2021 artfynd.xlsx", "A 45615-2021")</f>
        <v/>
      </c>
      <c r="W106">
        <f>HYPERLINK("https://klasma.github.io/Logging_1080/kartor/A 45615-2021 karta.png", "A 45615-2021")</f>
        <v/>
      </c>
      <c r="Y106">
        <f>HYPERLINK("https://klasma.github.io/Logging_1080/klagomål/A 45615-2021 FSC-klagomål.docx", "A 45615-2021")</f>
        <v/>
      </c>
      <c r="Z106">
        <f>HYPERLINK("https://klasma.github.io/Logging_1080/klagomålsmail/A 45615-2021 FSC-klagomål mail.docx", "A 45615-2021")</f>
        <v/>
      </c>
      <c r="AA106">
        <f>HYPERLINK("https://klasma.github.io/Logging_1080/tillsyn/A 45615-2021 tillsynsbegäran.docx", "A 45615-2021")</f>
        <v/>
      </c>
      <c r="AB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46216</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s="2" t="inlineStr">
        <is>
          <t>Vårstarr</t>
        </is>
      </c>
      <c r="V107">
        <f>HYPERLINK("https://klasma.github.io/Logging_1081/artfynd/A 40525-2021 artfynd.xlsx", "A 40525-2021")</f>
        <v/>
      </c>
      <c r="W107">
        <f>HYPERLINK("https://klasma.github.io/Logging_1081/kartor/A 40525-2021 karta.png", "A 40525-2021")</f>
        <v/>
      </c>
      <c r="Y107">
        <f>HYPERLINK("https://klasma.github.io/Logging_1081/klagomål/A 40525-2021 FSC-klagomål.docx", "A 40525-2021")</f>
        <v/>
      </c>
      <c r="Z107">
        <f>HYPERLINK("https://klasma.github.io/Logging_1081/klagomålsmail/A 40525-2021 FSC-klagomål mail.docx", "A 40525-2021")</f>
        <v/>
      </c>
      <c r="AA107">
        <f>HYPERLINK("https://klasma.github.io/Logging_1081/tillsyn/A 40525-2021 tillsynsbegäran.docx", "A 40525-2021")</f>
        <v/>
      </c>
      <c r="AB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46216</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s="2" t="inlineStr">
        <is>
          <t>Tibast</t>
        </is>
      </c>
      <c r="V108">
        <f>HYPERLINK("https://klasma.github.io/Logging_1080/artfynd/A 69282-2021 artfynd.xlsx", "A 69282-2021")</f>
        <v/>
      </c>
      <c r="W108">
        <f>HYPERLINK("https://klasma.github.io/Logging_1080/kartor/A 69282-2021 karta.png", "A 69282-2021")</f>
        <v/>
      </c>
      <c r="Y108">
        <f>HYPERLINK("https://klasma.github.io/Logging_1080/klagomål/A 69282-2021 FSC-klagomål.docx", "A 69282-2021")</f>
        <v/>
      </c>
      <c r="Z108">
        <f>HYPERLINK("https://klasma.github.io/Logging_1080/klagomålsmail/A 69282-2021 FSC-klagomål mail.docx", "A 69282-2021")</f>
        <v/>
      </c>
      <c r="AA108">
        <f>HYPERLINK("https://klasma.github.io/Logging_1080/tillsyn/A 69282-2021 tillsynsbegäran.docx", "A 69282-2021")</f>
        <v/>
      </c>
      <c r="AB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46216</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s="2" t="inlineStr">
        <is>
          <t>Vanlig groda</t>
        </is>
      </c>
      <c r="V109">
        <f>HYPERLINK("https://klasma.github.io/Logging_1080/artfynd/A 52837-2021 artfynd.xlsx", "A 52837-2021")</f>
        <v/>
      </c>
      <c r="W109">
        <f>HYPERLINK("https://klasma.github.io/Logging_1080/kartor/A 52837-2021 karta.png", "A 52837-2021")</f>
        <v/>
      </c>
      <c r="Y109">
        <f>HYPERLINK("https://klasma.github.io/Logging_1080/klagomål/A 52837-2021 FSC-klagomål.docx", "A 52837-2021")</f>
        <v/>
      </c>
      <c r="Z109">
        <f>HYPERLINK("https://klasma.github.io/Logging_1080/klagomålsmail/A 52837-2021 FSC-klagomål mail.docx", "A 52837-2021")</f>
        <v/>
      </c>
      <c r="AA109">
        <f>HYPERLINK("https://klasma.github.io/Logging_1080/tillsyn/A 52837-2021 tillsynsbegäran.docx", "A 52837-2021")</f>
        <v/>
      </c>
      <c r="AB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46216</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s="2" t="inlineStr">
        <is>
          <t>Grönvit nattviol</t>
        </is>
      </c>
      <c r="V110">
        <f>HYPERLINK("https://klasma.github.io/Logging_1081/artfynd/A 32159-2022 artfynd.xlsx", "A 32159-2022")</f>
        <v/>
      </c>
      <c r="W110">
        <f>HYPERLINK("https://klasma.github.io/Logging_1081/kartor/A 32159-2022 karta.png", "A 32159-2022")</f>
        <v/>
      </c>
      <c r="Y110">
        <f>HYPERLINK("https://klasma.github.io/Logging_1081/klagomål/A 32159-2022 FSC-klagomål.docx", "A 32159-2022")</f>
        <v/>
      </c>
      <c r="Z110">
        <f>HYPERLINK("https://klasma.github.io/Logging_1081/klagomålsmail/A 32159-2022 FSC-klagomål mail.docx", "A 32159-2022")</f>
        <v/>
      </c>
      <c r="AA110">
        <f>HYPERLINK("https://klasma.github.io/Logging_1081/tillsyn/A 32159-2022 tillsynsbegäran.docx", "A 32159-2022")</f>
        <v/>
      </c>
      <c r="AB110">
        <f>HYPERLINK("https://klasma.github.io/Logging_1081/tillsynsmail/A 32159-2022 tillsynsbegäran mail.docx", "A 32159-2022")</f>
        <v/>
      </c>
    </row>
    <row r="111" ht="15" customHeight="1">
      <c r="A111" t="inlineStr">
        <is>
          <t>A 53806-2022</t>
        </is>
      </c>
      <c r="B111" t="inlineStr">
        <is>
          <t>avverkningsanmälan</t>
        </is>
      </c>
      <c r="C111" t="inlineStr">
        <is>
          <t>Föryngringsavverkning</t>
        </is>
      </c>
      <c r="D111" s="1" t="n">
        <v>44880</v>
      </c>
      <c r="E111" s="1" t="n">
        <v>46216</v>
      </c>
      <c r="F111" t="inlineStr">
        <is>
          <t>BLEKINGE LÄN</t>
        </is>
      </c>
      <c r="G111" t="inlineStr">
        <is>
          <t>OLOFSTRÖM</t>
        </is>
      </c>
      <c r="I111" t="n">
        <v>11.5</v>
      </c>
      <c r="J111" t="n">
        <v>0</v>
      </c>
      <c r="K111" t="n">
        <v>1</v>
      </c>
      <c r="L111" t="n">
        <v>0</v>
      </c>
      <c r="M111" t="n">
        <v>0</v>
      </c>
      <c r="N111" t="n">
        <v>0</v>
      </c>
      <c r="O111" t="n">
        <v>0</v>
      </c>
      <c r="P111" t="n">
        <v>0</v>
      </c>
      <c r="Q111" t="n">
        <v>0</v>
      </c>
      <c r="R111" t="n">
        <v>0</v>
      </c>
      <c r="S111" t="n">
        <v>1</v>
      </c>
      <c r="T111" t="n">
        <v>1</v>
      </c>
      <c r="U111" s="2" t="inlineStr">
        <is>
          <t>Tibast</t>
        </is>
      </c>
      <c r="V111">
        <f>HYPERLINK("https://klasma.github.io/Logging_1060/artfynd/A 53806-2022 artfynd.xlsx", "A 53806-2022")</f>
        <v/>
      </c>
      <c r="W111">
        <f>HYPERLINK("https://klasma.github.io/Logging_1060/kartor/A 53806-2022 karta.png", "A 53806-2022")</f>
        <v/>
      </c>
      <c r="Y111">
        <f>HYPERLINK("https://klasma.github.io/Logging_1060/klagomål/A 53806-2022 FSC-klagomål.docx", "A 53806-2022")</f>
        <v/>
      </c>
      <c r="Z111">
        <f>HYPERLINK("https://klasma.github.io/Logging_1060/klagomålsmail/A 53806-2022 FSC-klagomål mail.docx", "A 53806-2022")</f>
        <v/>
      </c>
      <c r="AA111">
        <f>HYPERLINK("https://klasma.github.io/Logging_1060/tillsyn/A 53806-2022 tillsynsbegäran.docx", "A 53806-2022")</f>
        <v/>
      </c>
      <c r="AB111">
        <f>HYPERLINK("https://klasma.github.io/Logging_1060/tillsynsmail/A 53806-2022 tillsynsbegäran mail.docx", "A 53806-2022")</f>
        <v/>
      </c>
    </row>
    <row r="112" ht="15" customHeight="1">
      <c r="A112" t="inlineStr">
        <is>
          <t>A 13289-2023</t>
        </is>
      </c>
      <c r="B112" t="inlineStr">
        <is>
          <t>avverkningsanmälan</t>
        </is>
      </c>
      <c r="C112" t="inlineStr">
        <is>
          <t>Föryngringsavverkning</t>
        </is>
      </c>
      <c r="D112" s="1" t="n">
        <v>45004</v>
      </c>
      <c r="E112" s="1" t="n">
        <v>46216</v>
      </c>
      <c r="F112" t="inlineStr">
        <is>
          <t>BLEKINGE LÄN</t>
        </is>
      </c>
      <c r="G112" t="inlineStr">
        <is>
          <t>KARLSKRONA</t>
        </is>
      </c>
      <c r="I112" t="n">
        <v>2</v>
      </c>
      <c r="J112" t="n">
        <v>0</v>
      </c>
      <c r="K112" t="n">
        <v>1</v>
      </c>
      <c r="L112" t="n">
        <v>0</v>
      </c>
      <c r="M112" t="n">
        <v>0</v>
      </c>
      <c r="N112" t="n">
        <v>0</v>
      </c>
      <c r="O112" t="n">
        <v>0</v>
      </c>
      <c r="P112" t="n">
        <v>0</v>
      </c>
      <c r="Q112" t="n">
        <v>0</v>
      </c>
      <c r="R112" t="n">
        <v>0</v>
      </c>
      <c r="S112" t="n">
        <v>1</v>
      </c>
      <c r="T112" t="n">
        <v>1</v>
      </c>
      <c r="U112" s="2" t="inlineStr">
        <is>
          <t>Rävticka</t>
        </is>
      </c>
      <c r="V112">
        <f>HYPERLINK("https://klasma.github.io/Logging_1080/artfynd/A 13289-2023 artfynd.xlsx", "A 13289-2023")</f>
        <v/>
      </c>
      <c r="W112">
        <f>HYPERLINK("https://klasma.github.io/Logging_1080/kartor/A 13289-2023 karta.png", "A 13289-2023")</f>
        <v/>
      </c>
      <c r="Y112">
        <f>HYPERLINK("https://klasma.github.io/Logging_1080/klagomål/A 13289-2023 FSC-klagomål.docx", "A 13289-2023")</f>
        <v/>
      </c>
      <c r="Z112">
        <f>HYPERLINK("https://klasma.github.io/Logging_1080/klagomålsmail/A 13289-2023 FSC-klagomål mail.docx", "A 13289-2023")</f>
        <v/>
      </c>
      <c r="AA112">
        <f>HYPERLINK("https://klasma.github.io/Logging_1080/tillsyn/A 13289-2023 tillsynsbegäran.docx", "A 13289-2023")</f>
        <v/>
      </c>
      <c r="AB112">
        <f>HYPERLINK("https://klasma.github.io/Logging_1080/tillsynsmail/A 13289-2023 tillsynsbegäran mail.docx", "A 13289-2023")</f>
        <v/>
      </c>
    </row>
    <row r="113" ht="15" customHeight="1">
      <c r="A113" t="inlineStr">
        <is>
          <t>A 13201-2023</t>
        </is>
      </c>
      <c r="B113" t="inlineStr">
        <is>
          <t>avverkningsanmälan</t>
        </is>
      </c>
      <c r="C113" t="inlineStr">
        <is>
          <t>Föryngringsavverkning</t>
        </is>
      </c>
      <c r="D113" s="1" t="n">
        <v>45002</v>
      </c>
      <c r="E113" s="1" t="n">
        <v>46216</v>
      </c>
      <c r="F113" t="inlineStr">
        <is>
          <t>BLEKINGE LÄN</t>
        </is>
      </c>
      <c r="G113" t="inlineStr">
        <is>
          <t>KARLSKRONA</t>
        </is>
      </c>
      <c r="I113" t="n">
        <v>6</v>
      </c>
      <c r="J113" t="n">
        <v>0</v>
      </c>
      <c r="K113" t="n">
        <v>0</v>
      </c>
      <c r="L113" t="n">
        <v>0</v>
      </c>
      <c r="M113" t="n">
        <v>1</v>
      </c>
      <c r="N113" t="n">
        <v>0</v>
      </c>
      <c r="O113" t="n">
        <v>0</v>
      </c>
      <c r="P113" t="n">
        <v>0</v>
      </c>
      <c r="Q113" t="n">
        <v>1</v>
      </c>
      <c r="R113" t="n">
        <v>1</v>
      </c>
      <c r="S113" t="n">
        <v>1</v>
      </c>
      <c r="T113" t="n">
        <v>1</v>
      </c>
      <c r="U113" s="2" t="inlineStr">
        <is>
          <t>Stortimjan</t>
        </is>
      </c>
      <c r="V113">
        <f>HYPERLINK("https://klasma.github.io/Logging_1080/artfynd/A 13201-2023 artfynd.xlsx", "A 13201-2023")</f>
        <v/>
      </c>
      <c r="W113">
        <f>HYPERLINK("https://klasma.github.io/Logging_1080/kartor/A 13201-2023 karta.png", "A 13201-2023")</f>
        <v/>
      </c>
      <c r="Y113">
        <f>HYPERLINK("https://klasma.github.io/Logging_1080/klagomål/A 13201-2023 FSC-klagomål.docx", "A 13201-2023")</f>
        <v/>
      </c>
      <c r="Z113">
        <f>HYPERLINK("https://klasma.github.io/Logging_1080/klagomålsmail/A 13201-2023 FSC-klagomål mail.docx", "A 13201-2023")</f>
        <v/>
      </c>
      <c r="AA113">
        <f>HYPERLINK("https://klasma.github.io/Logging_1080/tillsyn/A 13201-2023 tillsynsbegäran.docx", "A 13201-2023")</f>
        <v/>
      </c>
      <c r="AB113">
        <f>HYPERLINK("https://klasma.github.io/Logging_1080/tillsynsmail/A 13201-2023 tillsynsbegäran mail.docx", "A 13201-2023")</f>
        <v/>
      </c>
    </row>
    <row r="114" ht="15" customHeight="1">
      <c r="A114" t="inlineStr">
        <is>
          <t>A 650-2022</t>
        </is>
      </c>
      <c r="B114" t="inlineStr">
        <is>
          <t>avverkningsanmälan</t>
        </is>
      </c>
      <c r="C114" t="inlineStr">
        <is>
          <t>Föryngringsavverkning</t>
        </is>
      </c>
      <c r="D114" s="1" t="n">
        <v>44568</v>
      </c>
      <c r="E114" s="1" t="n">
        <v>46216</v>
      </c>
      <c r="F114" t="inlineStr">
        <is>
          <t>BLEKINGE LÄN</t>
        </is>
      </c>
      <c r="G114" t="inlineStr">
        <is>
          <t>OLOFSTRÖM</t>
        </is>
      </c>
      <c r="H114" t="inlineStr">
        <is>
          <t>Sveaskog</t>
        </is>
      </c>
      <c r="I114" t="n">
        <v>5.8</v>
      </c>
      <c r="J114" t="n">
        <v>0</v>
      </c>
      <c r="K114" t="n">
        <v>1</v>
      </c>
      <c r="L114" t="n">
        <v>0</v>
      </c>
      <c r="M114" t="n">
        <v>0</v>
      </c>
      <c r="N114" t="n">
        <v>0</v>
      </c>
      <c r="O114" t="n">
        <v>0</v>
      </c>
      <c r="P114" t="n">
        <v>0</v>
      </c>
      <c r="Q114" t="n">
        <v>0</v>
      </c>
      <c r="R114" t="n">
        <v>0</v>
      </c>
      <c r="S114" t="n">
        <v>1</v>
      </c>
      <c r="T114" t="n">
        <v>1</v>
      </c>
      <c r="U114" s="2" t="inlineStr">
        <is>
          <t>Stor revmossa</t>
        </is>
      </c>
      <c r="V114">
        <f>HYPERLINK("https://klasma.github.io/Logging_1060/artfynd/A 650-2022 artfynd.xlsx", "A 650-2022")</f>
        <v/>
      </c>
      <c r="W114">
        <f>HYPERLINK("https://klasma.github.io/Logging_1060/kartor/A 650-2022 karta.png", "A 650-2022")</f>
        <v/>
      </c>
      <c r="Y114">
        <f>HYPERLINK("https://klasma.github.io/Logging_1060/klagomål/A 650-2022 FSC-klagomål.docx", "A 650-2022")</f>
        <v/>
      </c>
      <c r="Z114">
        <f>HYPERLINK("https://klasma.github.io/Logging_1060/klagomålsmail/A 650-2022 FSC-klagomål mail.docx", "A 650-2022")</f>
        <v/>
      </c>
      <c r="AA114">
        <f>HYPERLINK("https://klasma.github.io/Logging_1060/tillsyn/A 650-2022 tillsynsbegäran.docx", "A 650-2022")</f>
        <v/>
      </c>
      <c r="AB114">
        <f>HYPERLINK("https://klasma.github.io/Logging_1060/tillsynsmail/A 650-2022 tillsynsbegäran mail.docx", "A 650-2022")</f>
        <v/>
      </c>
    </row>
    <row r="115" ht="15" customHeight="1">
      <c r="A115" t="inlineStr">
        <is>
          <t>A 45688-2023</t>
        </is>
      </c>
      <c r="B115" t="inlineStr">
        <is>
          <t>avverkningsanmälan</t>
        </is>
      </c>
      <c r="C115" t="inlineStr">
        <is>
          <t>Föryngringsavverkning</t>
        </is>
      </c>
      <c r="D115" s="1" t="n">
        <v>45195</v>
      </c>
      <c r="E115" s="1" t="n">
        <v>46216</v>
      </c>
      <c r="F115" t="inlineStr">
        <is>
          <t>BLEKINGE LÄN</t>
        </is>
      </c>
      <c r="G115" t="inlineStr">
        <is>
          <t>OLOFSTRÖM</t>
        </is>
      </c>
      <c r="I115" t="n">
        <v>6.7</v>
      </c>
      <c r="J115" t="n">
        <v>0</v>
      </c>
      <c r="K115" t="n">
        <v>0</v>
      </c>
      <c r="L115" t="n">
        <v>0</v>
      </c>
      <c r="M115" t="n">
        <v>1</v>
      </c>
      <c r="N115" t="n">
        <v>0</v>
      </c>
      <c r="O115" t="n">
        <v>0</v>
      </c>
      <c r="P115" t="n">
        <v>0</v>
      </c>
      <c r="Q115" t="n">
        <v>1</v>
      </c>
      <c r="R115" t="n">
        <v>1</v>
      </c>
      <c r="S115" t="n">
        <v>1</v>
      </c>
      <c r="T115" t="n">
        <v>1</v>
      </c>
      <c r="U115" s="2" t="inlineStr">
        <is>
          <t>Slåttergubbe</t>
        </is>
      </c>
      <c r="V115">
        <f>HYPERLINK("https://klasma.github.io/Logging_1060/artfynd/A 45688-2023 artfynd.xlsx", "A 45688-2023")</f>
        <v/>
      </c>
      <c r="W115">
        <f>HYPERLINK("https://klasma.github.io/Logging_1060/kartor/A 45688-2023 karta.png", "A 45688-2023")</f>
        <v/>
      </c>
      <c r="Y115">
        <f>HYPERLINK("https://klasma.github.io/Logging_1060/klagomål/A 45688-2023 FSC-klagomål.docx", "A 45688-2023")</f>
        <v/>
      </c>
      <c r="Z115">
        <f>HYPERLINK("https://klasma.github.io/Logging_1060/klagomålsmail/A 45688-2023 FSC-klagomål mail.docx", "A 45688-2023")</f>
        <v/>
      </c>
      <c r="AA115">
        <f>HYPERLINK("https://klasma.github.io/Logging_1060/tillsyn/A 45688-2023 tillsynsbegäran.docx", "A 45688-2023")</f>
        <v/>
      </c>
      <c r="AB115">
        <f>HYPERLINK("https://klasma.github.io/Logging_1060/tillsynsmail/A 45688-2023 tillsynsbegäran mail.docx", "A 45688-2023")</f>
        <v/>
      </c>
    </row>
    <row r="116" ht="15" customHeight="1">
      <c r="A116" t="inlineStr">
        <is>
          <t>A 28642-2023</t>
        </is>
      </c>
      <c r="B116" t="inlineStr">
        <is>
          <t>avverkningsanmälan</t>
        </is>
      </c>
      <c r="C116" t="inlineStr">
        <is>
          <t>Föryngringsavverkning</t>
        </is>
      </c>
      <c r="D116" s="1" t="n">
        <v>45103</v>
      </c>
      <c r="E116" s="1" t="n">
        <v>46216</v>
      </c>
      <c r="F116" t="inlineStr">
        <is>
          <t>BLEKINGE LÄN</t>
        </is>
      </c>
      <c r="G116" t="inlineStr">
        <is>
          <t>KARLSKRONA</t>
        </is>
      </c>
      <c r="I116" t="n">
        <v>3.8</v>
      </c>
      <c r="J116" t="n">
        <v>0</v>
      </c>
      <c r="K116" t="n">
        <v>0</v>
      </c>
      <c r="L116" t="n">
        <v>0</v>
      </c>
      <c r="M116" t="n">
        <v>0</v>
      </c>
      <c r="N116" t="n">
        <v>1</v>
      </c>
      <c r="O116" t="n">
        <v>0</v>
      </c>
      <c r="P116" t="n">
        <v>0</v>
      </c>
      <c r="Q116" t="n">
        <v>1</v>
      </c>
      <c r="R116" t="n">
        <v>1</v>
      </c>
      <c r="S116" t="n">
        <v>1</v>
      </c>
      <c r="T116" t="n">
        <v>1</v>
      </c>
      <c r="U116" s="2" t="inlineStr">
        <is>
          <t>Skogsalm</t>
        </is>
      </c>
      <c r="V116">
        <f>HYPERLINK("https://klasma.github.io/Logging_1080/artfynd/A 28642-2023 artfynd.xlsx", "A 28642-2023")</f>
        <v/>
      </c>
      <c r="W116">
        <f>HYPERLINK("https://klasma.github.io/Logging_1080/kartor/A 28642-2023 karta.png", "A 28642-2023")</f>
        <v/>
      </c>
      <c r="Y116">
        <f>HYPERLINK("https://klasma.github.io/Logging_1080/klagomål/A 28642-2023 FSC-klagomål.docx", "A 28642-2023")</f>
        <v/>
      </c>
      <c r="Z116">
        <f>HYPERLINK("https://klasma.github.io/Logging_1080/klagomålsmail/A 28642-2023 FSC-klagomål mail.docx", "A 28642-2023")</f>
        <v/>
      </c>
      <c r="AA116">
        <f>HYPERLINK("https://klasma.github.io/Logging_1080/tillsyn/A 28642-2023 tillsynsbegäran.docx", "A 28642-2023")</f>
        <v/>
      </c>
      <c r="AB116">
        <f>HYPERLINK("https://klasma.github.io/Logging_1080/tillsynsmail/A 28642-2023 tillsynsbegäran mail.docx", "A 28642-2023")</f>
        <v/>
      </c>
    </row>
    <row r="117" ht="15" customHeight="1">
      <c r="A117" t="inlineStr">
        <is>
          <t>A 34742-2023</t>
        </is>
      </c>
      <c r="B117" t="inlineStr">
        <is>
          <t>avverkningsanmälan</t>
        </is>
      </c>
      <c r="C117" t="inlineStr">
        <is>
          <t>Föryngringsavverkning</t>
        </is>
      </c>
      <c r="D117" s="1" t="n">
        <v>45141</v>
      </c>
      <c r="E117" s="1" t="n">
        <v>46216</v>
      </c>
      <c r="F117" t="inlineStr">
        <is>
          <t>BLEKINGE LÄN</t>
        </is>
      </c>
      <c r="G117" t="inlineStr">
        <is>
          <t>OLOFSTRÖM</t>
        </is>
      </c>
      <c r="I117" t="n">
        <v>3.6</v>
      </c>
      <c r="J117" t="n">
        <v>0</v>
      </c>
      <c r="K117" t="n">
        <v>1</v>
      </c>
      <c r="L117" t="n">
        <v>0</v>
      </c>
      <c r="M117" t="n">
        <v>0</v>
      </c>
      <c r="N117" t="n">
        <v>0</v>
      </c>
      <c r="O117" t="n">
        <v>0</v>
      </c>
      <c r="P117" t="n">
        <v>0</v>
      </c>
      <c r="Q117" t="n">
        <v>0</v>
      </c>
      <c r="R117" t="n">
        <v>0</v>
      </c>
      <c r="S117" t="n">
        <v>1</v>
      </c>
      <c r="T117" t="n">
        <v>1</v>
      </c>
      <c r="U117" s="2" t="inlineStr">
        <is>
          <t>Guldlockmossa</t>
        </is>
      </c>
      <c r="V117">
        <f>HYPERLINK("https://klasma.github.io/Logging_1060/artfynd/A 34742-2023 artfynd.xlsx", "A 34742-2023")</f>
        <v/>
      </c>
      <c r="W117">
        <f>HYPERLINK("https://klasma.github.io/Logging_1060/kartor/A 34742-2023 karta.png", "A 34742-2023")</f>
        <v/>
      </c>
      <c r="Y117">
        <f>HYPERLINK("https://klasma.github.io/Logging_1060/klagomål/A 34742-2023 FSC-klagomål.docx", "A 34742-2023")</f>
        <v/>
      </c>
      <c r="Z117">
        <f>HYPERLINK("https://klasma.github.io/Logging_1060/klagomålsmail/A 34742-2023 FSC-klagomål mail.docx", "A 34742-2023")</f>
        <v/>
      </c>
      <c r="AA117">
        <f>HYPERLINK("https://klasma.github.io/Logging_1060/tillsyn/A 34742-2023 tillsynsbegäran.docx", "A 34742-2023")</f>
        <v/>
      </c>
      <c r="AB117">
        <f>HYPERLINK("https://klasma.github.io/Logging_1060/tillsynsmail/A 34742-2023 tillsynsbegäran mail.docx", "A 34742-2023")</f>
        <v/>
      </c>
    </row>
    <row r="118" ht="15" customHeight="1">
      <c r="A118" t="inlineStr">
        <is>
          <t>A 3711-2025</t>
        </is>
      </c>
      <c r="B118" t="inlineStr">
        <is>
          <t>avverkningsanmälan</t>
        </is>
      </c>
      <c r="C118" t="inlineStr">
        <is>
          <t>Föryngringsavverkning</t>
        </is>
      </c>
      <c r="D118" s="1" t="n">
        <v>45681</v>
      </c>
      <c r="E118" s="1" t="n">
        <v>46216</v>
      </c>
      <c r="F118" t="inlineStr">
        <is>
          <t>BLEKINGE LÄN</t>
        </is>
      </c>
      <c r="G118" t="inlineStr">
        <is>
          <t>OLOFSTRÖM</t>
        </is>
      </c>
      <c r="I118" t="n">
        <v>8.1</v>
      </c>
      <c r="J118" t="n">
        <v>1</v>
      </c>
      <c r="K118" t="n">
        <v>0</v>
      </c>
      <c r="L118" t="n">
        <v>0</v>
      </c>
      <c r="M118" t="n">
        <v>0</v>
      </c>
      <c r="N118" t="n">
        <v>0</v>
      </c>
      <c r="O118" t="n">
        <v>0</v>
      </c>
      <c r="P118" t="n">
        <v>0</v>
      </c>
      <c r="Q118" t="n">
        <v>0</v>
      </c>
      <c r="R118" t="n">
        <v>0</v>
      </c>
      <c r="S118" t="n">
        <v>1</v>
      </c>
      <c r="T118" t="n">
        <v>1</v>
      </c>
      <c r="U118" s="2" t="inlineStr">
        <is>
          <t>Revlummer</t>
        </is>
      </c>
      <c r="V118">
        <f>HYPERLINK("https://klasma.github.io/Logging_1060/artfynd/A 3711-2025 artfynd.xlsx", "A 3711-2025")</f>
        <v/>
      </c>
      <c r="W118">
        <f>HYPERLINK("https://klasma.github.io/Logging_1060/kartor/A 3711-2025 karta.png", "A 3711-2025")</f>
        <v/>
      </c>
      <c r="Y118">
        <f>HYPERLINK("https://klasma.github.io/Logging_1060/klagomål/A 3711-2025 FSC-klagomål.docx", "A 3711-2025")</f>
        <v/>
      </c>
      <c r="Z118">
        <f>HYPERLINK("https://klasma.github.io/Logging_1060/klagomålsmail/A 3711-2025 FSC-klagomål mail.docx", "A 3711-2025")</f>
        <v/>
      </c>
      <c r="AA118">
        <f>HYPERLINK("https://klasma.github.io/Logging_1060/tillsyn/A 3711-2025 tillsynsbegäran.docx", "A 3711-2025")</f>
        <v/>
      </c>
      <c r="AB118">
        <f>HYPERLINK("https://klasma.github.io/Logging_1060/tillsynsmail/A 3711-2025 tillsynsbegäran mail.docx", "A 3711-2025")</f>
        <v/>
      </c>
    </row>
    <row r="119" ht="15" customHeight="1">
      <c r="A119" t="inlineStr">
        <is>
          <t>A 19602-2023</t>
        </is>
      </c>
      <c r="B119" t="inlineStr">
        <is>
          <t>avverkningsanmälan</t>
        </is>
      </c>
      <c r="C119" t="inlineStr">
        <is>
          <t>Föryngringsavverkning</t>
        </is>
      </c>
      <c r="D119" s="1" t="n">
        <v>45050</v>
      </c>
      <c r="E119" s="1" t="n">
        <v>46216</v>
      </c>
      <c r="F119" t="inlineStr">
        <is>
          <t>BLEKINGE LÄN</t>
        </is>
      </c>
      <c r="G119" t="inlineStr">
        <is>
          <t>KARLSKRONA</t>
        </is>
      </c>
      <c r="I119" t="n">
        <v>19.5</v>
      </c>
      <c r="J119" t="n">
        <v>1</v>
      </c>
      <c r="K119" t="n">
        <v>0</v>
      </c>
      <c r="L119" t="n">
        <v>0</v>
      </c>
      <c r="M119" t="n">
        <v>1</v>
      </c>
      <c r="N119" t="n">
        <v>0</v>
      </c>
      <c r="O119" t="n">
        <v>0</v>
      </c>
      <c r="P119" t="n">
        <v>0</v>
      </c>
      <c r="Q119" t="n">
        <v>1</v>
      </c>
      <c r="R119" t="n">
        <v>1</v>
      </c>
      <c r="S119" t="n">
        <v>1</v>
      </c>
      <c r="T119" t="n">
        <v>2</v>
      </c>
      <c r="U119" s="2" t="inlineStr">
        <is>
          <t>Backsippa</t>
        </is>
      </c>
      <c r="V119">
        <f>HYPERLINK("https://klasma.github.io/Logging_1080/artfynd/A 19602-2023 artfynd.xlsx", "A 19602-2023")</f>
        <v/>
      </c>
      <c r="W119">
        <f>HYPERLINK("https://klasma.github.io/Logging_1080/kartor/A 19602-2023 karta.png", "A 19602-2023")</f>
        <v/>
      </c>
      <c r="Y119">
        <f>HYPERLINK("https://klasma.github.io/Logging_1080/klagomål/A 19602-2023 FSC-klagomål.docx", "A 19602-2023")</f>
        <v/>
      </c>
      <c r="Z119">
        <f>HYPERLINK("https://klasma.github.io/Logging_1080/klagomålsmail/A 19602-2023 FSC-klagomål mail.docx", "A 19602-2023")</f>
        <v/>
      </c>
      <c r="AA119">
        <f>HYPERLINK("https://klasma.github.io/Logging_1080/tillsyn/A 19602-2023 tillsynsbegäran.docx", "A 19602-2023")</f>
        <v/>
      </c>
      <c r="AB119">
        <f>HYPERLINK("https://klasma.github.io/Logging_1080/tillsynsmail/A 19602-2023 tillsynsbegäran mail.docx", "A 19602-2023")</f>
        <v/>
      </c>
    </row>
    <row r="120" ht="15" customHeight="1">
      <c r="A120" t="inlineStr">
        <is>
          <t>A 1356-2024</t>
        </is>
      </c>
      <c r="B120" t="inlineStr">
        <is>
          <t>avverkningsanmälan</t>
        </is>
      </c>
      <c r="C120" t="inlineStr">
        <is>
          <t>Föryngringsavverkning</t>
        </is>
      </c>
      <c r="D120" s="1" t="n">
        <v>45303</v>
      </c>
      <c r="E120" s="1" t="n">
        <v>46216</v>
      </c>
      <c r="F120" t="inlineStr">
        <is>
          <t>BLEKINGE LÄN</t>
        </is>
      </c>
      <c r="G120" t="inlineStr">
        <is>
          <t>KARLSKRONA</t>
        </is>
      </c>
      <c r="I120" t="n">
        <v>2.4</v>
      </c>
      <c r="J120" t="n">
        <v>1</v>
      </c>
      <c r="K120" t="n">
        <v>1</v>
      </c>
      <c r="L120" t="n">
        <v>0</v>
      </c>
      <c r="M120" t="n">
        <v>0</v>
      </c>
      <c r="N120" t="n">
        <v>0</v>
      </c>
      <c r="O120" t="n">
        <v>0</v>
      </c>
      <c r="P120" t="n">
        <v>0</v>
      </c>
      <c r="Q120" t="n">
        <v>0</v>
      </c>
      <c r="R120" t="n">
        <v>0</v>
      </c>
      <c r="S120" t="n">
        <v>1</v>
      </c>
      <c r="T120" t="n">
        <v>2</v>
      </c>
      <c r="U120" s="2" t="inlineStr">
        <is>
          <t>Ekoxe</t>
        </is>
      </c>
      <c r="V120">
        <f>HYPERLINK("https://klasma.github.io/Logging_1080/artfynd/A 1356-2024 artfynd.xlsx", "A 1356-2024")</f>
        <v/>
      </c>
      <c r="W120">
        <f>HYPERLINK("https://klasma.github.io/Logging_1080/kartor/A 1356-2024 karta.png", "A 1356-2024")</f>
        <v/>
      </c>
      <c r="Y120">
        <f>HYPERLINK("https://klasma.github.io/Logging_1080/klagomål/A 1356-2024 FSC-klagomål.docx", "A 1356-2024")</f>
        <v/>
      </c>
      <c r="Z120">
        <f>HYPERLINK("https://klasma.github.io/Logging_1080/klagomålsmail/A 1356-2024 FSC-klagomål mail.docx", "A 1356-2024")</f>
        <v/>
      </c>
      <c r="AA120">
        <f>HYPERLINK("https://klasma.github.io/Logging_1080/tillsyn/A 1356-2024 tillsynsbegäran.docx", "A 1356-2024")</f>
        <v/>
      </c>
      <c r="AB120">
        <f>HYPERLINK("https://klasma.github.io/Logging_1080/tillsynsmail/A 1356-2024 tillsynsbegäran mail.docx", "A 1356-2024")</f>
        <v/>
      </c>
    </row>
    <row r="121" ht="15" customHeight="1">
      <c r="A121" t="inlineStr">
        <is>
          <t>A 5571-2023</t>
        </is>
      </c>
      <c r="B121" t="inlineStr">
        <is>
          <t>avverkningsanmälan</t>
        </is>
      </c>
      <c r="C121" t="inlineStr">
        <is>
          <t>Föryngringsavverkning</t>
        </is>
      </c>
      <c r="D121" s="1" t="n">
        <v>44957</v>
      </c>
      <c r="E121" s="1" t="n">
        <v>46216</v>
      </c>
      <c r="F121" t="inlineStr">
        <is>
          <t>BLEKINGE LÄN</t>
        </is>
      </c>
      <c r="G121" t="inlineStr">
        <is>
          <t>RONNEBY</t>
        </is>
      </c>
      <c r="I121" t="n">
        <v>1.3</v>
      </c>
      <c r="J121" t="n">
        <v>1</v>
      </c>
      <c r="K121" t="n">
        <v>1</v>
      </c>
      <c r="L121" t="n">
        <v>0</v>
      </c>
      <c r="M121" t="n">
        <v>0</v>
      </c>
      <c r="N121" t="n">
        <v>0</v>
      </c>
      <c r="O121" t="n">
        <v>0</v>
      </c>
      <c r="P121" t="n">
        <v>0</v>
      </c>
      <c r="Q121" t="n">
        <v>0</v>
      </c>
      <c r="R121" t="n">
        <v>0</v>
      </c>
      <c r="S121" t="n">
        <v>1</v>
      </c>
      <c r="T121" t="n">
        <v>1</v>
      </c>
      <c r="U121" s="2" t="inlineStr">
        <is>
          <t>Ekoxe</t>
        </is>
      </c>
      <c r="V121">
        <f>HYPERLINK("https://klasma.github.io/Logging_1081/artfynd/A 5571-2023 artfynd.xlsx", "A 5571-2023")</f>
        <v/>
      </c>
      <c r="W121">
        <f>HYPERLINK("https://klasma.github.io/Logging_1081/kartor/A 5571-2023 karta.png", "A 5571-2023")</f>
        <v/>
      </c>
      <c r="Y121">
        <f>HYPERLINK("https://klasma.github.io/Logging_1081/klagomål/A 5571-2023 FSC-klagomål.docx", "A 5571-2023")</f>
        <v/>
      </c>
      <c r="Z121">
        <f>HYPERLINK("https://klasma.github.io/Logging_1081/klagomålsmail/A 5571-2023 FSC-klagomål mail.docx", "A 5571-2023")</f>
        <v/>
      </c>
      <c r="AA121">
        <f>HYPERLINK("https://klasma.github.io/Logging_1081/tillsyn/A 5571-2023 tillsynsbegäran.docx", "A 5571-2023")</f>
        <v/>
      </c>
      <c r="AB121">
        <f>HYPERLINK("https://klasma.github.io/Logging_1081/tillsynsmail/A 5571-2023 tillsynsbegäran mail.docx", "A 5571-2023")</f>
        <v/>
      </c>
    </row>
    <row r="122" ht="15" customHeight="1">
      <c r="A122" t="inlineStr">
        <is>
          <t>A 41867-2024</t>
        </is>
      </c>
      <c r="B122" t="inlineStr">
        <is>
          <t>avverkningsanmälan</t>
        </is>
      </c>
      <c r="C122" t="inlineStr">
        <is>
          <t>Avverkning för annat ändamål</t>
        </is>
      </c>
      <c r="D122" s="1" t="n">
        <v>45561</v>
      </c>
      <c r="E122" s="1" t="n">
        <v>46216</v>
      </c>
      <c r="F122" t="inlineStr">
        <is>
          <t>BLEKINGE LÄN</t>
        </is>
      </c>
      <c r="G122" t="inlineStr">
        <is>
          <t>KARLSKRONA</t>
        </is>
      </c>
      <c r="I122" t="n">
        <v>11</v>
      </c>
      <c r="J122" t="n">
        <v>1</v>
      </c>
      <c r="K122" t="n">
        <v>1</v>
      </c>
      <c r="L122" t="n">
        <v>0</v>
      </c>
      <c r="M122" t="n">
        <v>0</v>
      </c>
      <c r="N122" t="n">
        <v>0</v>
      </c>
      <c r="O122" t="n">
        <v>0</v>
      </c>
      <c r="P122" t="n">
        <v>0</v>
      </c>
      <c r="Q122" t="n">
        <v>0</v>
      </c>
      <c r="R122" t="n">
        <v>0</v>
      </c>
      <c r="S122" t="n">
        <v>1</v>
      </c>
      <c r="T122" t="n">
        <v>2</v>
      </c>
      <c r="U122" s="2" t="inlineStr">
        <is>
          <t>Ekoxe</t>
        </is>
      </c>
      <c r="V122">
        <f>HYPERLINK("https://klasma.github.io/Logging_1080/artfynd/A 41867-2024 artfynd.xlsx", "A 41867-2024")</f>
        <v/>
      </c>
      <c r="W122">
        <f>HYPERLINK("https://klasma.github.io/Logging_1080/kartor/A 41867-2024 karta.png", "A 41867-2024")</f>
        <v/>
      </c>
      <c r="Y122">
        <f>HYPERLINK("https://klasma.github.io/Logging_1080/klagomål/A 41867-2024 FSC-klagomål.docx", "A 41867-2024")</f>
        <v/>
      </c>
      <c r="Z122">
        <f>HYPERLINK("https://klasma.github.io/Logging_1080/klagomålsmail/A 41867-2024 FSC-klagomål mail.docx", "A 41867-2024")</f>
        <v/>
      </c>
      <c r="AA122">
        <f>HYPERLINK("https://klasma.github.io/Logging_1080/tillsyn/A 41867-2024 tillsynsbegäran.docx", "A 41867-2024")</f>
        <v/>
      </c>
      <c r="AB122">
        <f>HYPERLINK("https://klasma.github.io/Logging_1080/tillsynsmail/A 41867-2024 tillsynsbegäran mail.docx", "A 41867-2024")</f>
        <v/>
      </c>
    </row>
    <row r="123" ht="15" customHeight="1">
      <c r="A123" t="inlineStr">
        <is>
          <t>A 29904-2025</t>
        </is>
      </c>
      <c r="B123" t="inlineStr">
        <is>
          <t>avverkningsanmälan</t>
        </is>
      </c>
      <c r="C123" t="inlineStr">
        <is>
          <t>Föryngringsavverkning</t>
        </is>
      </c>
      <c r="D123" s="1" t="n">
        <v>45826</v>
      </c>
      <c r="E123" s="1" t="n">
        <v>46216</v>
      </c>
      <c r="F123" t="inlineStr">
        <is>
          <t>BLEKINGE LÄN</t>
        </is>
      </c>
      <c r="G123" t="inlineStr">
        <is>
          <t>KARLSHAMN</t>
        </is>
      </c>
      <c r="H123" t="inlineStr">
        <is>
          <t>Sveaskog</t>
        </is>
      </c>
      <c r="I123" t="n">
        <v>10.1</v>
      </c>
      <c r="J123" t="n">
        <v>1</v>
      </c>
      <c r="K123" t="n">
        <v>0</v>
      </c>
      <c r="L123" t="n">
        <v>0</v>
      </c>
      <c r="M123" t="n">
        <v>0</v>
      </c>
      <c r="N123" t="n">
        <v>0</v>
      </c>
      <c r="O123" t="n">
        <v>0</v>
      </c>
      <c r="P123" t="n">
        <v>0</v>
      </c>
      <c r="Q123" t="n">
        <v>0</v>
      </c>
      <c r="R123" t="n">
        <v>0</v>
      </c>
      <c r="S123" t="n">
        <v>1</v>
      </c>
      <c r="T123" t="n">
        <v>1</v>
      </c>
      <c r="U123" s="2" t="inlineStr">
        <is>
          <t>Tjäder</t>
        </is>
      </c>
      <c r="V123">
        <f>HYPERLINK("https://klasma.github.io/Logging_1082/artfynd/A 29904-2025 artfynd.xlsx", "A 29904-2025")</f>
        <v/>
      </c>
      <c r="W123">
        <f>HYPERLINK("https://klasma.github.io/Logging_1082/kartor/A 29904-2025 karta.png", "A 29904-2025")</f>
        <v/>
      </c>
      <c r="Y123">
        <f>HYPERLINK("https://klasma.github.io/Logging_1082/klagomål/A 29904-2025 FSC-klagomål.docx", "A 29904-2025")</f>
        <v/>
      </c>
      <c r="Z123">
        <f>HYPERLINK("https://klasma.github.io/Logging_1082/klagomålsmail/A 29904-2025 FSC-klagomål mail.docx", "A 29904-2025")</f>
        <v/>
      </c>
      <c r="AA123">
        <f>HYPERLINK("https://klasma.github.io/Logging_1082/tillsyn/A 29904-2025 tillsynsbegäran.docx", "A 29904-2025")</f>
        <v/>
      </c>
      <c r="AB123">
        <f>HYPERLINK("https://klasma.github.io/Logging_1082/tillsynsmail/A 29904-2025 tillsynsbegäran mail.docx", "A 29904-2025")</f>
        <v/>
      </c>
      <c r="AC123">
        <f>HYPERLINK("https://klasma.github.io/Logging_1082/fåglar/A 29904-2025 prioriterade fågelarter.docx", "A 29904-2025")</f>
        <v/>
      </c>
    </row>
    <row r="124" ht="15" customHeight="1">
      <c r="A124" t="inlineStr">
        <is>
          <t>A 29000-2023</t>
        </is>
      </c>
      <c r="B124" t="inlineStr">
        <is>
          <t>avverkningsanmälan</t>
        </is>
      </c>
      <c r="C124" t="inlineStr">
        <is>
          <t>Föryngringsavverkning</t>
        </is>
      </c>
      <c r="D124" s="1" t="n">
        <v>45104</v>
      </c>
      <c r="E124" s="1" t="n">
        <v>46216</v>
      </c>
      <c r="F124" t="inlineStr">
        <is>
          <t>BLEKINGE LÄN</t>
        </is>
      </c>
      <c r="G124" t="inlineStr">
        <is>
          <t>KARLSHAMN</t>
        </is>
      </c>
      <c r="I124" t="n">
        <v>2.2</v>
      </c>
      <c r="J124" t="n">
        <v>0</v>
      </c>
      <c r="K124" t="n">
        <v>0</v>
      </c>
      <c r="L124" t="n">
        <v>1</v>
      </c>
      <c r="M124" t="n">
        <v>0</v>
      </c>
      <c r="N124" t="n">
        <v>0</v>
      </c>
      <c r="O124" t="n">
        <v>0</v>
      </c>
      <c r="P124" t="n">
        <v>0</v>
      </c>
      <c r="Q124" t="n">
        <v>1</v>
      </c>
      <c r="R124" t="n">
        <v>0</v>
      </c>
      <c r="S124" t="n">
        <v>1</v>
      </c>
      <c r="T124" t="n">
        <v>1</v>
      </c>
      <c r="U124" s="2" t="inlineStr">
        <is>
          <t>Grönhjon</t>
        </is>
      </c>
      <c r="V124">
        <f>HYPERLINK("https://klasma.github.io/Logging_1082/artfynd/A 29000-2023 artfynd.xlsx", "A 29000-2023")</f>
        <v/>
      </c>
      <c r="W124">
        <f>HYPERLINK("https://klasma.github.io/Logging_1082/kartor/A 29000-2023 karta.png", "A 29000-2023")</f>
        <v/>
      </c>
      <c r="Y124">
        <f>HYPERLINK("https://klasma.github.io/Logging_1082/klagomål/A 29000-2023 FSC-klagomål.docx", "A 29000-2023")</f>
        <v/>
      </c>
      <c r="Z124">
        <f>HYPERLINK("https://klasma.github.io/Logging_1082/klagomålsmail/A 29000-2023 FSC-klagomål mail.docx", "A 29000-2023")</f>
        <v/>
      </c>
      <c r="AA124">
        <f>HYPERLINK("https://klasma.github.io/Logging_1082/tillsyn/A 29000-2023 tillsynsbegäran.docx", "A 29000-2023")</f>
        <v/>
      </c>
      <c r="AB124">
        <f>HYPERLINK("https://klasma.github.io/Logging_1082/tillsynsmail/A 29000-2023 tillsynsbegäran mail.docx", "A 29000-2023")</f>
        <v/>
      </c>
    </row>
    <row r="125" ht="15" customHeight="1">
      <c r="A125" t="inlineStr">
        <is>
          <t>A 49064-2024</t>
        </is>
      </c>
      <c r="B125" t="inlineStr">
        <is>
          <t>avverkningsanmälan</t>
        </is>
      </c>
      <c r="C125" t="inlineStr">
        <is>
          <t>Föryngringsavverkning</t>
        </is>
      </c>
      <c r="D125" s="1" t="n">
        <v>45594</v>
      </c>
      <c r="E125" s="1" t="n">
        <v>46216</v>
      </c>
      <c r="F125" t="inlineStr">
        <is>
          <t>BLEKINGE LÄN</t>
        </is>
      </c>
      <c r="G125" t="inlineStr">
        <is>
          <t>OLOFSTRÖM</t>
        </is>
      </c>
      <c r="I125" t="n">
        <v>4.8</v>
      </c>
      <c r="J125" t="n">
        <v>0</v>
      </c>
      <c r="K125" t="n">
        <v>0</v>
      </c>
      <c r="L125" t="n">
        <v>1</v>
      </c>
      <c r="M125" t="n">
        <v>0</v>
      </c>
      <c r="N125" t="n">
        <v>0</v>
      </c>
      <c r="O125" t="n">
        <v>0</v>
      </c>
      <c r="P125" t="n">
        <v>0</v>
      </c>
      <c r="Q125" t="n">
        <v>1</v>
      </c>
      <c r="R125" t="n">
        <v>0</v>
      </c>
      <c r="S125" t="n">
        <v>1</v>
      </c>
      <c r="T125" t="n">
        <v>2</v>
      </c>
      <c r="U125" s="2" t="inlineStr">
        <is>
          <t>Grönhjon</t>
        </is>
      </c>
      <c r="V125">
        <f>HYPERLINK("https://klasma.github.io/Logging_1060/artfynd/A 49064-2024 artfynd.xlsx", "A 49064-2024")</f>
        <v/>
      </c>
      <c r="W125">
        <f>HYPERLINK("https://klasma.github.io/Logging_1060/kartor/A 49064-2024 karta.png", "A 49064-2024")</f>
        <v/>
      </c>
      <c r="Y125">
        <f>HYPERLINK("https://klasma.github.io/Logging_1060/klagomål/A 49064-2024 FSC-klagomål.docx", "A 49064-2024")</f>
        <v/>
      </c>
      <c r="Z125">
        <f>HYPERLINK("https://klasma.github.io/Logging_1060/klagomålsmail/A 49064-2024 FSC-klagomål mail.docx", "A 49064-2024")</f>
        <v/>
      </c>
      <c r="AA125">
        <f>HYPERLINK("https://klasma.github.io/Logging_1060/tillsyn/A 49064-2024 tillsynsbegäran.docx", "A 49064-2024")</f>
        <v/>
      </c>
      <c r="AB125">
        <f>HYPERLINK("https://klasma.github.io/Logging_1060/tillsynsmail/A 49064-2024 tillsynsbegäran mail.docx", "A 49064-2024")</f>
        <v/>
      </c>
    </row>
    <row r="126" ht="15" customHeight="1">
      <c r="A126" t="inlineStr">
        <is>
          <t>A 2463-2026</t>
        </is>
      </c>
      <c r="B126" t="inlineStr">
        <is>
          <t>avverkningsanmälan</t>
        </is>
      </c>
      <c r="C126" t="inlineStr">
        <is>
          <t>Föryngringsavverkning</t>
        </is>
      </c>
      <c r="D126" s="1" t="n">
        <v>46037</v>
      </c>
      <c r="E126" s="1" t="n">
        <v>46216</v>
      </c>
      <c r="F126" t="inlineStr">
        <is>
          <t>BLEKINGE LÄN</t>
        </is>
      </c>
      <c r="G126" t="inlineStr">
        <is>
          <t>OLOFSTRÖM</t>
        </is>
      </c>
      <c r="I126" t="n">
        <v>5.2</v>
      </c>
      <c r="J126" t="n">
        <v>0</v>
      </c>
      <c r="K126" t="n">
        <v>0</v>
      </c>
      <c r="L126" t="n">
        <v>1</v>
      </c>
      <c r="M126" t="n">
        <v>0</v>
      </c>
      <c r="N126" t="n">
        <v>0</v>
      </c>
      <c r="O126" t="n">
        <v>0</v>
      </c>
      <c r="P126" t="n">
        <v>0</v>
      </c>
      <c r="Q126" t="n">
        <v>1</v>
      </c>
      <c r="R126" t="n">
        <v>0</v>
      </c>
      <c r="S126" t="n">
        <v>1</v>
      </c>
      <c r="T126" t="n">
        <v>3</v>
      </c>
      <c r="U126" s="2" t="inlineStr">
        <is>
          <t>Grönhjon</t>
        </is>
      </c>
      <c r="V126">
        <f>HYPERLINK("https://klasma.github.io/Logging_1060/artfynd/A 2463-2026 artfynd.xlsx", "A 2463-2026")</f>
        <v/>
      </c>
      <c r="W126">
        <f>HYPERLINK("https://klasma.github.io/Logging_1060/kartor/A 2463-2026 karta.png", "A 2463-2026")</f>
        <v/>
      </c>
      <c r="Y126">
        <f>HYPERLINK("https://klasma.github.io/Logging_1060/klagomål/A 2463-2026 FSC-klagomål.docx", "A 2463-2026")</f>
        <v/>
      </c>
      <c r="Z126">
        <f>HYPERLINK("https://klasma.github.io/Logging_1060/klagomålsmail/A 2463-2026 FSC-klagomål mail.docx", "A 2463-2026")</f>
        <v/>
      </c>
      <c r="AA126">
        <f>HYPERLINK("https://klasma.github.io/Logging_1060/tillsyn/A 2463-2026 tillsynsbegäran.docx", "A 2463-2026")</f>
        <v/>
      </c>
      <c r="AB126">
        <f>HYPERLINK("https://klasma.github.io/Logging_1060/tillsynsmail/A 2463-2026 tillsynsbegäran mail.docx", "A 2463-2026")</f>
        <v/>
      </c>
    </row>
    <row r="127" ht="15" customHeight="1">
      <c r="A127" t="inlineStr">
        <is>
          <t>A 34609-2025</t>
        </is>
      </c>
      <c r="B127" t="inlineStr">
        <is>
          <t>avverkningsanmälan</t>
        </is>
      </c>
      <c r="C127" t="inlineStr">
        <is>
          <t>Föryngringsavverkning</t>
        </is>
      </c>
      <c r="D127" s="1" t="n">
        <v>45847</v>
      </c>
      <c r="E127" s="1" t="n">
        <v>46216</v>
      </c>
      <c r="F127" t="inlineStr">
        <is>
          <t>BLEKINGE LÄN</t>
        </is>
      </c>
      <c r="G127" t="inlineStr">
        <is>
          <t>KARLSKRONA</t>
        </is>
      </c>
      <c r="I127" t="n">
        <v>1</v>
      </c>
      <c r="J127" t="n">
        <v>1</v>
      </c>
      <c r="K127" t="n">
        <v>0</v>
      </c>
      <c r="L127" t="n">
        <v>0</v>
      </c>
      <c r="M127" t="n">
        <v>1</v>
      </c>
      <c r="N127" t="n">
        <v>0</v>
      </c>
      <c r="O127" t="n">
        <v>0</v>
      </c>
      <c r="P127" t="n">
        <v>0</v>
      </c>
      <c r="Q127" t="n">
        <v>1</v>
      </c>
      <c r="R127" t="n">
        <v>1</v>
      </c>
      <c r="S127" t="n">
        <v>1</v>
      </c>
      <c r="T127" t="n">
        <v>1</v>
      </c>
      <c r="U127" s="2" t="inlineStr">
        <is>
          <t>Backsippa</t>
        </is>
      </c>
      <c r="V127">
        <f>HYPERLINK("https://klasma.github.io/Logging_1080/artfynd/A 34609-2025 artfynd.xlsx", "A 34609-2025")</f>
        <v/>
      </c>
      <c r="W127">
        <f>HYPERLINK("https://klasma.github.io/Logging_1080/kartor/A 34609-2025 karta.png", "A 34609-2025")</f>
        <v/>
      </c>
      <c r="Y127">
        <f>HYPERLINK("https://klasma.github.io/Logging_1080/klagomål/A 34609-2025 FSC-klagomål.docx", "A 34609-2025")</f>
        <v/>
      </c>
      <c r="Z127">
        <f>HYPERLINK("https://klasma.github.io/Logging_1080/klagomålsmail/A 34609-2025 FSC-klagomål mail.docx", "A 34609-2025")</f>
        <v/>
      </c>
      <c r="AA127">
        <f>HYPERLINK("https://klasma.github.io/Logging_1080/tillsyn/A 34609-2025 tillsynsbegäran.docx", "A 34609-2025")</f>
        <v/>
      </c>
      <c r="AB127">
        <f>HYPERLINK("https://klasma.github.io/Logging_1080/tillsynsmail/A 34609-2025 tillsynsbegäran mail.docx", "A 34609-2025")</f>
        <v/>
      </c>
    </row>
    <row r="128" ht="15" customHeight="1">
      <c r="A128" t="inlineStr">
        <is>
          <t>A 58405-2022</t>
        </is>
      </c>
      <c r="B128" t="inlineStr">
        <is>
          <t>avverkningsanmälan</t>
        </is>
      </c>
      <c r="C128" t="inlineStr">
        <is>
          <t>Föryngringsavverkning</t>
        </is>
      </c>
      <c r="D128" s="1" t="n">
        <v>44901</v>
      </c>
      <c r="E128" s="1" t="n">
        <v>46216</v>
      </c>
      <c r="F128" t="inlineStr">
        <is>
          <t>BLEKINGE LÄN</t>
        </is>
      </c>
      <c r="G128" t="inlineStr">
        <is>
          <t>KARLSHAMN</t>
        </is>
      </c>
      <c r="H128" t="inlineStr">
        <is>
          <t>Kommuner</t>
        </is>
      </c>
      <c r="I128" t="n">
        <v>1.2</v>
      </c>
      <c r="J128" t="n">
        <v>1</v>
      </c>
      <c r="K128" t="n">
        <v>0</v>
      </c>
      <c r="L128" t="n">
        <v>1</v>
      </c>
      <c r="M128" t="n">
        <v>0</v>
      </c>
      <c r="N128" t="n">
        <v>0</v>
      </c>
      <c r="O128" t="n">
        <v>0</v>
      </c>
      <c r="P128" t="n">
        <v>0</v>
      </c>
      <c r="Q128" t="n">
        <v>1</v>
      </c>
      <c r="R128" t="n">
        <v>0</v>
      </c>
      <c r="S128" t="n">
        <v>1</v>
      </c>
      <c r="T128" t="n">
        <v>1</v>
      </c>
      <c r="U128" s="2" t="inlineStr">
        <is>
          <t>Grönsångare</t>
        </is>
      </c>
      <c r="V128">
        <f>HYPERLINK("https://klasma.github.io/Logging_1082/artfynd/A 58405-2022 artfynd.xlsx", "A 58405-2022")</f>
        <v/>
      </c>
      <c r="W128">
        <f>HYPERLINK("https://klasma.github.io/Logging_1082/kartor/A 58405-2022 karta.png", "A 58405-2022")</f>
        <v/>
      </c>
      <c r="Y128">
        <f>HYPERLINK("https://klasma.github.io/Logging_1082/klagomål/A 58405-2022 FSC-klagomål.docx", "A 58405-2022")</f>
        <v/>
      </c>
      <c r="Z128">
        <f>HYPERLINK("https://klasma.github.io/Logging_1082/klagomålsmail/A 58405-2022 FSC-klagomål mail.docx", "A 58405-2022")</f>
        <v/>
      </c>
      <c r="AA128">
        <f>HYPERLINK("https://klasma.github.io/Logging_1082/tillsyn/A 58405-2022 tillsynsbegäran.docx", "A 58405-2022")</f>
        <v/>
      </c>
      <c r="AB128">
        <f>HYPERLINK("https://klasma.github.io/Logging_1082/tillsynsmail/A 58405-2022 tillsynsbegäran mail.docx", "A 58405-2022")</f>
        <v/>
      </c>
      <c r="AC128">
        <f>HYPERLINK("https://klasma.github.io/Logging_1082/fåglar/A 58405-2022 prioriterade fågelarter.docx", "A 58405-2022")</f>
        <v/>
      </c>
    </row>
    <row r="129" ht="15" customHeight="1">
      <c r="A129" t="inlineStr">
        <is>
          <t>A 51772-2025</t>
        </is>
      </c>
      <c r="B129" t="inlineStr">
        <is>
          <t>avverkningsanmälan</t>
        </is>
      </c>
      <c r="C129" t="inlineStr">
        <is>
          <t>Föryngringsavverkning</t>
        </is>
      </c>
      <c r="D129" s="1" t="n">
        <v>45951</v>
      </c>
      <c r="E129" s="1" t="n">
        <v>46216</v>
      </c>
      <c r="F129" t="inlineStr">
        <is>
          <t>BLEKINGE LÄN</t>
        </is>
      </c>
      <c r="G129" t="inlineStr">
        <is>
          <t>SÖLVESBORG</t>
        </is>
      </c>
      <c r="I129" t="n">
        <v>0.6</v>
      </c>
      <c r="J129" t="n">
        <v>0</v>
      </c>
      <c r="K129" t="n">
        <v>1</v>
      </c>
      <c r="L129" t="n">
        <v>0</v>
      </c>
      <c r="M129" t="n">
        <v>0</v>
      </c>
      <c r="N129" t="n">
        <v>0</v>
      </c>
      <c r="O129" t="n">
        <v>0</v>
      </c>
      <c r="P129" t="n">
        <v>0</v>
      </c>
      <c r="Q129" t="n">
        <v>0</v>
      </c>
      <c r="R129" t="n">
        <v>0</v>
      </c>
      <c r="S129" t="n">
        <v>1</v>
      </c>
      <c r="T129" t="n">
        <v>1</v>
      </c>
      <c r="U129" s="2" t="inlineStr">
        <is>
          <t>Kragjordstjärna</t>
        </is>
      </c>
      <c r="V129">
        <f>HYPERLINK("https://klasma.github.io/Logging_1083/artfynd/A 51772-2025 artfynd.xlsx", "A 51772-2025")</f>
        <v/>
      </c>
      <c r="W129">
        <f>HYPERLINK("https://klasma.github.io/Logging_1083/kartor/A 51772-2025 karta.png", "A 51772-2025")</f>
        <v/>
      </c>
      <c r="Y129">
        <f>HYPERLINK("https://klasma.github.io/Logging_1083/klagomål/A 51772-2025 FSC-klagomål.docx", "A 51772-2025")</f>
        <v/>
      </c>
      <c r="Z129">
        <f>HYPERLINK("https://klasma.github.io/Logging_1083/klagomålsmail/A 51772-2025 FSC-klagomål mail.docx", "A 51772-2025")</f>
        <v/>
      </c>
      <c r="AA129">
        <f>HYPERLINK("https://klasma.github.io/Logging_1083/tillsyn/A 51772-2025 tillsynsbegäran.docx", "A 51772-2025")</f>
        <v/>
      </c>
      <c r="AB129">
        <f>HYPERLINK("https://klasma.github.io/Logging_1083/tillsynsmail/A 51772-2025 tillsynsbegäran mail.docx", "A 51772-2025")</f>
        <v/>
      </c>
    </row>
    <row r="130" ht="15" customHeight="1">
      <c r="A130" t="inlineStr">
        <is>
          <t>A 8961-2024</t>
        </is>
      </c>
      <c r="B130" t="inlineStr">
        <is>
          <t>avverkningsanmälan</t>
        </is>
      </c>
      <c r="C130" t="inlineStr">
        <is>
          <t>Föryngringsavverkning</t>
        </is>
      </c>
      <c r="D130" s="1" t="n">
        <v>45357</v>
      </c>
      <c r="E130" s="1" t="n">
        <v>46216</v>
      </c>
      <c r="F130" t="inlineStr">
        <is>
          <t>BLEKINGE LÄN</t>
        </is>
      </c>
      <c r="G130" t="inlineStr">
        <is>
          <t>RONNEBY</t>
        </is>
      </c>
      <c r="I130" t="n">
        <v>19.7</v>
      </c>
      <c r="J130" t="n">
        <v>1</v>
      </c>
      <c r="K130" t="n">
        <v>0</v>
      </c>
      <c r="L130" t="n">
        <v>0</v>
      </c>
      <c r="M130" t="n">
        <v>0</v>
      </c>
      <c r="N130" t="n">
        <v>0</v>
      </c>
      <c r="O130" t="n">
        <v>0</v>
      </c>
      <c r="P130" t="n">
        <v>0</v>
      </c>
      <c r="Q130" t="n">
        <v>0</v>
      </c>
      <c r="R130" t="n">
        <v>0</v>
      </c>
      <c r="S130" t="n">
        <v>1</v>
      </c>
      <c r="T130" t="n">
        <v>1</v>
      </c>
      <c r="U130" s="2" t="inlineStr">
        <is>
          <t>Lopplummer (aggregat)</t>
        </is>
      </c>
      <c r="V130">
        <f>HYPERLINK("https://klasma.github.io/Logging_1081/artfynd/A 8961-2024 artfynd.xlsx", "A 8961-2024")</f>
        <v/>
      </c>
      <c r="W130">
        <f>HYPERLINK("https://klasma.github.io/Logging_1081/kartor/A 8961-2024 karta.png", "A 8961-2024")</f>
        <v/>
      </c>
      <c r="Y130">
        <f>HYPERLINK("https://klasma.github.io/Logging_1081/klagomål/A 8961-2024 FSC-klagomål.docx", "A 8961-2024")</f>
        <v/>
      </c>
      <c r="Z130">
        <f>HYPERLINK("https://klasma.github.io/Logging_1081/klagomålsmail/A 8961-2024 FSC-klagomål mail.docx", "A 8961-2024")</f>
        <v/>
      </c>
      <c r="AA130">
        <f>HYPERLINK("https://klasma.github.io/Logging_1081/tillsyn/A 8961-2024 tillsynsbegäran.docx", "A 8961-2024")</f>
        <v/>
      </c>
      <c r="AB130">
        <f>HYPERLINK("https://klasma.github.io/Logging_1081/tillsynsmail/A 8961-2024 tillsynsbegäran mail.docx", "A 8961-2024")</f>
        <v/>
      </c>
    </row>
    <row r="131" ht="15" customHeight="1">
      <c r="A131" t="inlineStr">
        <is>
          <t>A 53865-2025</t>
        </is>
      </c>
      <c r="B131" t="inlineStr">
        <is>
          <t>avverkningsanmälan</t>
        </is>
      </c>
      <c r="C131" t="inlineStr">
        <is>
          <t>Avverkning för annat ändamål</t>
        </is>
      </c>
      <c r="D131" s="1" t="n">
        <v>45961</v>
      </c>
      <c r="E131" s="1" t="n">
        <v>46216</v>
      </c>
      <c r="F131" t="inlineStr">
        <is>
          <t>BLEKINGE LÄN</t>
        </is>
      </c>
      <c r="G131" t="inlineStr">
        <is>
          <t>KARLSKRONA</t>
        </is>
      </c>
      <c r="I131" t="n">
        <v>1.9</v>
      </c>
      <c r="J131" t="n">
        <v>0</v>
      </c>
      <c r="K131" t="n">
        <v>1</v>
      </c>
      <c r="L131" t="n">
        <v>0</v>
      </c>
      <c r="M131" t="n">
        <v>0</v>
      </c>
      <c r="N131" t="n">
        <v>0</v>
      </c>
      <c r="O131" t="n">
        <v>0</v>
      </c>
      <c r="P131" t="n">
        <v>0</v>
      </c>
      <c r="Q131" t="n">
        <v>0</v>
      </c>
      <c r="R131" t="n">
        <v>0</v>
      </c>
      <c r="S131" t="n">
        <v>1</v>
      </c>
      <c r="T131" t="n">
        <v>2</v>
      </c>
      <c r="U131" s="2" t="inlineStr">
        <is>
          <t>Rostfläck</t>
        </is>
      </c>
      <c r="V131">
        <f>HYPERLINK("https://klasma.github.io/Logging_1080/artfynd/A 53865-2025 artfynd.xlsx", "A 53865-2025")</f>
        <v/>
      </c>
      <c r="W131">
        <f>HYPERLINK("https://klasma.github.io/Logging_1080/kartor/A 53865-2025 karta.png", "A 53865-2025")</f>
        <v/>
      </c>
      <c r="Y131">
        <f>HYPERLINK("https://klasma.github.io/Logging_1080/klagomål/A 53865-2025 FSC-klagomål.docx", "A 53865-2025")</f>
        <v/>
      </c>
      <c r="Z131">
        <f>HYPERLINK("https://klasma.github.io/Logging_1080/klagomålsmail/A 53865-2025 FSC-klagomål mail.docx", "A 53865-2025")</f>
        <v/>
      </c>
      <c r="AA131">
        <f>HYPERLINK("https://klasma.github.io/Logging_1080/tillsyn/A 53865-2025 tillsynsbegäran.docx", "A 53865-2025")</f>
        <v/>
      </c>
      <c r="AB131">
        <f>HYPERLINK("https://klasma.github.io/Logging_1080/tillsynsmail/A 53865-2025 tillsynsbegäran mail.docx", "A 53865-2025")</f>
        <v/>
      </c>
    </row>
    <row r="132" ht="15" customHeight="1">
      <c r="A132" t="inlineStr">
        <is>
          <t>A 47776-2023</t>
        </is>
      </c>
      <c r="B132" t="inlineStr">
        <is>
          <t>avverkningsanmälan</t>
        </is>
      </c>
      <c r="C132" t="inlineStr">
        <is>
          <t>Föryngringsavverkning</t>
        </is>
      </c>
      <c r="D132" s="1" t="n">
        <v>45203</v>
      </c>
      <c r="E132" s="1" t="n">
        <v>46216</v>
      </c>
      <c r="F132" t="inlineStr">
        <is>
          <t>BLEKINGE LÄN</t>
        </is>
      </c>
      <c r="G132" t="inlineStr">
        <is>
          <t>OLOFSTRÖM</t>
        </is>
      </c>
      <c r="I132" t="n">
        <v>1.4</v>
      </c>
      <c r="J132" t="n">
        <v>1</v>
      </c>
      <c r="K132" t="n">
        <v>0</v>
      </c>
      <c r="L132" t="n">
        <v>0</v>
      </c>
      <c r="M132" t="n">
        <v>0</v>
      </c>
      <c r="N132" t="n">
        <v>0</v>
      </c>
      <c r="O132" t="n">
        <v>0</v>
      </c>
      <c r="P132" t="n">
        <v>0</v>
      </c>
      <c r="Q132" t="n">
        <v>0</v>
      </c>
      <c r="R132" t="n">
        <v>0</v>
      </c>
      <c r="S132" t="n">
        <v>1</v>
      </c>
      <c r="T132" t="n">
        <v>1</v>
      </c>
      <c r="U132" s="2" t="inlineStr">
        <is>
          <t>Mattlummer</t>
        </is>
      </c>
      <c r="V132">
        <f>HYPERLINK("https://klasma.github.io/Logging_1060/artfynd/A 47776-2023 artfynd.xlsx", "A 47776-2023")</f>
        <v/>
      </c>
      <c r="W132">
        <f>HYPERLINK("https://klasma.github.io/Logging_1060/kartor/A 47776-2023 karta.png", "A 47776-2023")</f>
        <v/>
      </c>
      <c r="Y132">
        <f>HYPERLINK("https://klasma.github.io/Logging_1060/klagomål/A 47776-2023 FSC-klagomål.docx", "A 47776-2023")</f>
        <v/>
      </c>
      <c r="Z132">
        <f>HYPERLINK("https://klasma.github.io/Logging_1060/klagomålsmail/A 47776-2023 FSC-klagomål mail.docx", "A 47776-2023")</f>
        <v/>
      </c>
      <c r="AA132">
        <f>HYPERLINK("https://klasma.github.io/Logging_1060/tillsyn/A 47776-2023 tillsynsbegäran.docx", "A 47776-2023")</f>
        <v/>
      </c>
      <c r="AB132">
        <f>HYPERLINK("https://klasma.github.io/Logging_1060/tillsynsmail/A 47776-2023 tillsynsbegäran mail.docx", "A 47776-2023")</f>
        <v/>
      </c>
    </row>
    <row r="133" ht="15" customHeight="1">
      <c r="A133" t="inlineStr">
        <is>
          <t>A 5425-2026</t>
        </is>
      </c>
      <c r="B133" t="inlineStr">
        <is>
          <t>avverkningsanmälan</t>
        </is>
      </c>
      <c r="C133" t="inlineStr">
        <is>
          <t>Föryngringsavverkning</t>
        </is>
      </c>
      <c r="D133" s="1" t="n">
        <v>46050</v>
      </c>
      <c r="E133" s="1" t="n">
        <v>46216</v>
      </c>
      <c r="F133" t="inlineStr">
        <is>
          <t>BLEKINGE LÄN</t>
        </is>
      </c>
      <c r="G133" t="inlineStr">
        <is>
          <t>OLOFSTRÖM</t>
        </is>
      </c>
      <c r="I133" t="n">
        <v>5.4</v>
      </c>
      <c r="J133" t="n">
        <v>1</v>
      </c>
      <c r="K133" t="n">
        <v>0</v>
      </c>
      <c r="L133" t="n">
        <v>0</v>
      </c>
      <c r="M133" t="n">
        <v>0</v>
      </c>
      <c r="N133" t="n">
        <v>0</v>
      </c>
      <c r="O133" t="n">
        <v>0</v>
      </c>
      <c r="P133" t="n">
        <v>0</v>
      </c>
      <c r="Q133" t="n">
        <v>0</v>
      </c>
      <c r="R133" t="n">
        <v>0</v>
      </c>
      <c r="S133" t="n">
        <v>1</v>
      </c>
      <c r="T133" t="n">
        <v>1</v>
      </c>
      <c r="U133" s="2" t="inlineStr">
        <is>
          <t>Revlummer</t>
        </is>
      </c>
      <c r="V133">
        <f>HYPERLINK("https://klasma.github.io/Logging_1060/artfynd/A 5425-2026 artfynd.xlsx", "A 5425-2026")</f>
        <v/>
      </c>
      <c r="W133">
        <f>HYPERLINK("https://klasma.github.io/Logging_1060/kartor/A 5425-2026 karta.png", "A 5425-2026")</f>
        <v/>
      </c>
      <c r="Y133">
        <f>HYPERLINK("https://klasma.github.io/Logging_1060/klagomål/A 5425-2026 FSC-klagomål.docx", "A 5425-2026")</f>
        <v/>
      </c>
      <c r="Z133">
        <f>HYPERLINK("https://klasma.github.io/Logging_1060/klagomålsmail/A 5425-2026 FSC-klagomål mail.docx", "A 5425-2026")</f>
        <v/>
      </c>
      <c r="AA133">
        <f>HYPERLINK("https://klasma.github.io/Logging_1060/tillsyn/A 5425-2026 tillsynsbegäran.docx", "A 5425-2026")</f>
        <v/>
      </c>
      <c r="AB133">
        <f>HYPERLINK("https://klasma.github.io/Logging_1060/tillsynsmail/A 5425-2026 tillsynsbegäran mail.docx", "A 5425-2026")</f>
        <v/>
      </c>
    </row>
    <row r="134" ht="15" customHeight="1">
      <c r="A134" t="inlineStr">
        <is>
          <t>A 39085-2024</t>
        </is>
      </c>
      <c r="B134" t="inlineStr">
        <is>
          <t>avverkningsanmälan</t>
        </is>
      </c>
      <c r="C134" t="inlineStr">
        <is>
          <t>Föryngringsavverkning</t>
        </is>
      </c>
      <c r="D134" s="1" t="n">
        <v>45548</v>
      </c>
      <c r="E134" s="1" t="n">
        <v>46216</v>
      </c>
      <c r="F134" t="inlineStr">
        <is>
          <t>BLEKINGE LÄN</t>
        </is>
      </c>
      <c r="G134" t="inlineStr">
        <is>
          <t>OLOFSTRÖM</t>
        </is>
      </c>
      <c r="I134" t="n">
        <v>2.3</v>
      </c>
      <c r="J134" t="n">
        <v>1</v>
      </c>
      <c r="K134" t="n">
        <v>1</v>
      </c>
      <c r="L134" t="n">
        <v>0</v>
      </c>
      <c r="M134" t="n">
        <v>0</v>
      </c>
      <c r="N134" t="n">
        <v>0</v>
      </c>
      <c r="O134" t="n">
        <v>0</v>
      </c>
      <c r="P134" t="n">
        <v>0</v>
      </c>
      <c r="Q134" t="n">
        <v>0</v>
      </c>
      <c r="R134" t="n">
        <v>0</v>
      </c>
      <c r="S134" t="n">
        <v>1</v>
      </c>
      <c r="T134" t="n">
        <v>1</v>
      </c>
      <c r="U134" s="2" t="inlineStr">
        <is>
          <t>Korallrot</t>
        </is>
      </c>
      <c r="V134">
        <f>HYPERLINK("https://klasma.github.io/Logging_1060/artfynd/A 39085-2024 artfynd.xlsx", "A 39085-2024")</f>
        <v/>
      </c>
      <c r="W134">
        <f>HYPERLINK("https://klasma.github.io/Logging_1060/kartor/A 39085-2024 karta.png", "A 39085-2024")</f>
        <v/>
      </c>
      <c r="Y134">
        <f>HYPERLINK("https://klasma.github.io/Logging_1060/klagomål/A 39085-2024 FSC-klagomål.docx", "A 39085-2024")</f>
        <v/>
      </c>
      <c r="Z134">
        <f>HYPERLINK("https://klasma.github.io/Logging_1060/klagomålsmail/A 39085-2024 FSC-klagomål mail.docx", "A 39085-2024")</f>
        <v/>
      </c>
      <c r="AA134">
        <f>HYPERLINK("https://klasma.github.io/Logging_1060/tillsyn/A 39085-2024 tillsynsbegäran.docx", "A 39085-2024")</f>
        <v/>
      </c>
      <c r="AB134">
        <f>HYPERLINK("https://klasma.github.io/Logging_1060/tillsynsmail/A 39085-2024 tillsynsbegäran mail.docx", "A 39085-2024")</f>
        <v/>
      </c>
    </row>
    <row r="135" ht="15" customHeight="1">
      <c r="A135" t="inlineStr">
        <is>
          <t>A 39104-2024</t>
        </is>
      </c>
      <c r="B135" t="inlineStr">
        <is>
          <t>avverkningsanmälan</t>
        </is>
      </c>
      <c r="C135" t="inlineStr">
        <is>
          <t>Föryngringsavverkning</t>
        </is>
      </c>
      <c r="D135" s="1" t="n">
        <v>45548</v>
      </c>
      <c r="E135" s="1" t="n">
        <v>46216</v>
      </c>
      <c r="F135" t="inlineStr">
        <is>
          <t>BLEKINGE LÄN</t>
        </is>
      </c>
      <c r="G135" t="inlineStr">
        <is>
          <t>OLOFSTRÖM</t>
        </is>
      </c>
      <c r="I135" t="n">
        <v>7.7</v>
      </c>
      <c r="J135" t="n">
        <v>0</v>
      </c>
      <c r="K135" t="n">
        <v>1</v>
      </c>
      <c r="L135" t="n">
        <v>0</v>
      </c>
      <c r="M135" t="n">
        <v>0</v>
      </c>
      <c r="N135" t="n">
        <v>0</v>
      </c>
      <c r="O135" t="n">
        <v>0</v>
      </c>
      <c r="P135" t="n">
        <v>0</v>
      </c>
      <c r="Q135" t="n">
        <v>0</v>
      </c>
      <c r="R135" t="n">
        <v>0</v>
      </c>
      <c r="S135" t="n">
        <v>1</v>
      </c>
      <c r="T135" t="n">
        <v>1</v>
      </c>
      <c r="U135" s="2" t="inlineStr">
        <is>
          <t>Sotriska</t>
        </is>
      </c>
      <c r="V135">
        <f>HYPERLINK("https://klasma.github.io/Logging_1060/artfynd/A 39104-2024 artfynd.xlsx", "A 39104-2024")</f>
        <v/>
      </c>
      <c r="W135">
        <f>HYPERLINK("https://klasma.github.io/Logging_1060/kartor/A 39104-2024 karta.png", "A 39104-2024")</f>
        <v/>
      </c>
      <c r="Y135">
        <f>HYPERLINK("https://klasma.github.io/Logging_1060/klagomål/A 39104-2024 FSC-klagomål.docx", "A 39104-2024")</f>
        <v/>
      </c>
      <c r="Z135">
        <f>HYPERLINK("https://klasma.github.io/Logging_1060/klagomålsmail/A 39104-2024 FSC-klagomål mail.docx", "A 39104-2024")</f>
        <v/>
      </c>
      <c r="AA135">
        <f>HYPERLINK("https://klasma.github.io/Logging_1060/tillsyn/A 39104-2024 tillsynsbegäran.docx", "A 39104-2024")</f>
        <v/>
      </c>
      <c r="AB135">
        <f>HYPERLINK("https://klasma.github.io/Logging_1060/tillsynsmail/A 39104-2024 tillsynsbegäran mail.docx", "A 39104-2024")</f>
        <v/>
      </c>
    </row>
    <row r="136" ht="15" customHeight="1">
      <c r="A136" t="inlineStr">
        <is>
          <t>A 27979-2023</t>
        </is>
      </c>
      <c r="B136" t="inlineStr">
        <is>
          <t>avverkningsanmälan</t>
        </is>
      </c>
      <c r="C136" t="inlineStr">
        <is>
          <t>Föryngringsavverkning</t>
        </is>
      </c>
      <c r="D136" s="1" t="n">
        <v>45098</v>
      </c>
      <c r="E136" s="1" t="n">
        <v>46216</v>
      </c>
      <c r="F136" t="inlineStr">
        <is>
          <t>BLEKINGE LÄN</t>
        </is>
      </c>
      <c r="G136" t="inlineStr">
        <is>
          <t>OLOFSTRÖM</t>
        </is>
      </c>
      <c r="I136" t="n">
        <v>1.9</v>
      </c>
      <c r="J136" t="n">
        <v>1</v>
      </c>
      <c r="K136" t="n">
        <v>0</v>
      </c>
      <c r="L136" t="n">
        <v>0</v>
      </c>
      <c r="M136" t="n">
        <v>0</v>
      </c>
      <c r="N136" t="n">
        <v>0</v>
      </c>
      <c r="O136" t="n">
        <v>0</v>
      </c>
      <c r="P136" t="n">
        <v>0</v>
      </c>
      <c r="Q136" t="n">
        <v>0</v>
      </c>
      <c r="R136" t="n">
        <v>0</v>
      </c>
      <c r="S136" t="n">
        <v>1</v>
      </c>
      <c r="T136" t="n">
        <v>1</v>
      </c>
      <c r="U136" s="2" t="inlineStr">
        <is>
          <t>Blåsippa</t>
        </is>
      </c>
      <c r="V136">
        <f>HYPERLINK("https://klasma.github.io/Logging_1060/artfynd/A 27979-2023 artfynd.xlsx", "A 27979-2023")</f>
        <v/>
      </c>
      <c r="W136">
        <f>HYPERLINK("https://klasma.github.io/Logging_1060/kartor/A 27979-2023 karta.png", "A 27979-2023")</f>
        <v/>
      </c>
      <c r="Y136">
        <f>HYPERLINK("https://klasma.github.io/Logging_1060/klagomål/A 27979-2023 FSC-klagomål.docx", "A 27979-2023")</f>
        <v/>
      </c>
      <c r="Z136">
        <f>HYPERLINK("https://klasma.github.io/Logging_1060/klagomålsmail/A 27979-2023 FSC-klagomål mail.docx", "A 27979-2023")</f>
        <v/>
      </c>
      <c r="AA136">
        <f>HYPERLINK("https://klasma.github.io/Logging_1060/tillsyn/A 27979-2023 tillsynsbegäran.docx", "A 27979-2023")</f>
        <v/>
      </c>
      <c r="AB136">
        <f>HYPERLINK("https://klasma.github.io/Logging_1060/tillsynsmail/A 27979-2023 tillsynsbegäran mail.docx", "A 27979-2023")</f>
        <v/>
      </c>
    </row>
    <row r="137" ht="15" customHeight="1">
      <c r="A137" t="inlineStr">
        <is>
          <t>A 33416-2023</t>
        </is>
      </c>
      <c r="B137" t="inlineStr">
        <is>
          <t>avverkningsanmälan</t>
        </is>
      </c>
      <c r="C137" t="inlineStr">
        <is>
          <t>Föryngringsavverkning</t>
        </is>
      </c>
      <c r="D137" s="1" t="n">
        <v>45117</v>
      </c>
      <c r="E137" s="1" t="n">
        <v>46216</v>
      </c>
      <c r="F137" t="inlineStr">
        <is>
          <t>BLEKINGE LÄN</t>
        </is>
      </c>
      <c r="G137" t="inlineStr">
        <is>
          <t>OLOFSTRÖM</t>
        </is>
      </c>
      <c r="I137" t="n">
        <v>2.1</v>
      </c>
      <c r="J137" t="n">
        <v>0</v>
      </c>
      <c r="K137" t="n">
        <v>1</v>
      </c>
      <c r="L137" t="n">
        <v>0</v>
      </c>
      <c r="M137" t="n">
        <v>0</v>
      </c>
      <c r="N137" t="n">
        <v>0</v>
      </c>
      <c r="O137" t="n">
        <v>0</v>
      </c>
      <c r="P137" t="n">
        <v>0</v>
      </c>
      <c r="Q137" t="n">
        <v>0</v>
      </c>
      <c r="R137" t="n">
        <v>0</v>
      </c>
      <c r="S137" t="n">
        <v>1</v>
      </c>
      <c r="T137" t="n">
        <v>1</v>
      </c>
      <c r="U137" s="2" t="inlineStr">
        <is>
          <t>Skogsbräsma</t>
        </is>
      </c>
      <c r="V137">
        <f>HYPERLINK("https://klasma.github.io/Logging_1060/artfynd/A 33416-2023 artfynd.xlsx", "A 33416-2023")</f>
        <v/>
      </c>
      <c r="W137">
        <f>HYPERLINK("https://klasma.github.io/Logging_1060/kartor/A 33416-2023 karta.png", "A 33416-2023")</f>
        <v/>
      </c>
      <c r="Y137">
        <f>HYPERLINK("https://klasma.github.io/Logging_1060/klagomål/A 33416-2023 FSC-klagomål.docx", "A 33416-2023")</f>
        <v/>
      </c>
      <c r="Z137">
        <f>HYPERLINK("https://klasma.github.io/Logging_1060/klagomålsmail/A 33416-2023 FSC-klagomål mail.docx", "A 33416-2023")</f>
        <v/>
      </c>
      <c r="AA137">
        <f>HYPERLINK("https://klasma.github.io/Logging_1060/tillsyn/A 33416-2023 tillsynsbegäran.docx", "A 33416-2023")</f>
        <v/>
      </c>
      <c r="AB137">
        <f>HYPERLINK("https://klasma.github.io/Logging_1060/tillsynsmail/A 33416-2023 tillsynsbegäran mail.docx", "A 33416-2023")</f>
        <v/>
      </c>
    </row>
    <row r="138" ht="15" customHeight="1">
      <c r="A138" t="inlineStr">
        <is>
          <t>A 21447-2025</t>
        </is>
      </c>
      <c r="B138" t="inlineStr">
        <is>
          <t>avverkningsanmälan</t>
        </is>
      </c>
      <c r="C138" t="inlineStr">
        <is>
          <t>Avverkning för annat ändamål</t>
        </is>
      </c>
      <c r="D138" s="1" t="n">
        <v>45782</v>
      </c>
      <c r="E138" s="1" t="n">
        <v>46216</v>
      </c>
      <c r="F138" t="inlineStr">
        <is>
          <t>BLEKINGE LÄN</t>
        </is>
      </c>
      <c r="G138" t="inlineStr">
        <is>
          <t>KARLSHAMN</t>
        </is>
      </c>
      <c r="H138" t="inlineStr">
        <is>
          <t>Kommuner</t>
        </is>
      </c>
      <c r="I138" t="n">
        <v>1</v>
      </c>
      <c r="J138" t="n">
        <v>0</v>
      </c>
      <c r="K138" t="n">
        <v>0</v>
      </c>
      <c r="L138" t="n">
        <v>0</v>
      </c>
      <c r="M138" t="n">
        <v>1</v>
      </c>
      <c r="N138" t="n">
        <v>0</v>
      </c>
      <c r="O138" t="n">
        <v>0</v>
      </c>
      <c r="P138" t="n">
        <v>0</v>
      </c>
      <c r="Q138" t="n">
        <v>1</v>
      </c>
      <c r="R138" t="n">
        <v>1</v>
      </c>
      <c r="S138" t="n">
        <v>1</v>
      </c>
      <c r="T138" t="n">
        <v>1</v>
      </c>
      <c r="U138" s="2" t="inlineStr">
        <is>
          <t>Igelkott</t>
        </is>
      </c>
      <c r="V138">
        <f>HYPERLINK("https://klasma.github.io/Logging_1082/artfynd/A 21447-2025 artfynd.xlsx", "A 21447-2025")</f>
        <v/>
      </c>
      <c r="W138">
        <f>HYPERLINK("https://klasma.github.io/Logging_1082/kartor/A 21447-2025 karta.png", "A 21447-2025")</f>
        <v/>
      </c>
      <c r="Y138">
        <f>HYPERLINK("https://klasma.github.io/Logging_1082/klagomål/A 21447-2025 FSC-klagomål.docx", "A 21447-2025")</f>
        <v/>
      </c>
      <c r="Z138">
        <f>HYPERLINK("https://klasma.github.io/Logging_1082/klagomålsmail/A 21447-2025 FSC-klagomål mail.docx", "A 21447-2025")</f>
        <v/>
      </c>
      <c r="AA138">
        <f>HYPERLINK("https://klasma.github.io/Logging_1082/tillsyn/A 21447-2025 tillsynsbegäran.docx", "A 21447-2025")</f>
        <v/>
      </c>
      <c r="AB138">
        <f>HYPERLINK("https://klasma.github.io/Logging_1082/tillsynsmail/A 21447-2025 tillsynsbegäran mail.docx", "A 21447-2025")</f>
        <v/>
      </c>
    </row>
    <row r="139" ht="15" customHeight="1">
      <c r="A139" t="inlineStr">
        <is>
          <t>A 41968-2025</t>
        </is>
      </c>
      <c r="B139" t="inlineStr">
        <is>
          <t>avverkningsanmälan</t>
        </is>
      </c>
      <c r="C139" t="inlineStr">
        <is>
          <t>Avverkning för att bevara och utveckla /försöksver</t>
        </is>
      </c>
      <c r="D139" s="1" t="n">
        <v>45903</v>
      </c>
      <c r="E139" s="1" t="n">
        <v>46216</v>
      </c>
      <c r="F139" t="inlineStr">
        <is>
          <t>BLEKINGE LÄN</t>
        </is>
      </c>
      <c r="G139" t="inlineStr">
        <is>
          <t>KARLSKRONA</t>
        </is>
      </c>
      <c r="H139" t="inlineStr">
        <is>
          <t>Kommuner</t>
        </is>
      </c>
      <c r="I139" t="n">
        <v>4.6</v>
      </c>
      <c r="J139" t="n">
        <v>1</v>
      </c>
      <c r="K139" t="n">
        <v>1</v>
      </c>
      <c r="L139" t="n">
        <v>0</v>
      </c>
      <c r="M139" t="n">
        <v>0</v>
      </c>
      <c r="N139" t="n">
        <v>0</v>
      </c>
      <c r="O139" t="n">
        <v>0</v>
      </c>
      <c r="P139" t="n">
        <v>0</v>
      </c>
      <c r="Q139" t="n">
        <v>0</v>
      </c>
      <c r="R139" t="n">
        <v>0</v>
      </c>
      <c r="S139" t="n">
        <v>1</v>
      </c>
      <c r="T139" t="n">
        <v>1</v>
      </c>
      <c r="U139" s="2" t="inlineStr">
        <is>
          <t>Ekoxe</t>
        </is>
      </c>
      <c r="V139">
        <f>HYPERLINK("https://klasma.github.io/Logging_1080/artfynd/A 41968-2025 artfynd.xlsx", "A 41968-2025")</f>
        <v/>
      </c>
      <c r="W139">
        <f>HYPERLINK("https://klasma.github.io/Logging_1080/kartor/A 41968-2025 karta.png", "A 41968-2025")</f>
        <v/>
      </c>
      <c r="Y139">
        <f>HYPERLINK("https://klasma.github.io/Logging_1080/klagomål/A 41968-2025 FSC-klagomål.docx", "A 41968-2025")</f>
        <v/>
      </c>
      <c r="Z139">
        <f>HYPERLINK("https://klasma.github.io/Logging_1080/klagomålsmail/A 41968-2025 FSC-klagomål mail.docx", "A 41968-2025")</f>
        <v/>
      </c>
      <c r="AA139">
        <f>HYPERLINK("https://klasma.github.io/Logging_1080/tillsyn/A 41968-2025 tillsynsbegäran.docx", "A 41968-2025")</f>
        <v/>
      </c>
      <c r="AB139">
        <f>HYPERLINK("https://klasma.github.io/Logging_1080/tillsynsmail/A 41968-2025 tillsynsbegäran mail.docx", "A 41968-2025")</f>
        <v/>
      </c>
    </row>
    <row r="140" ht="15" customHeight="1">
      <c r="A140" t="inlineStr">
        <is>
          <t>A 60347-2025</t>
        </is>
      </c>
      <c r="B140" t="inlineStr">
        <is>
          <t>avverkningsanmälan</t>
        </is>
      </c>
      <c r="C140" t="inlineStr">
        <is>
          <t>Föryngringsavverkning</t>
        </is>
      </c>
      <c r="D140" s="1" t="n">
        <v>45995</v>
      </c>
      <c r="E140" s="1" t="n">
        <v>46216</v>
      </c>
      <c r="F140" t="inlineStr">
        <is>
          <t>BLEKINGE LÄN</t>
        </is>
      </c>
      <c r="G140" t="inlineStr">
        <is>
          <t>RONNEBY</t>
        </is>
      </c>
      <c r="I140" t="n">
        <v>1.5</v>
      </c>
      <c r="J140" t="n">
        <v>0</v>
      </c>
      <c r="K140" t="n">
        <v>1</v>
      </c>
      <c r="L140" t="n">
        <v>0</v>
      </c>
      <c r="M140" t="n">
        <v>0</v>
      </c>
      <c r="N140" t="n">
        <v>0</v>
      </c>
      <c r="O140" t="n">
        <v>0</v>
      </c>
      <c r="P140" t="n">
        <v>0</v>
      </c>
      <c r="Q140" t="n">
        <v>0</v>
      </c>
      <c r="R140" t="n">
        <v>0</v>
      </c>
      <c r="S140" t="n">
        <v>1</v>
      </c>
      <c r="T140" t="n">
        <v>1</v>
      </c>
      <c r="U140" s="2" t="inlineStr">
        <is>
          <t>Tibast</t>
        </is>
      </c>
      <c r="V140">
        <f>HYPERLINK("https://klasma.github.io/Logging_1081/artfynd/A 60347-2025 artfynd.xlsx", "A 60347-2025")</f>
        <v/>
      </c>
      <c r="W140">
        <f>HYPERLINK("https://klasma.github.io/Logging_1081/kartor/A 60347-2025 karta.png", "A 60347-2025")</f>
        <v/>
      </c>
      <c r="Y140">
        <f>HYPERLINK("https://klasma.github.io/Logging_1081/klagomål/A 60347-2025 FSC-klagomål.docx", "A 60347-2025")</f>
        <v/>
      </c>
      <c r="Z140">
        <f>HYPERLINK("https://klasma.github.io/Logging_1081/klagomålsmail/A 60347-2025 FSC-klagomål mail.docx", "A 60347-2025")</f>
        <v/>
      </c>
      <c r="AA140">
        <f>HYPERLINK("https://klasma.github.io/Logging_1081/tillsyn/A 60347-2025 tillsynsbegäran.docx", "A 60347-2025")</f>
        <v/>
      </c>
      <c r="AB140">
        <f>HYPERLINK("https://klasma.github.io/Logging_1081/tillsynsmail/A 60347-2025 tillsynsbegäran mail.docx", "A 60347-2025")</f>
        <v/>
      </c>
    </row>
    <row r="141" ht="15" customHeight="1">
      <c r="A141" t="inlineStr">
        <is>
          <t>A 9033-2026</t>
        </is>
      </c>
      <c r="B141" t="inlineStr">
        <is>
          <t>avverkningsanmälan</t>
        </is>
      </c>
      <c r="C141" t="inlineStr">
        <is>
          <t>Föryngringsavverkning</t>
        </is>
      </c>
      <c r="D141" s="1" t="n">
        <v>46069</v>
      </c>
      <c r="E141" s="1" t="n">
        <v>46216</v>
      </c>
      <c r="F141" t="inlineStr">
        <is>
          <t>BLEKINGE LÄN</t>
        </is>
      </c>
      <c r="G141" t="inlineStr">
        <is>
          <t>KARLSKRONA</t>
        </is>
      </c>
      <c r="I141" t="n">
        <v>0.7</v>
      </c>
      <c r="J141" t="n">
        <v>1</v>
      </c>
      <c r="K141" t="n">
        <v>1</v>
      </c>
      <c r="L141" t="n">
        <v>0</v>
      </c>
      <c r="M141" t="n">
        <v>0</v>
      </c>
      <c r="N141" t="n">
        <v>0</v>
      </c>
      <c r="O141" t="n">
        <v>0</v>
      </c>
      <c r="P141" t="n">
        <v>0</v>
      </c>
      <c r="Q141" t="n">
        <v>0</v>
      </c>
      <c r="R141" t="n">
        <v>0</v>
      </c>
      <c r="S141" t="n">
        <v>1</v>
      </c>
      <c r="T141" t="n">
        <v>1</v>
      </c>
      <c r="U141" s="2" t="inlineStr">
        <is>
          <t>Ekoxe</t>
        </is>
      </c>
      <c r="V141">
        <f>HYPERLINK("https://klasma.github.io/Logging_1080/artfynd/A 9033-2026 artfynd.xlsx", "A 9033-2026")</f>
        <v/>
      </c>
      <c r="W141">
        <f>HYPERLINK("https://klasma.github.io/Logging_1080/kartor/A 9033-2026 karta.png", "A 9033-2026")</f>
        <v/>
      </c>
      <c r="Y141">
        <f>HYPERLINK("https://klasma.github.io/Logging_1080/klagomål/A 9033-2026 FSC-klagomål.docx", "A 9033-2026")</f>
        <v/>
      </c>
      <c r="Z141">
        <f>HYPERLINK("https://klasma.github.io/Logging_1080/klagomålsmail/A 9033-2026 FSC-klagomål mail.docx", "A 9033-2026")</f>
        <v/>
      </c>
      <c r="AA141">
        <f>HYPERLINK("https://klasma.github.io/Logging_1080/tillsyn/A 9033-2026 tillsynsbegäran.docx", "A 9033-2026")</f>
        <v/>
      </c>
      <c r="AB141">
        <f>HYPERLINK("https://klasma.github.io/Logging_1080/tillsynsmail/A 9033-2026 tillsynsbegäran mail.docx", "A 9033-2026")</f>
        <v/>
      </c>
    </row>
    <row r="142" ht="15" customHeight="1">
      <c r="A142" t="inlineStr">
        <is>
          <t>A 9313-2026</t>
        </is>
      </c>
      <c r="B142" t="inlineStr">
        <is>
          <t>avverkningsanmälan</t>
        </is>
      </c>
      <c r="C142" t="inlineStr">
        <is>
          <t>Föryngringsavverkning</t>
        </is>
      </c>
      <c r="D142" s="1" t="n">
        <v>46070</v>
      </c>
      <c r="E142" s="1" t="n">
        <v>46216</v>
      </c>
      <c r="F142" t="inlineStr">
        <is>
          <t>BLEKINGE LÄN</t>
        </is>
      </c>
      <c r="G142" t="inlineStr">
        <is>
          <t>OLOFSTRÖM</t>
        </is>
      </c>
      <c r="I142" t="n">
        <v>12.5</v>
      </c>
      <c r="J142" t="n">
        <v>1</v>
      </c>
      <c r="K142" t="n">
        <v>0</v>
      </c>
      <c r="L142" t="n">
        <v>0</v>
      </c>
      <c r="M142" t="n">
        <v>0</v>
      </c>
      <c r="N142" t="n">
        <v>0</v>
      </c>
      <c r="O142" t="n">
        <v>0</v>
      </c>
      <c r="P142" t="n">
        <v>0</v>
      </c>
      <c r="Q142" t="n">
        <v>0</v>
      </c>
      <c r="R142" t="n">
        <v>0</v>
      </c>
      <c r="S142" t="n">
        <v>1</v>
      </c>
      <c r="T142" t="n">
        <v>1</v>
      </c>
      <c r="U142" s="2" t="inlineStr">
        <is>
          <t>Mattlummer</t>
        </is>
      </c>
      <c r="V142">
        <f>HYPERLINK("https://klasma.github.io/Logging_1060/artfynd/A 9313-2026 artfynd.xlsx", "A 9313-2026")</f>
        <v/>
      </c>
      <c r="W142">
        <f>HYPERLINK("https://klasma.github.io/Logging_1060/kartor/A 9313-2026 karta.png", "A 9313-2026")</f>
        <v/>
      </c>
      <c r="Y142">
        <f>HYPERLINK("https://klasma.github.io/Logging_1060/klagomål/A 9313-2026 FSC-klagomål.docx", "A 9313-2026")</f>
        <v/>
      </c>
      <c r="Z142">
        <f>HYPERLINK("https://klasma.github.io/Logging_1060/klagomålsmail/A 9313-2026 FSC-klagomål mail.docx", "A 9313-2026")</f>
        <v/>
      </c>
      <c r="AA142">
        <f>HYPERLINK("https://klasma.github.io/Logging_1060/tillsyn/A 9313-2026 tillsynsbegäran.docx", "A 9313-2026")</f>
        <v/>
      </c>
      <c r="AB142">
        <f>HYPERLINK("https://klasma.github.io/Logging_1060/tillsynsmail/A 9313-2026 tillsynsbegäran mail.docx", "A 9313-2026")</f>
        <v/>
      </c>
    </row>
    <row r="143" ht="15" customHeight="1">
      <c r="A143" t="inlineStr">
        <is>
          <t>A 30181-2023</t>
        </is>
      </c>
      <c r="B143" t="inlineStr">
        <is>
          <t>avverkningsanmälan</t>
        </is>
      </c>
      <c r="C143" t="inlineStr">
        <is>
          <t>Föryngringsavverkning</t>
        </is>
      </c>
      <c r="D143" s="1" t="n">
        <v>45110</v>
      </c>
      <c r="E143" s="1" t="n">
        <v>46216</v>
      </c>
      <c r="F143" t="inlineStr">
        <is>
          <t>BLEKINGE LÄN</t>
        </is>
      </c>
      <c r="G143" t="inlineStr">
        <is>
          <t>KARLSKRONA</t>
        </is>
      </c>
      <c r="I143" t="n">
        <v>3</v>
      </c>
      <c r="J143" t="n">
        <v>1</v>
      </c>
      <c r="K143" t="n">
        <v>0</v>
      </c>
      <c r="L143" t="n">
        <v>0</v>
      </c>
      <c r="M143" t="n">
        <v>1</v>
      </c>
      <c r="N143" t="n">
        <v>0</v>
      </c>
      <c r="O143" t="n">
        <v>0</v>
      </c>
      <c r="P143" t="n">
        <v>0</v>
      </c>
      <c r="Q143" t="n">
        <v>1</v>
      </c>
      <c r="R143" t="n">
        <v>1</v>
      </c>
      <c r="S143" t="n">
        <v>1</v>
      </c>
      <c r="T143" t="n">
        <v>1</v>
      </c>
      <c r="U143" s="2" t="inlineStr">
        <is>
          <t>Hasselsnok</t>
        </is>
      </c>
      <c r="V143">
        <f>HYPERLINK("https://klasma.github.io/Logging_1080/artfynd/A 30181-2023 artfynd.xlsx", "A 30181-2023")</f>
        <v/>
      </c>
      <c r="W143">
        <f>HYPERLINK("https://klasma.github.io/Logging_1080/kartor/A 30181-2023 karta.png", "A 30181-2023")</f>
        <v/>
      </c>
      <c r="Y143">
        <f>HYPERLINK("https://klasma.github.io/Logging_1080/klagomål/A 30181-2023 FSC-klagomål.docx", "A 30181-2023")</f>
        <v/>
      </c>
      <c r="Z143">
        <f>HYPERLINK("https://klasma.github.io/Logging_1080/klagomålsmail/A 30181-2023 FSC-klagomål mail.docx", "A 30181-2023")</f>
        <v/>
      </c>
      <c r="AA143">
        <f>HYPERLINK("https://klasma.github.io/Logging_1080/tillsyn/A 30181-2023 tillsynsbegäran.docx", "A 30181-2023")</f>
        <v/>
      </c>
      <c r="AB143">
        <f>HYPERLINK("https://klasma.github.io/Logging_1080/tillsynsmail/A 30181-2023 tillsynsbegäran mail.docx", "A 30181-2023")</f>
        <v/>
      </c>
    </row>
    <row r="144" ht="15" customHeight="1">
      <c r="A144" t="inlineStr">
        <is>
          <t>A 2573-2023</t>
        </is>
      </c>
      <c r="B144" t="inlineStr">
        <is>
          <t>avverkningsanmälan</t>
        </is>
      </c>
      <c r="C144" t="inlineStr">
        <is>
          <t>Föryngringsavverkning</t>
        </is>
      </c>
      <c r="D144" s="1" t="n">
        <v>44943</v>
      </c>
      <c r="E144" s="1" t="n">
        <v>46216</v>
      </c>
      <c r="F144" t="inlineStr">
        <is>
          <t>BLEKINGE LÄN</t>
        </is>
      </c>
      <c r="G144" t="inlineStr">
        <is>
          <t>KARLSHAMN</t>
        </is>
      </c>
      <c r="I144" t="n">
        <v>2.2</v>
      </c>
      <c r="J144" t="n">
        <v>0</v>
      </c>
      <c r="K144" t="n">
        <v>1</v>
      </c>
      <c r="L144" t="n">
        <v>0</v>
      </c>
      <c r="M144" t="n">
        <v>0</v>
      </c>
      <c r="N144" t="n">
        <v>0</v>
      </c>
      <c r="O144" t="n">
        <v>0</v>
      </c>
      <c r="P144" t="n">
        <v>0</v>
      </c>
      <c r="Q144" t="n">
        <v>0</v>
      </c>
      <c r="R144" t="n">
        <v>0</v>
      </c>
      <c r="S144" t="n">
        <v>1</v>
      </c>
      <c r="T144" t="n">
        <v>1</v>
      </c>
      <c r="U144" s="2" t="inlineStr">
        <is>
          <t>Lömsk flugsvamp</t>
        </is>
      </c>
      <c r="V144">
        <f>HYPERLINK("https://klasma.github.io/Logging_1082/artfynd/A 2573-2023 artfynd.xlsx", "A 2573-2023")</f>
        <v/>
      </c>
      <c r="W144">
        <f>HYPERLINK("https://klasma.github.io/Logging_1082/kartor/A 2573-2023 karta.png", "A 2573-2023")</f>
        <v/>
      </c>
      <c r="Y144">
        <f>HYPERLINK("https://klasma.github.io/Logging_1082/klagomål/A 2573-2023 FSC-klagomål.docx", "A 2573-2023")</f>
        <v/>
      </c>
      <c r="Z144">
        <f>HYPERLINK("https://klasma.github.io/Logging_1082/klagomålsmail/A 2573-2023 FSC-klagomål mail.docx", "A 2573-2023")</f>
        <v/>
      </c>
      <c r="AA144">
        <f>HYPERLINK("https://klasma.github.io/Logging_1082/tillsyn/A 2573-2023 tillsynsbegäran.docx", "A 2573-2023")</f>
        <v/>
      </c>
      <c r="AB144">
        <f>HYPERLINK("https://klasma.github.io/Logging_1082/tillsynsmail/A 2573-2023 tillsynsbegäran mail.docx", "A 2573-2023")</f>
        <v/>
      </c>
    </row>
    <row r="145" ht="15" customHeight="1">
      <c r="A145" t="inlineStr">
        <is>
          <t>A 14345-2023</t>
        </is>
      </c>
      <c r="B145" t="inlineStr">
        <is>
          <t>avverkningsanmälan</t>
        </is>
      </c>
      <c r="C145" t="inlineStr">
        <is>
          <t>Föryngringsavverkning</t>
        </is>
      </c>
      <c r="D145" s="1" t="n">
        <v>45012</v>
      </c>
      <c r="E145" s="1" t="n">
        <v>46216</v>
      </c>
      <c r="F145" t="inlineStr">
        <is>
          <t>BLEKINGE LÄN</t>
        </is>
      </c>
      <c r="G145" t="inlineStr">
        <is>
          <t>KARLSKRONA</t>
        </is>
      </c>
      <c r="I145" t="n">
        <v>4.4</v>
      </c>
      <c r="J145" t="n">
        <v>0</v>
      </c>
      <c r="K145" t="n">
        <v>0</v>
      </c>
      <c r="L145" t="n">
        <v>1</v>
      </c>
      <c r="M145" t="n">
        <v>0</v>
      </c>
      <c r="N145" t="n">
        <v>0</v>
      </c>
      <c r="O145" t="n">
        <v>0</v>
      </c>
      <c r="P145" t="n">
        <v>0</v>
      </c>
      <c r="Q145" t="n">
        <v>1</v>
      </c>
      <c r="R145" t="n">
        <v>0</v>
      </c>
      <c r="S145" t="n">
        <v>1</v>
      </c>
      <c r="T145" t="n">
        <v>1</v>
      </c>
      <c r="U145" s="2" t="inlineStr">
        <is>
          <t>Kavelhirs</t>
        </is>
      </c>
      <c r="V145">
        <f>HYPERLINK("https://klasma.github.io/Logging_1080/artfynd/A 14345-2023 artfynd.xlsx", "A 14345-2023")</f>
        <v/>
      </c>
      <c r="W145">
        <f>HYPERLINK("https://klasma.github.io/Logging_1080/kartor/A 14345-2023 karta.png", "A 14345-2023")</f>
        <v/>
      </c>
      <c r="Y145">
        <f>HYPERLINK("https://klasma.github.io/Logging_1080/klagomål/A 14345-2023 FSC-klagomål.docx", "A 14345-2023")</f>
        <v/>
      </c>
      <c r="Z145">
        <f>HYPERLINK("https://klasma.github.io/Logging_1080/klagomålsmail/A 14345-2023 FSC-klagomål mail.docx", "A 14345-2023")</f>
        <v/>
      </c>
      <c r="AA145">
        <f>HYPERLINK("https://klasma.github.io/Logging_1080/tillsyn/A 14345-2023 tillsynsbegäran.docx", "A 14345-2023")</f>
        <v/>
      </c>
      <c r="AB145">
        <f>HYPERLINK("https://klasma.github.io/Logging_1080/tillsynsmail/A 14345-2023 tillsynsbegäran mail.docx", "A 14345-2023")</f>
        <v/>
      </c>
    </row>
    <row r="146" ht="15" customHeight="1">
      <c r="A146" t="inlineStr">
        <is>
          <t>A 12660-2026</t>
        </is>
      </c>
      <c r="B146" t="inlineStr">
        <is>
          <t>avverkningsanmälan</t>
        </is>
      </c>
      <c r="C146" t="inlineStr">
        <is>
          <t>Föryngringsavverkning</t>
        </is>
      </c>
      <c r="D146" s="1" t="n">
        <v>46091</v>
      </c>
      <c r="E146" s="1" t="n">
        <v>46216</v>
      </c>
      <c r="F146" t="inlineStr">
        <is>
          <t>BLEKINGE LÄN</t>
        </is>
      </c>
      <c r="G146" t="inlineStr">
        <is>
          <t>RONNEBY</t>
        </is>
      </c>
      <c r="I146" t="n">
        <v>3.4</v>
      </c>
      <c r="J146" t="n">
        <v>1</v>
      </c>
      <c r="K146" t="n">
        <v>0</v>
      </c>
      <c r="L146" t="n">
        <v>0</v>
      </c>
      <c r="M146" t="n">
        <v>1</v>
      </c>
      <c r="N146" t="n">
        <v>0</v>
      </c>
      <c r="O146" t="n">
        <v>0</v>
      </c>
      <c r="P146" t="n">
        <v>0</v>
      </c>
      <c r="Q146" t="n">
        <v>1</v>
      </c>
      <c r="R146" t="n">
        <v>1</v>
      </c>
      <c r="S146" t="n">
        <v>1</v>
      </c>
      <c r="T146" t="n">
        <v>1</v>
      </c>
      <c r="U146" s="2" t="inlineStr">
        <is>
          <t>Backsippa</t>
        </is>
      </c>
      <c r="V146">
        <f>HYPERLINK("https://klasma.github.io/Logging_1081/artfynd/A 12660-2026 artfynd.xlsx", "A 12660-2026")</f>
        <v/>
      </c>
      <c r="W146">
        <f>HYPERLINK("https://klasma.github.io/Logging_1081/kartor/A 12660-2026 karta.png", "A 12660-2026")</f>
        <v/>
      </c>
      <c r="Y146">
        <f>HYPERLINK("https://klasma.github.io/Logging_1081/klagomål/A 12660-2026 FSC-klagomål.docx", "A 12660-2026")</f>
        <v/>
      </c>
      <c r="Z146">
        <f>HYPERLINK("https://klasma.github.io/Logging_1081/klagomålsmail/A 12660-2026 FSC-klagomål mail.docx", "A 12660-2026")</f>
        <v/>
      </c>
      <c r="AA146">
        <f>HYPERLINK("https://klasma.github.io/Logging_1081/tillsyn/A 12660-2026 tillsynsbegäran.docx", "A 12660-2026")</f>
        <v/>
      </c>
      <c r="AB146">
        <f>HYPERLINK("https://klasma.github.io/Logging_1081/tillsynsmail/A 12660-2026 tillsynsbegäran mail.docx", "A 12660-2026")</f>
        <v/>
      </c>
    </row>
    <row r="147" ht="15" customHeight="1">
      <c r="A147" t="inlineStr">
        <is>
          <t>A 45413-2023</t>
        </is>
      </c>
      <c r="B147" t="inlineStr">
        <is>
          <t>avverkningsanmälan</t>
        </is>
      </c>
      <c r="C147" t="inlineStr">
        <is>
          <t>Föryngringsavverkning</t>
        </is>
      </c>
      <c r="D147" s="1" t="n">
        <v>45194</v>
      </c>
      <c r="E147" s="1" t="n">
        <v>46216</v>
      </c>
      <c r="F147" t="inlineStr">
        <is>
          <t>BLEKINGE LÄN</t>
        </is>
      </c>
      <c r="G147" t="inlineStr">
        <is>
          <t>RONNEBY</t>
        </is>
      </c>
      <c r="I147" t="n">
        <v>2.2</v>
      </c>
      <c r="J147" t="n">
        <v>0</v>
      </c>
      <c r="K147" t="n">
        <v>0</v>
      </c>
      <c r="L147" t="n">
        <v>1</v>
      </c>
      <c r="M147" t="n">
        <v>0</v>
      </c>
      <c r="N147" t="n">
        <v>0</v>
      </c>
      <c r="O147" t="n">
        <v>0</v>
      </c>
      <c r="P147" t="n">
        <v>0</v>
      </c>
      <c r="Q147" t="n">
        <v>1</v>
      </c>
      <c r="R147" t="n">
        <v>0</v>
      </c>
      <c r="S147" t="n">
        <v>1</v>
      </c>
      <c r="T147" t="n">
        <v>1</v>
      </c>
      <c r="U147" s="2" t="inlineStr">
        <is>
          <t>Jungfrulin</t>
        </is>
      </c>
      <c r="V147">
        <f>HYPERLINK("https://klasma.github.io/Logging_1081/artfynd/A 45413-2023 artfynd.xlsx", "A 45413-2023")</f>
        <v/>
      </c>
      <c r="W147">
        <f>HYPERLINK("https://klasma.github.io/Logging_1081/kartor/A 45413-2023 karta.png", "A 45413-2023")</f>
        <v/>
      </c>
      <c r="Y147">
        <f>HYPERLINK("https://klasma.github.io/Logging_1081/klagomål/A 45413-2023 FSC-klagomål.docx", "A 45413-2023")</f>
        <v/>
      </c>
      <c r="Z147">
        <f>HYPERLINK("https://klasma.github.io/Logging_1081/klagomålsmail/A 45413-2023 FSC-klagomål mail.docx", "A 45413-2023")</f>
        <v/>
      </c>
      <c r="AA147">
        <f>HYPERLINK("https://klasma.github.io/Logging_1081/tillsyn/A 45413-2023 tillsynsbegäran.docx", "A 45413-2023")</f>
        <v/>
      </c>
      <c r="AB147">
        <f>HYPERLINK("https://klasma.github.io/Logging_1081/tillsynsmail/A 45413-2023 tillsynsbegäran mail.docx", "A 45413-2023")</f>
        <v/>
      </c>
    </row>
    <row r="148" ht="15" customHeight="1">
      <c r="A148" t="inlineStr">
        <is>
          <t>A 6221-2024</t>
        </is>
      </c>
      <c r="B148" t="inlineStr">
        <is>
          <t>avverkningsanmälan</t>
        </is>
      </c>
      <c r="C148" t="inlineStr">
        <is>
          <t>Föryngringsavverkning</t>
        </is>
      </c>
      <c r="D148" s="1" t="n">
        <v>45337</v>
      </c>
      <c r="E148" s="1" t="n">
        <v>46216</v>
      </c>
      <c r="F148" t="inlineStr">
        <is>
          <t>BLEKINGE LÄN</t>
        </is>
      </c>
      <c r="G148" t="inlineStr">
        <is>
          <t>KARLSKRONA</t>
        </is>
      </c>
      <c r="I148" t="n">
        <v>0.8</v>
      </c>
      <c r="J148" t="n">
        <v>1</v>
      </c>
      <c r="K148" t="n">
        <v>1</v>
      </c>
      <c r="L148" t="n">
        <v>0</v>
      </c>
      <c r="M148" t="n">
        <v>0</v>
      </c>
      <c r="N148" t="n">
        <v>0</v>
      </c>
      <c r="O148" t="n">
        <v>0</v>
      </c>
      <c r="P148" t="n">
        <v>0</v>
      </c>
      <c r="Q148" t="n">
        <v>0</v>
      </c>
      <c r="R148" t="n">
        <v>0</v>
      </c>
      <c r="S148" t="n">
        <v>1</v>
      </c>
      <c r="T148" t="n">
        <v>4</v>
      </c>
      <c r="U148" s="2" t="inlineStr">
        <is>
          <t>Ekoxe</t>
        </is>
      </c>
      <c r="V148">
        <f>HYPERLINK("https://klasma.github.io/Logging_1080/artfynd/A 6221-2024 artfynd.xlsx", "A 6221-2024")</f>
        <v/>
      </c>
      <c r="W148">
        <f>HYPERLINK("https://klasma.github.io/Logging_1080/kartor/A 6221-2024 karta.png", "A 6221-2024")</f>
        <v/>
      </c>
      <c r="Y148">
        <f>HYPERLINK("https://klasma.github.io/Logging_1080/klagomål/A 6221-2024 FSC-klagomål.docx", "A 6221-2024")</f>
        <v/>
      </c>
      <c r="Z148">
        <f>HYPERLINK("https://klasma.github.io/Logging_1080/klagomålsmail/A 6221-2024 FSC-klagomål mail.docx", "A 6221-2024")</f>
        <v/>
      </c>
      <c r="AA148">
        <f>HYPERLINK("https://klasma.github.io/Logging_1080/tillsyn/A 6221-2024 tillsynsbegäran.docx", "A 6221-2024")</f>
        <v/>
      </c>
      <c r="AB148">
        <f>HYPERLINK("https://klasma.github.io/Logging_1080/tillsynsmail/A 6221-2024 tillsynsbegäran mail.docx", "A 6221-2024")</f>
        <v/>
      </c>
    </row>
    <row r="149" ht="15" customHeight="1">
      <c r="A149" t="inlineStr">
        <is>
          <t>A 9309-2023</t>
        </is>
      </c>
      <c r="B149" t="inlineStr">
        <is>
          <t>avverkningsanmälan</t>
        </is>
      </c>
      <c r="C149" t="inlineStr">
        <is>
          <t>Föryngringsavverkning</t>
        </is>
      </c>
      <c r="D149" s="1" t="n">
        <v>44980</v>
      </c>
      <c r="E149" s="1" t="n">
        <v>46216</v>
      </c>
      <c r="F149" t="inlineStr">
        <is>
          <t>BLEKINGE LÄN</t>
        </is>
      </c>
      <c r="G149" t="inlineStr">
        <is>
          <t>RONNEBY</t>
        </is>
      </c>
      <c r="H149" t="inlineStr">
        <is>
          <t>Övriga Aktiebolag</t>
        </is>
      </c>
      <c r="I149" t="n">
        <v>0.9</v>
      </c>
      <c r="J149" t="n">
        <v>0</v>
      </c>
      <c r="K149" t="n">
        <v>1</v>
      </c>
      <c r="L149" t="n">
        <v>0</v>
      </c>
      <c r="M149" t="n">
        <v>0</v>
      </c>
      <c r="N149" t="n">
        <v>0</v>
      </c>
      <c r="O149" t="n">
        <v>0</v>
      </c>
      <c r="P149" t="n">
        <v>0</v>
      </c>
      <c r="Q149" t="n">
        <v>0</v>
      </c>
      <c r="R149" t="n">
        <v>0</v>
      </c>
      <c r="S149" t="n">
        <v>1</v>
      </c>
      <c r="T149" t="n">
        <v>2</v>
      </c>
      <c r="U149" s="2" t="inlineStr">
        <is>
          <t>Tibast</t>
        </is>
      </c>
      <c r="V149">
        <f>HYPERLINK("https://klasma.github.io/Logging_1081/artfynd/A 9309-2023 artfynd.xlsx", "A 9309-2023")</f>
        <v/>
      </c>
      <c r="W149">
        <f>HYPERLINK("https://klasma.github.io/Logging_1081/kartor/A 9309-2023 karta.png", "A 9309-2023")</f>
        <v/>
      </c>
      <c r="Y149">
        <f>HYPERLINK("https://klasma.github.io/Logging_1081/klagomål/A 9309-2023 FSC-klagomål.docx", "A 9309-2023")</f>
        <v/>
      </c>
      <c r="Z149">
        <f>HYPERLINK("https://klasma.github.io/Logging_1081/klagomålsmail/A 9309-2023 FSC-klagomål mail.docx", "A 9309-2023")</f>
        <v/>
      </c>
      <c r="AA149">
        <f>HYPERLINK("https://klasma.github.io/Logging_1081/tillsyn/A 9309-2023 tillsynsbegäran.docx", "A 9309-2023")</f>
        <v/>
      </c>
      <c r="AB149">
        <f>HYPERLINK("https://klasma.github.io/Logging_1081/tillsynsmail/A 9309-2023 tillsynsbegäran mail.docx", "A 9309-2023")</f>
        <v/>
      </c>
    </row>
    <row r="150" ht="15" customHeight="1">
      <c r="A150" t="inlineStr">
        <is>
          <t>A 16465-2026</t>
        </is>
      </c>
      <c r="B150" t="inlineStr">
        <is>
          <t>avverkningsanmälan</t>
        </is>
      </c>
      <c r="C150" t="inlineStr">
        <is>
          <t>Föryngringsavverkning</t>
        </is>
      </c>
      <c r="D150" s="1" t="n">
        <v>46112</v>
      </c>
      <c r="E150" s="1" t="n">
        <v>46216</v>
      </c>
      <c r="F150" t="inlineStr">
        <is>
          <t>BLEKINGE LÄN</t>
        </is>
      </c>
      <c r="G150" t="inlineStr">
        <is>
          <t>KARLSKRONA</t>
        </is>
      </c>
      <c r="I150" t="n">
        <v>1</v>
      </c>
      <c r="J150" t="n">
        <v>1</v>
      </c>
      <c r="K150" t="n">
        <v>0</v>
      </c>
      <c r="L150" t="n">
        <v>0</v>
      </c>
      <c r="M150" t="n">
        <v>0</v>
      </c>
      <c r="N150" t="n">
        <v>0</v>
      </c>
      <c r="O150" t="n">
        <v>0</v>
      </c>
      <c r="P150" t="n">
        <v>0</v>
      </c>
      <c r="Q150" t="n">
        <v>0</v>
      </c>
      <c r="R150" t="n">
        <v>0</v>
      </c>
      <c r="S150" t="n">
        <v>1</v>
      </c>
      <c r="T150" t="n">
        <v>1</v>
      </c>
      <c r="U150" s="2" t="inlineStr">
        <is>
          <t>Utter</t>
        </is>
      </c>
      <c r="V150">
        <f>HYPERLINK("https://klasma.github.io/Logging_1080/artfynd/A 16465-2026 artfynd.xlsx", "A 16465-2026")</f>
        <v/>
      </c>
      <c r="W150">
        <f>HYPERLINK("https://klasma.github.io/Logging_1080/kartor/A 16465-2026 karta.png", "A 16465-2026")</f>
        <v/>
      </c>
      <c r="Y150">
        <f>HYPERLINK("https://klasma.github.io/Logging_1080/klagomål/A 16465-2026 FSC-klagomål.docx", "A 16465-2026")</f>
        <v/>
      </c>
      <c r="Z150">
        <f>HYPERLINK("https://klasma.github.io/Logging_1080/klagomålsmail/A 16465-2026 FSC-klagomål mail.docx", "A 16465-2026")</f>
        <v/>
      </c>
      <c r="AA150">
        <f>HYPERLINK("https://klasma.github.io/Logging_1080/tillsyn/A 16465-2026 tillsynsbegäran.docx", "A 16465-2026")</f>
        <v/>
      </c>
      <c r="AB150">
        <f>HYPERLINK("https://klasma.github.io/Logging_1080/tillsynsmail/A 16465-2026 tillsynsbegäran mail.docx", "A 16465-2026")</f>
        <v/>
      </c>
    </row>
    <row r="151" ht="15" customHeight="1">
      <c r="A151" t="inlineStr">
        <is>
          <t>A 48467-2022</t>
        </is>
      </c>
      <c r="B151" t="inlineStr">
        <is>
          <t>avverkningsanmälan</t>
        </is>
      </c>
      <c r="C151" t="inlineStr">
        <is>
          <t>Föryngringsavverkning</t>
        </is>
      </c>
      <c r="D151" s="1" t="n">
        <v>44858</v>
      </c>
      <c r="E151" s="1" t="n">
        <v>46216</v>
      </c>
      <c r="F151" t="inlineStr">
        <is>
          <t>BLEKINGE LÄN</t>
        </is>
      </c>
      <c r="G151" t="inlineStr">
        <is>
          <t>OLOFSTRÖM</t>
        </is>
      </c>
      <c r="I151" t="n">
        <v>2.7</v>
      </c>
      <c r="J151" t="n">
        <v>0</v>
      </c>
      <c r="K151" t="n">
        <v>0</v>
      </c>
      <c r="L151" t="n">
        <v>0</v>
      </c>
      <c r="M151" t="n">
        <v>1</v>
      </c>
      <c r="N151" t="n">
        <v>0</v>
      </c>
      <c r="O151" t="n">
        <v>0</v>
      </c>
      <c r="P151" t="n">
        <v>0</v>
      </c>
      <c r="Q151" t="n">
        <v>1</v>
      </c>
      <c r="R151" t="n">
        <v>1</v>
      </c>
      <c r="S151" t="n">
        <v>1</v>
      </c>
      <c r="T151" t="n">
        <v>1</v>
      </c>
      <c r="U151" s="2" t="inlineStr">
        <is>
          <t>Småvänderot</t>
        </is>
      </c>
      <c r="V151">
        <f>HYPERLINK("https://klasma.github.io/Logging_1060/artfynd/A 48467-2022 artfynd.xlsx", "A 48467-2022")</f>
        <v/>
      </c>
      <c r="W151">
        <f>HYPERLINK("https://klasma.github.io/Logging_1060/kartor/A 48467-2022 karta.png", "A 48467-2022")</f>
        <v/>
      </c>
      <c r="Y151">
        <f>HYPERLINK("https://klasma.github.io/Logging_1060/klagomål/A 48467-2022 FSC-klagomål.docx", "A 48467-2022")</f>
        <v/>
      </c>
      <c r="Z151">
        <f>HYPERLINK("https://klasma.github.io/Logging_1060/klagomålsmail/A 48467-2022 FSC-klagomål mail.docx", "A 48467-2022")</f>
        <v/>
      </c>
      <c r="AA151">
        <f>HYPERLINK("https://klasma.github.io/Logging_1060/tillsyn/A 48467-2022 tillsynsbegäran.docx", "A 48467-2022")</f>
        <v/>
      </c>
      <c r="AB151">
        <f>HYPERLINK("https://klasma.github.io/Logging_1060/tillsynsmail/A 48467-2022 tillsynsbegäran mail.docx", "A 48467-2022")</f>
        <v/>
      </c>
    </row>
    <row r="152" ht="15" customHeight="1">
      <c r="A152" t="inlineStr">
        <is>
          <t>A 9378-2026</t>
        </is>
      </c>
      <c r="B152" t="inlineStr">
        <is>
          <t>avverkningsanmälan</t>
        </is>
      </c>
      <c r="C152" t="inlineStr">
        <is>
          <t>Föryngringsavverkning</t>
        </is>
      </c>
      <c r="D152" s="1" t="n">
        <v>46070</v>
      </c>
      <c r="E152" s="1" t="n">
        <v>46216</v>
      </c>
      <c r="F152" t="inlineStr">
        <is>
          <t>BLEKINGE LÄN</t>
        </is>
      </c>
      <c r="G152" t="inlineStr">
        <is>
          <t>KARLSKRONA</t>
        </is>
      </c>
      <c r="I152" t="n">
        <v>3.9</v>
      </c>
      <c r="J152" t="n">
        <v>1</v>
      </c>
      <c r="K152" t="n">
        <v>0</v>
      </c>
      <c r="L152" t="n">
        <v>0</v>
      </c>
      <c r="M152" t="n">
        <v>0</v>
      </c>
      <c r="N152" t="n">
        <v>0</v>
      </c>
      <c r="O152" t="n">
        <v>0</v>
      </c>
      <c r="P152" t="n">
        <v>0</v>
      </c>
      <c r="Q152" t="n">
        <v>0</v>
      </c>
      <c r="R152" t="n">
        <v>0</v>
      </c>
      <c r="S152" t="n">
        <v>1</v>
      </c>
      <c r="T152" t="n">
        <v>1</v>
      </c>
      <c r="U152" s="2" t="inlineStr">
        <is>
          <t>Hårklomossa</t>
        </is>
      </c>
      <c r="V152">
        <f>HYPERLINK("https://klasma.github.io/Logging_1080/artfynd/A 9378-2026 artfynd.xlsx", "A 9378-2026")</f>
        <v/>
      </c>
      <c r="W152">
        <f>HYPERLINK("https://klasma.github.io/Logging_1080/kartor/A 9378-2026 karta.png", "A 9378-2026")</f>
        <v/>
      </c>
      <c r="Y152">
        <f>HYPERLINK("https://klasma.github.io/Logging_1080/klagomål/A 9378-2026 FSC-klagomål.docx", "A 9378-2026")</f>
        <v/>
      </c>
      <c r="Z152">
        <f>HYPERLINK("https://klasma.github.io/Logging_1080/klagomålsmail/A 9378-2026 FSC-klagomål mail.docx", "A 9378-2026")</f>
        <v/>
      </c>
      <c r="AA152">
        <f>HYPERLINK("https://klasma.github.io/Logging_1080/tillsyn/A 9378-2026 tillsynsbegäran.docx", "A 9378-2026")</f>
        <v/>
      </c>
      <c r="AB152">
        <f>HYPERLINK("https://klasma.github.io/Logging_1080/tillsynsmail/A 9378-2026 tillsynsbegäran mail.docx", "A 9378-2026")</f>
        <v/>
      </c>
    </row>
    <row r="153" ht="15" customHeight="1">
      <c r="A153" t="inlineStr">
        <is>
          <t>A 18052-2026</t>
        </is>
      </c>
      <c r="B153" t="inlineStr">
        <is>
          <t>avverkningsanmälan</t>
        </is>
      </c>
      <c r="C153" t="inlineStr">
        <is>
          <t>Avverkning för att bevara och utveckla /försöksver</t>
        </is>
      </c>
      <c r="D153" s="1" t="n">
        <v>46125</v>
      </c>
      <c r="E153" s="1" t="n">
        <v>46216</v>
      </c>
      <c r="F153" t="inlineStr">
        <is>
          <t>BLEKINGE LÄN</t>
        </is>
      </c>
      <c r="G153" t="inlineStr">
        <is>
          <t>KARLSKRONA</t>
        </is>
      </c>
      <c r="I153" t="n">
        <v>4.5</v>
      </c>
      <c r="J153" t="n">
        <v>1</v>
      </c>
      <c r="K153" t="n">
        <v>1</v>
      </c>
      <c r="L153" t="n">
        <v>0</v>
      </c>
      <c r="M153" t="n">
        <v>0</v>
      </c>
      <c r="N153" t="n">
        <v>0</v>
      </c>
      <c r="O153" t="n">
        <v>0</v>
      </c>
      <c r="P153" t="n">
        <v>0</v>
      </c>
      <c r="Q153" t="n">
        <v>0</v>
      </c>
      <c r="R153" t="n">
        <v>0</v>
      </c>
      <c r="S153" t="n">
        <v>1</v>
      </c>
      <c r="T153" t="n">
        <v>1</v>
      </c>
      <c r="U153" s="2" t="inlineStr">
        <is>
          <t>Ekoxe</t>
        </is>
      </c>
      <c r="V153">
        <f>HYPERLINK("https://klasma.github.io/Logging_1080/artfynd/A 18052-2026 artfynd.xlsx", "A 18052-2026")</f>
        <v/>
      </c>
      <c r="W153">
        <f>HYPERLINK("https://klasma.github.io/Logging_1080/kartor/A 18052-2026 karta.png", "A 18052-2026")</f>
        <v/>
      </c>
      <c r="Y153">
        <f>HYPERLINK("https://klasma.github.io/Logging_1080/klagomål/A 18052-2026 FSC-klagomål.docx", "A 18052-2026")</f>
        <v/>
      </c>
      <c r="Z153">
        <f>HYPERLINK("https://klasma.github.io/Logging_1080/klagomålsmail/A 18052-2026 FSC-klagomål mail.docx", "A 18052-2026")</f>
        <v/>
      </c>
      <c r="AA153">
        <f>HYPERLINK("https://klasma.github.io/Logging_1080/tillsyn/A 18052-2026 tillsynsbegäran.docx", "A 18052-2026")</f>
        <v/>
      </c>
      <c r="AB153">
        <f>HYPERLINK("https://klasma.github.io/Logging_1080/tillsynsmail/A 18052-2026 tillsynsbegäran mail.docx", "A 18052-2026")</f>
        <v/>
      </c>
    </row>
    <row r="154" ht="15" customHeight="1">
      <c r="A154" t="inlineStr">
        <is>
          <t>A 5339-2024</t>
        </is>
      </c>
      <c r="B154" t="inlineStr">
        <is>
          <t>avverkningsanmälan</t>
        </is>
      </c>
      <c r="C154" t="inlineStr">
        <is>
          <t>Föryngringsavverkning</t>
        </is>
      </c>
      <c r="D154" s="1" t="n">
        <v>45331</v>
      </c>
      <c r="E154" s="1" t="n">
        <v>46216</v>
      </c>
      <c r="F154" t="inlineStr">
        <is>
          <t>BLEKINGE LÄN</t>
        </is>
      </c>
      <c r="G154" t="inlineStr">
        <is>
          <t>SÖLVESBORG</t>
        </is>
      </c>
      <c r="I154" t="n">
        <v>1.9</v>
      </c>
      <c r="J154" t="n">
        <v>0</v>
      </c>
      <c r="K154" t="n">
        <v>0</v>
      </c>
      <c r="L154" t="n">
        <v>1</v>
      </c>
      <c r="M154" t="n">
        <v>0</v>
      </c>
      <c r="N154" t="n">
        <v>0</v>
      </c>
      <c r="O154" t="n">
        <v>0</v>
      </c>
      <c r="P154" t="n">
        <v>0</v>
      </c>
      <c r="Q154" t="n">
        <v>1</v>
      </c>
      <c r="R154" t="n">
        <v>0</v>
      </c>
      <c r="S154" t="n">
        <v>1</v>
      </c>
      <c r="T154" t="n">
        <v>1</v>
      </c>
      <c r="U154" s="2" t="inlineStr">
        <is>
          <t>Kösa</t>
        </is>
      </c>
      <c r="V154">
        <f>HYPERLINK("https://klasma.github.io/Logging_1083/artfynd/A 5339-2024 artfynd.xlsx", "A 5339-2024")</f>
        <v/>
      </c>
      <c r="W154">
        <f>HYPERLINK("https://klasma.github.io/Logging_1083/kartor/A 5339-2024 karta.png", "A 5339-2024")</f>
        <v/>
      </c>
      <c r="Y154">
        <f>HYPERLINK("https://klasma.github.io/Logging_1083/klagomål/A 5339-2024 FSC-klagomål.docx", "A 5339-2024")</f>
        <v/>
      </c>
      <c r="Z154">
        <f>HYPERLINK("https://klasma.github.io/Logging_1083/klagomålsmail/A 5339-2024 FSC-klagomål mail.docx", "A 5339-2024")</f>
        <v/>
      </c>
      <c r="AA154">
        <f>HYPERLINK("https://klasma.github.io/Logging_1083/tillsyn/A 5339-2024 tillsynsbegäran.docx", "A 5339-2024")</f>
        <v/>
      </c>
      <c r="AB154">
        <f>HYPERLINK("https://klasma.github.io/Logging_1083/tillsynsmail/A 5339-2024 tillsynsbegäran mail.docx", "A 5339-2024")</f>
        <v/>
      </c>
    </row>
    <row r="155" ht="15" customHeight="1">
      <c r="A155" t="inlineStr">
        <is>
          <t>A 25104-2026</t>
        </is>
      </c>
      <c r="B155" t="inlineStr">
        <is>
          <t>avverkningsanmälan</t>
        </is>
      </c>
      <c r="C155" t="inlineStr">
        <is>
          <t>Föryngringsavverkning</t>
        </is>
      </c>
      <c r="D155" s="1" t="n">
        <v>46175</v>
      </c>
      <c r="E155" s="1" t="n">
        <v>46216</v>
      </c>
      <c r="F155" t="inlineStr">
        <is>
          <t>BLEKINGE LÄN</t>
        </is>
      </c>
      <c r="G155" t="inlineStr">
        <is>
          <t>RONNEBY</t>
        </is>
      </c>
      <c r="I155" t="n">
        <v>1.1</v>
      </c>
      <c r="J155" t="n">
        <v>1</v>
      </c>
      <c r="K155" t="n">
        <v>0</v>
      </c>
      <c r="L155" t="n">
        <v>0</v>
      </c>
      <c r="M155" t="n">
        <v>1</v>
      </c>
      <c r="N155" t="n">
        <v>0</v>
      </c>
      <c r="O155" t="n">
        <v>0</v>
      </c>
      <c r="P155" t="n">
        <v>0</v>
      </c>
      <c r="Q155" t="n">
        <v>1</v>
      </c>
      <c r="R155" t="n">
        <v>1</v>
      </c>
      <c r="S155" t="n">
        <v>1</v>
      </c>
      <c r="T155" t="n">
        <v>2</v>
      </c>
      <c r="U155" s="2" t="inlineStr">
        <is>
          <t>Backsippa</t>
        </is>
      </c>
      <c r="V155">
        <f>HYPERLINK("https://klasma.github.io/Logging_1081/artfynd/A 25104-2026 artfynd.xlsx", "A 25104-2026")</f>
        <v/>
      </c>
      <c r="W155">
        <f>HYPERLINK("https://klasma.github.io/Logging_1081/kartor/A 25104-2026 karta.png", "A 25104-2026")</f>
        <v/>
      </c>
      <c r="Y155">
        <f>HYPERLINK("https://klasma.github.io/Logging_1081/klagomål/A 25104-2026 FSC-klagomål.docx", "A 25104-2026")</f>
        <v/>
      </c>
      <c r="Z155">
        <f>HYPERLINK("https://klasma.github.io/Logging_1081/klagomålsmail/A 25104-2026 FSC-klagomål mail.docx", "A 25104-2026")</f>
        <v/>
      </c>
      <c r="AA155">
        <f>HYPERLINK("https://klasma.github.io/Logging_1081/tillsyn/A 25104-2026 tillsynsbegäran.docx", "A 25104-2026")</f>
        <v/>
      </c>
      <c r="AB155">
        <f>HYPERLINK("https://klasma.github.io/Logging_1081/tillsynsmail/A 25104-2026 tillsynsbegäran mail.docx", "A 25104-2026")</f>
        <v/>
      </c>
    </row>
    <row r="156" ht="15" customHeight="1">
      <c r="A156" t="inlineStr">
        <is>
          <t>A 19471-2026</t>
        </is>
      </c>
      <c r="B156" t="inlineStr">
        <is>
          <t>avverkningsanmälan</t>
        </is>
      </c>
      <c r="C156" t="inlineStr">
        <is>
          <t>Föryngringsavverkning</t>
        </is>
      </c>
      <c r="D156" s="1" t="n">
        <v>46133</v>
      </c>
      <c r="E156" s="1" t="n">
        <v>46216</v>
      </c>
      <c r="F156" t="inlineStr">
        <is>
          <t>BLEKINGE LÄN</t>
        </is>
      </c>
      <c r="G156" t="inlineStr">
        <is>
          <t>RONNEBY</t>
        </is>
      </c>
      <c r="I156" t="n">
        <v>1.2</v>
      </c>
      <c r="J156" t="n">
        <v>1</v>
      </c>
      <c r="K156" t="n">
        <v>0</v>
      </c>
      <c r="L156" t="n">
        <v>0</v>
      </c>
      <c r="M156" t="n">
        <v>1</v>
      </c>
      <c r="N156" t="n">
        <v>0</v>
      </c>
      <c r="O156" t="n">
        <v>0</v>
      </c>
      <c r="P156" t="n">
        <v>0</v>
      </c>
      <c r="Q156" t="n">
        <v>1</v>
      </c>
      <c r="R156" t="n">
        <v>1</v>
      </c>
      <c r="S156" t="n">
        <v>1</v>
      </c>
      <c r="T156" t="n">
        <v>1</v>
      </c>
      <c r="U156" s="2" t="inlineStr">
        <is>
          <t>Backsippa</t>
        </is>
      </c>
      <c r="V156">
        <f>HYPERLINK("https://klasma.github.io/Logging_1081/artfynd/A 19471-2026 artfynd.xlsx", "A 19471-2026")</f>
        <v/>
      </c>
      <c r="W156">
        <f>HYPERLINK("https://klasma.github.io/Logging_1081/kartor/A 19471-2026 karta.png", "A 19471-2026")</f>
        <v/>
      </c>
      <c r="Y156">
        <f>HYPERLINK("https://klasma.github.io/Logging_1081/klagomål/A 19471-2026 FSC-klagomål.docx", "A 19471-2026")</f>
        <v/>
      </c>
      <c r="Z156">
        <f>HYPERLINK("https://klasma.github.io/Logging_1081/klagomålsmail/A 19471-2026 FSC-klagomål mail.docx", "A 19471-2026")</f>
        <v/>
      </c>
      <c r="AA156">
        <f>HYPERLINK("https://klasma.github.io/Logging_1081/tillsyn/A 19471-2026 tillsynsbegäran.docx", "A 19471-2026")</f>
        <v/>
      </c>
      <c r="AB156">
        <f>HYPERLINK("https://klasma.github.io/Logging_1081/tillsynsmail/A 19471-2026 tillsynsbegäran mail.docx", "A 19471-2026")</f>
        <v/>
      </c>
    </row>
    <row r="157" ht="15" customHeight="1">
      <c r="A157" t="inlineStr">
        <is>
          <t>A 9316-2024</t>
        </is>
      </c>
      <c r="B157" t="inlineStr">
        <is>
          <t>avverkningsanmälan</t>
        </is>
      </c>
      <c r="C157" t="inlineStr">
        <is>
          <t>Föryngringsavverkning</t>
        </is>
      </c>
      <c r="D157" s="1" t="n">
        <v>45358</v>
      </c>
      <c r="E157" s="1" t="n">
        <v>46216</v>
      </c>
      <c r="F157" t="inlineStr">
        <is>
          <t>BLEKINGE LÄN</t>
        </is>
      </c>
      <c r="G157" t="inlineStr">
        <is>
          <t>SÖLVESBORG</t>
        </is>
      </c>
      <c r="I157" t="n">
        <v>4</v>
      </c>
      <c r="J157" t="n">
        <v>1</v>
      </c>
      <c r="K157" t="n">
        <v>0</v>
      </c>
      <c r="L157" t="n">
        <v>0</v>
      </c>
      <c r="M157" t="n">
        <v>0</v>
      </c>
      <c r="N157" t="n">
        <v>0</v>
      </c>
      <c r="O157" t="n">
        <v>0</v>
      </c>
      <c r="P157" t="n">
        <v>0</v>
      </c>
      <c r="Q157" t="n">
        <v>0</v>
      </c>
      <c r="R157" t="n">
        <v>0</v>
      </c>
      <c r="S157" t="n">
        <v>1</v>
      </c>
      <c r="T157" t="n">
        <v>1</v>
      </c>
      <c r="U157" s="2" t="inlineStr">
        <is>
          <t>Gröngöling</t>
        </is>
      </c>
      <c r="V157">
        <f>HYPERLINK("https://klasma.github.io/Logging_1083/artfynd/A 9316-2024 artfynd.xlsx", "A 9316-2024")</f>
        <v/>
      </c>
      <c r="W157">
        <f>HYPERLINK("https://klasma.github.io/Logging_1083/kartor/A 9316-2024 karta.png", "A 9316-2024")</f>
        <v/>
      </c>
      <c r="Y157">
        <f>HYPERLINK("https://klasma.github.io/Logging_1083/klagomål/A 9316-2024 FSC-klagomål.docx", "A 9316-2024")</f>
        <v/>
      </c>
      <c r="Z157">
        <f>HYPERLINK("https://klasma.github.io/Logging_1083/klagomålsmail/A 9316-2024 FSC-klagomål mail.docx", "A 9316-2024")</f>
        <v/>
      </c>
      <c r="AA157">
        <f>HYPERLINK("https://klasma.github.io/Logging_1083/tillsyn/A 9316-2024 tillsynsbegäran.docx", "A 9316-2024")</f>
        <v/>
      </c>
      <c r="AB157">
        <f>HYPERLINK("https://klasma.github.io/Logging_1083/tillsynsmail/A 9316-2024 tillsynsbegäran mail.docx", "A 9316-2024")</f>
        <v/>
      </c>
    </row>
    <row r="158" ht="15" customHeight="1">
      <c r="A158" t="inlineStr">
        <is>
          <t>A 44576-2025</t>
        </is>
      </c>
      <c r="B158" t="inlineStr">
        <is>
          <t>avverkningsanmälan</t>
        </is>
      </c>
      <c r="C158" t="inlineStr">
        <is>
          <t>Föryngringsavverkning</t>
        </is>
      </c>
      <c r="D158" s="1" t="n">
        <v>45917</v>
      </c>
      <c r="E158" s="1" t="n">
        <v>46216</v>
      </c>
      <c r="F158" t="inlineStr">
        <is>
          <t>BLEKINGE LÄN</t>
        </is>
      </c>
      <c r="G158" t="inlineStr">
        <is>
          <t>KARLSKRONA</t>
        </is>
      </c>
      <c r="I158" t="n">
        <v>2.4</v>
      </c>
      <c r="J158" t="n">
        <v>1</v>
      </c>
      <c r="K158" t="n">
        <v>1</v>
      </c>
      <c r="L158" t="n">
        <v>0</v>
      </c>
      <c r="M158" t="n">
        <v>0</v>
      </c>
      <c r="N158" t="n">
        <v>0</v>
      </c>
      <c r="O158" t="n">
        <v>0</v>
      </c>
      <c r="P158" t="n">
        <v>0</v>
      </c>
      <c r="Q158" t="n">
        <v>0</v>
      </c>
      <c r="R158" t="n">
        <v>0</v>
      </c>
      <c r="S158" t="n">
        <v>1</v>
      </c>
      <c r="T158" t="n">
        <v>1</v>
      </c>
      <c r="U158" s="2" t="inlineStr">
        <is>
          <t>Ekoxe</t>
        </is>
      </c>
      <c r="V158">
        <f>HYPERLINK("https://klasma.github.io/Logging_1080/artfynd/A 44576-2025 artfynd.xlsx", "A 44576-2025")</f>
        <v/>
      </c>
      <c r="W158">
        <f>HYPERLINK("https://klasma.github.io/Logging_1080/kartor/A 44576-2025 karta.png", "A 44576-2025")</f>
        <v/>
      </c>
      <c r="Y158">
        <f>HYPERLINK("https://klasma.github.io/Logging_1080/klagomål/A 44576-2025 FSC-klagomål.docx", "A 44576-2025")</f>
        <v/>
      </c>
      <c r="Z158">
        <f>HYPERLINK("https://klasma.github.io/Logging_1080/klagomålsmail/A 44576-2025 FSC-klagomål mail.docx", "A 44576-2025")</f>
        <v/>
      </c>
      <c r="AA158">
        <f>HYPERLINK("https://klasma.github.io/Logging_1080/tillsyn/A 44576-2025 tillsynsbegäran.docx", "A 44576-2025")</f>
        <v/>
      </c>
      <c r="AB158">
        <f>HYPERLINK("https://klasma.github.io/Logging_1080/tillsynsmail/A 44576-2025 tillsynsbegäran mail.docx", "A 44576-2025")</f>
        <v/>
      </c>
    </row>
    <row r="159" ht="15" customHeight="1">
      <c r="A159" t="inlineStr">
        <is>
          <t>A 12792-2025</t>
        </is>
      </c>
      <c r="B159" t="inlineStr">
        <is>
          <t>avverkningsanmälan</t>
        </is>
      </c>
      <c r="C159" t="inlineStr">
        <is>
          <t>Föryngringsavverkning</t>
        </is>
      </c>
      <c r="D159" s="1" t="n">
        <v>45733</v>
      </c>
      <c r="E159" s="1" t="n">
        <v>46216</v>
      </c>
      <c r="F159" t="inlineStr">
        <is>
          <t>BLEKINGE LÄN</t>
        </is>
      </c>
      <c r="G159" t="inlineStr">
        <is>
          <t>OLOFSTRÖM</t>
        </is>
      </c>
      <c r="I159" t="n">
        <v>2.4</v>
      </c>
      <c r="J159" t="n">
        <v>1</v>
      </c>
      <c r="K159" t="n">
        <v>0</v>
      </c>
      <c r="L159" t="n">
        <v>0</v>
      </c>
      <c r="M159" t="n">
        <v>0</v>
      </c>
      <c r="N159" t="n">
        <v>0</v>
      </c>
      <c r="O159" t="n">
        <v>0</v>
      </c>
      <c r="P159" t="n">
        <v>0</v>
      </c>
      <c r="Q159" t="n">
        <v>0</v>
      </c>
      <c r="R159" t="n">
        <v>0</v>
      </c>
      <c r="S159" t="n">
        <v>1</v>
      </c>
      <c r="T159" t="n">
        <v>1</v>
      </c>
      <c r="U159" s="2" t="inlineStr">
        <is>
          <t>Mattlummer</t>
        </is>
      </c>
      <c r="V159">
        <f>HYPERLINK("https://klasma.github.io/Logging_1060/artfynd/A 12792-2025 artfynd.xlsx", "A 12792-2025")</f>
        <v/>
      </c>
      <c r="W159">
        <f>HYPERLINK("https://klasma.github.io/Logging_1060/kartor/A 12792-2025 karta.png", "A 12792-2025")</f>
        <v/>
      </c>
      <c r="Y159">
        <f>HYPERLINK("https://klasma.github.io/Logging_1060/klagomål/A 12792-2025 FSC-klagomål.docx", "A 12792-2025")</f>
        <v/>
      </c>
      <c r="Z159">
        <f>HYPERLINK("https://klasma.github.io/Logging_1060/klagomålsmail/A 12792-2025 FSC-klagomål mail.docx", "A 12792-2025")</f>
        <v/>
      </c>
      <c r="AA159">
        <f>HYPERLINK("https://klasma.github.io/Logging_1060/tillsyn/A 12792-2025 tillsynsbegäran.docx", "A 12792-2025")</f>
        <v/>
      </c>
      <c r="AB159">
        <f>HYPERLINK("https://klasma.github.io/Logging_1060/tillsynsmail/A 12792-2025 tillsynsbegäran mail.docx", "A 12792-2025")</f>
        <v/>
      </c>
    </row>
    <row r="160" ht="15" customHeight="1">
      <c r="A160" t="inlineStr">
        <is>
          <t>A 26114-2026</t>
        </is>
      </c>
      <c r="B160" t="inlineStr">
        <is>
          <t>avverkningsanmälan</t>
        </is>
      </c>
      <c r="C160" t="inlineStr">
        <is>
          <t>Föryngringsavverkning</t>
        </is>
      </c>
      <c r="D160" s="1" t="n">
        <v>46181</v>
      </c>
      <c r="E160" s="1" t="n">
        <v>46216</v>
      </c>
      <c r="F160" t="inlineStr">
        <is>
          <t>BLEKINGE LÄN</t>
        </is>
      </c>
      <c r="G160" t="inlineStr">
        <is>
          <t>RONNEBY</t>
        </is>
      </c>
      <c r="I160" t="n">
        <v>1.3</v>
      </c>
      <c r="J160" t="n">
        <v>1</v>
      </c>
      <c r="K160" t="n">
        <v>0</v>
      </c>
      <c r="L160" t="n">
        <v>0</v>
      </c>
      <c r="M160" t="n">
        <v>0</v>
      </c>
      <c r="N160" t="n">
        <v>0</v>
      </c>
      <c r="O160" t="n">
        <v>0</v>
      </c>
      <c r="P160" t="n">
        <v>0</v>
      </c>
      <c r="Q160" t="n">
        <v>0</v>
      </c>
      <c r="R160" t="n">
        <v>0</v>
      </c>
      <c r="S160" t="n">
        <v>1</v>
      </c>
      <c r="T160" t="n">
        <v>1</v>
      </c>
      <c r="U160" s="2" t="inlineStr">
        <is>
          <t>Hasselmus</t>
        </is>
      </c>
      <c r="V160">
        <f>HYPERLINK("https://klasma.github.io/Logging_1081/artfynd/A 26114-2026 artfynd.xlsx", "A 26114-2026")</f>
        <v/>
      </c>
      <c r="W160">
        <f>HYPERLINK("https://klasma.github.io/Logging_1081/kartor/A 26114-2026 karta.png", "A 26114-2026")</f>
        <v/>
      </c>
      <c r="Y160">
        <f>HYPERLINK("https://klasma.github.io/Logging_1081/klagomål/A 26114-2026 FSC-klagomål.docx", "A 26114-2026")</f>
        <v/>
      </c>
      <c r="Z160">
        <f>HYPERLINK("https://klasma.github.io/Logging_1081/klagomålsmail/A 26114-2026 FSC-klagomål mail.docx", "A 26114-2026")</f>
        <v/>
      </c>
      <c r="AA160">
        <f>HYPERLINK("https://klasma.github.io/Logging_1081/tillsyn/A 26114-2026 tillsynsbegäran.docx", "A 26114-2026")</f>
        <v/>
      </c>
      <c r="AB160">
        <f>HYPERLINK("https://klasma.github.io/Logging_1081/tillsynsmail/A 26114-2026 tillsynsbegäran mail.docx", "A 26114-2026")</f>
        <v/>
      </c>
    </row>
    <row r="161" ht="15" customHeight="1">
      <c r="A161" t="inlineStr">
        <is>
          <t>A 19600-2023</t>
        </is>
      </c>
      <c r="B161" t="inlineStr">
        <is>
          <t>avverkningsanmälan</t>
        </is>
      </c>
      <c r="C161" t="inlineStr">
        <is>
          <t>Föryngringsavverkning</t>
        </is>
      </c>
      <c r="D161" s="1" t="n">
        <v>45050</v>
      </c>
      <c r="E161" s="1" t="n">
        <v>46216</v>
      </c>
      <c r="F161" t="inlineStr">
        <is>
          <t>BLEKINGE LÄN</t>
        </is>
      </c>
      <c r="G161" t="inlineStr">
        <is>
          <t>KARLSKRONA</t>
        </is>
      </c>
      <c r="I161" t="n">
        <v>4.1</v>
      </c>
      <c r="J161" t="n">
        <v>1</v>
      </c>
      <c r="K161" t="n">
        <v>0</v>
      </c>
      <c r="L161" t="n">
        <v>0</v>
      </c>
      <c r="M161" t="n">
        <v>1</v>
      </c>
      <c r="N161" t="n">
        <v>0</v>
      </c>
      <c r="O161" t="n">
        <v>0</v>
      </c>
      <c r="P161" t="n">
        <v>0</v>
      </c>
      <c r="Q161" t="n">
        <v>1</v>
      </c>
      <c r="R161" t="n">
        <v>1</v>
      </c>
      <c r="S161" t="n">
        <v>1</v>
      </c>
      <c r="T161" t="n">
        <v>1</v>
      </c>
      <c r="U161" s="2" t="inlineStr">
        <is>
          <t>Backsippa</t>
        </is>
      </c>
      <c r="V161">
        <f>HYPERLINK("https://klasma.github.io/Logging_1080/artfynd/A 19600-2023 artfynd.xlsx", "A 19600-2023")</f>
        <v/>
      </c>
      <c r="W161">
        <f>HYPERLINK("https://klasma.github.io/Logging_1080/kartor/A 19600-2023 karta.png", "A 19600-2023")</f>
        <v/>
      </c>
      <c r="Y161">
        <f>HYPERLINK("https://klasma.github.io/Logging_1080/klagomål/A 19600-2023 FSC-klagomål.docx", "A 19600-2023")</f>
        <v/>
      </c>
      <c r="Z161">
        <f>HYPERLINK("https://klasma.github.io/Logging_1080/klagomålsmail/A 19600-2023 FSC-klagomål mail.docx", "A 19600-2023")</f>
        <v/>
      </c>
      <c r="AA161">
        <f>HYPERLINK("https://klasma.github.io/Logging_1080/tillsyn/A 19600-2023 tillsynsbegäran.docx", "A 19600-2023")</f>
        <v/>
      </c>
      <c r="AB161">
        <f>HYPERLINK("https://klasma.github.io/Logging_1080/tillsynsmail/A 19600-2023 tillsynsbegäran mail.docx", "A 19600-2023")</f>
        <v/>
      </c>
    </row>
    <row r="162" ht="15" customHeight="1">
      <c r="A162" t="inlineStr">
        <is>
          <t>A 45186-2021</t>
        </is>
      </c>
      <c r="B162" t="inlineStr">
        <is>
          <t>avverkningsanmälan</t>
        </is>
      </c>
      <c r="C162" t="inlineStr">
        <is>
          <t>Föryngringsavverkning</t>
        </is>
      </c>
      <c r="D162" s="1" t="n">
        <v>44439</v>
      </c>
      <c r="E162" s="1" t="n">
        <v>46216</v>
      </c>
      <c r="F162" t="inlineStr">
        <is>
          <t>BLEKINGE LÄN</t>
        </is>
      </c>
      <c r="G162" t="inlineStr">
        <is>
          <t>RONNEBY</t>
        </is>
      </c>
      <c r="I162" t="n">
        <v>3.7</v>
      </c>
      <c r="J162" t="n">
        <v>1</v>
      </c>
      <c r="K162" t="n">
        <v>0</v>
      </c>
      <c r="L162" t="n">
        <v>0</v>
      </c>
      <c r="M162" t="n">
        <v>0</v>
      </c>
      <c r="N162" t="n">
        <v>0</v>
      </c>
      <c r="O162" t="n">
        <v>0</v>
      </c>
      <c r="P162" t="n">
        <v>0</v>
      </c>
      <c r="Q162" t="n">
        <v>0</v>
      </c>
      <c r="R162" t="n">
        <v>0</v>
      </c>
      <c r="S162" t="n">
        <v>1</v>
      </c>
      <c r="T162" t="n">
        <v>1</v>
      </c>
      <c r="U162" s="2" t="inlineStr">
        <is>
          <t>Röd glada</t>
        </is>
      </c>
      <c r="V162">
        <f>HYPERLINK("https://klasma.github.io/Logging_1081/artfynd/A 45186-2021 artfynd.xlsx", "A 45186-2021")</f>
        <v/>
      </c>
      <c r="W162">
        <f>HYPERLINK("https://klasma.github.io/Logging_1081/kartor/A 45186-2021 karta.png", "A 45186-2021")</f>
        <v/>
      </c>
      <c r="Y162">
        <f>HYPERLINK("https://klasma.github.io/Logging_1081/klagomål/A 45186-2021 FSC-klagomål.docx", "A 45186-2021")</f>
        <v/>
      </c>
      <c r="Z162">
        <f>HYPERLINK("https://klasma.github.io/Logging_1081/klagomålsmail/A 45186-2021 FSC-klagomål mail.docx", "A 45186-2021")</f>
        <v/>
      </c>
      <c r="AA162">
        <f>HYPERLINK("https://klasma.github.io/Logging_1081/tillsyn/A 45186-2021 tillsynsbegäran.docx", "A 45186-2021")</f>
        <v/>
      </c>
      <c r="AB162">
        <f>HYPERLINK("https://klasma.github.io/Logging_1081/tillsynsmail/A 45186-2021 tillsynsbegäran mail.docx", "A 45186-2021")</f>
        <v/>
      </c>
      <c r="AC162">
        <f>HYPERLINK("https://klasma.github.io/Logging_1081/fåglar/A 45186-2021 prioriterade fågelarter.docx", "A 45186-2021")</f>
        <v/>
      </c>
    </row>
    <row r="163" ht="15" customHeight="1">
      <c r="A163" t="inlineStr">
        <is>
          <t>A 46675-2024</t>
        </is>
      </c>
      <c r="B163" t="inlineStr">
        <is>
          <t>avverkningsanmälan</t>
        </is>
      </c>
      <c r="C163" t="inlineStr">
        <is>
          <t>Föryngringsavverkning</t>
        </is>
      </c>
      <c r="D163" s="1" t="n">
        <v>45583</v>
      </c>
      <c r="E163" s="1" t="n">
        <v>46216</v>
      </c>
      <c r="F163" t="inlineStr">
        <is>
          <t>BLEKINGE LÄN</t>
        </is>
      </c>
      <c r="G163" t="inlineStr">
        <is>
          <t>OLOFSTRÖM</t>
        </is>
      </c>
      <c r="I163" t="n">
        <v>2.7</v>
      </c>
      <c r="J163" t="n">
        <v>0</v>
      </c>
      <c r="K163" t="n">
        <v>0</v>
      </c>
      <c r="L163" t="n">
        <v>1</v>
      </c>
      <c r="M163" t="n">
        <v>0</v>
      </c>
      <c r="N163" t="n">
        <v>0</v>
      </c>
      <c r="O163" t="n">
        <v>0</v>
      </c>
      <c r="P163" t="n">
        <v>0</v>
      </c>
      <c r="Q163" t="n">
        <v>1</v>
      </c>
      <c r="R163" t="n">
        <v>0</v>
      </c>
      <c r="S163" t="n">
        <v>1</v>
      </c>
      <c r="T163" t="n">
        <v>1</v>
      </c>
      <c r="U163" s="2" t="inlineStr">
        <is>
          <t>Sommarfibbla</t>
        </is>
      </c>
      <c r="V163">
        <f>HYPERLINK("https://klasma.github.io/Logging_1060/artfynd/A 46675-2024 artfynd.xlsx", "A 46675-2024")</f>
        <v/>
      </c>
      <c r="W163">
        <f>HYPERLINK("https://klasma.github.io/Logging_1060/kartor/A 46675-2024 karta.png", "A 46675-2024")</f>
        <v/>
      </c>
      <c r="Y163">
        <f>HYPERLINK("https://klasma.github.io/Logging_1060/klagomål/A 46675-2024 FSC-klagomål.docx", "A 46675-2024")</f>
        <v/>
      </c>
      <c r="Z163">
        <f>HYPERLINK("https://klasma.github.io/Logging_1060/klagomålsmail/A 46675-2024 FSC-klagomål mail.docx", "A 46675-2024")</f>
        <v/>
      </c>
      <c r="AA163">
        <f>HYPERLINK("https://klasma.github.io/Logging_1060/tillsyn/A 46675-2024 tillsynsbegäran.docx", "A 46675-2024")</f>
        <v/>
      </c>
      <c r="AB163">
        <f>HYPERLINK("https://klasma.github.io/Logging_1060/tillsynsmail/A 46675-2024 tillsynsbegäran mail.docx", "A 46675-2024")</f>
        <v/>
      </c>
    </row>
    <row r="164" ht="15" customHeight="1">
      <c r="A164" t="inlineStr">
        <is>
          <t>A 41053-2024</t>
        </is>
      </c>
      <c r="B164" t="inlineStr">
        <is>
          <t>avverkningsanmälan</t>
        </is>
      </c>
      <c r="C164" t="inlineStr">
        <is>
          <t>Föryngringsavverkning</t>
        </is>
      </c>
      <c r="D164" s="1" t="n">
        <v>45559</v>
      </c>
      <c r="E164" s="1" t="n">
        <v>46216</v>
      </c>
      <c r="F164" t="inlineStr">
        <is>
          <t>BLEKINGE LÄN</t>
        </is>
      </c>
      <c r="G164" t="inlineStr">
        <is>
          <t>RONNEBY</t>
        </is>
      </c>
      <c r="H164" t="inlineStr">
        <is>
          <t>Övriga Aktiebolag</t>
        </is>
      </c>
      <c r="I164" t="n">
        <v>2.8</v>
      </c>
      <c r="J164" t="n">
        <v>1</v>
      </c>
      <c r="K164" t="n">
        <v>0</v>
      </c>
      <c r="L164" t="n">
        <v>0</v>
      </c>
      <c r="M164" t="n">
        <v>0</v>
      </c>
      <c r="N164" t="n">
        <v>0</v>
      </c>
      <c r="O164" t="n">
        <v>0</v>
      </c>
      <c r="P164" t="n">
        <v>0</v>
      </c>
      <c r="Q164" t="n">
        <v>0</v>
      </c>
      <c r="R164" t="n">
        <v>0</v>
      </c>
      <c r="S164" t="n">
        <v>1</v>
      </c>
      <c r="T164" t="n">
        <v>1</v>
      </c>
      <c r="U164" s="2" t="inlineStr">
        <is>
          <t>Hårklomossa</t>
        </is>
      </c>
      <c r="V164">
        <f>HYPERLINK("https://klasma.github.io/Logging_1081/artfynd/A 41053-2024 artfynd.xlsx", "A 41053-2024")</f>
        <v/>
      </c>
      <c r="W164">
        <f>HYPERLINK("https://klasma.github.io/Logging_1081/kartor/A 41053-2024 karta.png", "A 41053-2024")</f>
        <v/>
      </c>
      <c r="Y164">
        <f>HYPERLINK("https://klasma.github.io/Logging_1081/klagomål/A 41053-2024 FSC-klagomål.docx", "A 41053-2024")</f>
        <v/>
      </c>
      <c r="Z164">
        <f>HYPERLINK("https://klasma.github.io/Logging_1081/klagomålsmail/A 41053-2024 FSC-klagomål mail.docx", "A 41053-2024")</f>
        <v/>
      </c>
      <c r="AA164">
        <f>HYPERLINK("https://klasma.github.io/Logging_1081/tillsyn/A 41053-2024 tillsynsbegäran.docx", "A 41053-2024")</f>
        <v/>
      </c>
      <c r="AB164">
        <f>HYPERLINK("https://klasma.github.io/Logging_1081/tillsynsmail/A 41053-2024 tillsynsbegäran mail.docx", "A 41053-2024")</f>
        <v/>
      </c>
    </row>
    <row r="165" ht="15" customHeight="1">
      <c r="A165" t="inlineStr">
        <is>
          <t>A 13533-2024</t>
        </is>
      </c>
      <c r="B165" t="inlineStr">
        <is>
          <t>avverkningsanmälan</t>
        </is>
      </c>
      <c r="C165" t="inlineStr">
        <is>
          <t>Föryngringsavverkning</t>
        </is>
      </c>
      <c r="D165" s="1" t="n">
        <v>45387</v>
      </c>
      <c r="E165" s="1" t="n">
        <v>46216</v>
      </c>
      <c r="F165" t="inlineStr">
        <is>
          <t>BLEKINGE LÄN</t>
        </is>
      </c>
      <c r="G165" t="inlineStr">
        <is>
          <t>KARLSKRONA</t>
        </is>
      </c>
      <c r="I165" t="n">
        <v>1.3</v>
      </c>
      <c r="J165" t="n">
        <v>0</v>
      </c>
      <c r="K165" t="n">
        <v>0</v>
      </c>
      <c r="L165" t="n">
        <v>1</v>
      </c>
      <c r="M165" t="n">
        <v>0</v>
      </c>
      <c r="N165" t="n">
        <v>0</v>
      </c>
      <c r="O165" t="n">
        <v>0</v>
      </c>
      <c r="P165" t="n">
        <v>0</v>
      </c>
      <c r="Q165" t="n">
        <v>1</v>
      </c>
      <c r="R165" t="n">
        <v>0</v>
      </c>
      <c r="S165" t="n">
        <v>1</v>
      </c>
      <c r="T165" t="n">
        <v>3</v>
      </c>
      <c r="U165" s="2" t="inlineStr">
        <is>
          <t>Polabiskt björnbär</t>
        </is>
      </c>
      <c r="V165">
        <f>HYPERLINK("https://klasma.github.io/Logging_1080/artfynd/A 13533-2024 artfynd.xlsx", "A 13533-2024")</f>
        <v/>
      </c>
      <c r="W165">
        <f>HYPERLINK("https://klasma.github.io/Logging_1080/kartor/A 13533-2024 karta.png", "A 13533-2024")</f>
        <v/>
      </c>
      <c r="Y165">
        <f>HYPERLINK("https://klasma.github.io/Logging_1080/klagomål/A 13533-2024 FSC-klagomål.docx", "A 13533-2024")</f>
        <v/>
      </c>
      <c r="Z165">
        <f>HYPERLINK("https://klasma.github.io/Logging_1080/klagomålsmail/A 13533-2024 FSC-klagomål mail.docx", "A 13533-2024")</f>
        <v/>
      </c>
      <c r="AA165">
        <f>HYPERLINK("https://klasma.github.io/Logging_1080/tillsyn/A 13533-2024 tillsynsbegäran.docx", "A 13533-2024")</f>
        <v/>
      </c>
      <c r="AB165">
        <f>HYPERLINK("https://klasma.github.io/Logging_1080/tillsynsmail/A 13533-2024 tillsynsbegäran mail.docx", "A 13533-2024")</f>
        <v/>
      </c>
    </row>
    <row r="166" ht="15" customHeight="1">
      <c r="A166" t="inlineStr">
        <is>
          <t>A 26455-2026</t>
        </is>
      </c>
      <c r="B166" t="inlineStr">
        <is>
          <t>avverkningsanmälan</t>
        </is>
      </c>
      <c r="C166" t="inlineStr">
        <is>
          <t>Föryngringsavverkning</t>
        </is>
      </c>
      <c r="D166" s="1" t="n">
        <v>46183</v>
      </c>
      <c r="E166" s="1" t="n">
        <v>46216</v>
      </c>
      <c r="F166" t="inlineStr">
        <is>
          <t>BLEKINGE LÄN</t>
        </is>
      </c>
      <c r="G166" t="inlineStr">
        <is>
          <t>SÖLVESBORG</t>
        </is>
      </c>
      <c r="I166" t="n">
        <v>12.6</v>
      </c>
      <c r="J166" t="n">
        <v>0</v>
      </c>
      <c r="K166" t="n">
        <v>1</v>
      </c>
      <c r="L166" t="n">
        <v>0</v>
      </c>
      <c r="M166" t="n">
        <v>0</v>
      </c>
      <c r="N166" t="n">
        <v>0</v>
      </c>
      <c r="O166" t="n">
        <v>0</v>
      </c>
      <c r="P166" t="n">
        <v>0</v>
      </c>
      <c r="Q166" t="n">
        <v>0</v>
      </c>
      <c r="R166" t="n">
        <v>0</v>
      </c>
      <c r="S166" t="n">
        <v>1</v>
      </c>
      <c r="T166" t="n">
        <v>1</v>
      </c>
      <c r="U166" s="2" t="inlineStr">
        <is>
          <t>Myskmadra</t>
        </is>
      </c>
      <c r="V166">
        <f>HYPERLINK("https://klasma.github.io/Logging_1083/artfynd/A 26455-2026 artfynd.xlsx", "A 26455-2026")</f>
        <v/>
      </c>
      <c r="W166">
        <f>HYPERLINK("https://klasma.github.io/Logging_1083/kartor/A 26455-2026 karta.png", "A 26455-2026")</f>
        <v/>
      </c>
      <c r="Y166">
        <f>HYPERLINK("https://klasma.github.io/Logging_1083/klagomål/A 26455-2026 FSC-klagomål.docx", "A 26455-2026")</f>
        <v/>
      </c>
      <c r="Z166">
        <f>HYPERLINK("https://klasma.github.io/Logging_1083/klagomålsmail/A 26455-2026 FSC-klagomål mail.docx", "A 26455-2026")</f>
        <v/>
      </c>
      <c r="AA166">
        <f>HYPERLINK("https://klasma.github.io/Logging_1083/tillsyn/A 26455-2026 tillsynsbegäran.docx", "A 26455-2026")</f>
        <v/>
      </c>
      <c r="AB166">
        <f>HYPERLINK("https://klasma.github.io/Logging_1083/tillsynsmail/A 26455-2026 tillsynsbegäran mail.docx", "A 26455-2026")</f>
        <v/>
      </c>
    </row>
    <row r="167" ht="15" customHeight="1">
      <c r="A167" t="inlineStr">
        <is>
          <t>A 26288-2026</t>
        </is>
      </c>
      <c r="B167" t="inlineStr">
        <is>
          <t>avverkningsanmälan</t>
        </is>
      </c>
      <c r="C167" t="inlineStr">
        <is>
          <t>Föryngringsavverkning</t>
        </is>
      </c>
      <c r="D167" s="1" t="n">
        <v>46182</v>
      </c>
      <c r="E167" s="1" t="n">
        <v>46216</v>
      </c>
      <c r="F167" t="inlineStr">
        <is>
          <t>BLEKINGE LÄN</t>
        </is>
      </c>
      <c r="G167" t="inlineStr">
        <is>
          <t>RONNEBY</t>
        </is>
      </c>
      <c r="H167" t="inlineStr">
        <is>
          <t>Övriga Aktiebolag</t>
        </is>
      </c>
      <c r="I167" t="n">
        <v>1.6</v>
      </c>
      <c r="J167" t="n">
        <v>0</v>
      </c>
      <c r="K167" t="n">
        <v>1</v>
      </c>
      <c r="L167" t="n">
        <v>0</v>
      </c>
      <c r="M167" t="n">
        <v>0</v>
      </c>
      <c r="N167" t="n">
        <v>0</v>
      </c>
      <c r="O167" t="n">
        <v>0</v>
      </c>
      <c r="P167" t="n">
        <v>0</v>
      </c>
      <c r="Q167" t="n">
        <v>0</v>
      </c>
      <c r="R167" t="n">
        <v>0</v>
      </c>
      <c r="S167" t="n">
        <v>1</v>
      </c>
      <c r="T167" t="n">
        <v>1</v>
      </c>
      <c r="U167" s="2" t="inlineStr">
        <is>
          <t>Havstulpanlav</t>
        </is>
      </c>
      <c r="V167">
        <f>HYPERLINK("https://klasma.github.io/Logging_1081/artfynd/A 26288-2026 artfynd.xlsx", "A 26288-2026")</f>
        <v/>
      </c>
      <c r="W167">
        <f>HYPERLINK("https://klasma.github.io/Logging_1081/kartor/A 26288-2026 karta.png", "A 26288-2026")</f>
        <v/>
      </c>
      <c r="Y167">
        <f>HYPERLINK("https://klasma.github.io/Logging_1081/klagomål/A 26288-2026 FSC-klagomål.docx", "A 26288-2026")</f>
        <v/>
      </c>
      <c r="Z167">
        <f>HYPERLINK("https://klasma.github.io/Logging_1081/klagomålsmail/A 26288-2026 FSC-klagomål mail.docx", "A 26288-2026")</f>
        <v/>
      </c>
      <c r="AA167">
        <f>HYPERLINK("https://klasma.github.io/Logging_1081/tillsyn/A 26288-2026 tillsynsbegäran.docx", "A 26288-2026")</f>
        <v/>
      </c>
      <c r="AB167">
        <f>HYPERLINK("https://klasma.github.io/Logging_1081/tillsynsmail/A 26288-2026 tillsynsbegäran mail.docx", "A 26288-2026")</f>
        <v/>
      </c>
    </row>
    <row r="168" ht="15" customHeight="1">
      <c r="A168" t="inlineStr">
        <is>
          <t>A 20881-2026</t>
        </is>
      </c>
      <c r="B168" t="inlineStr">
        <is>
          <t>avverkningsanmälan</t>
        </is>
      </c>
      <c r="C168" t="inlineStr">
        <is>
          <t>Avverkning för annat ändamål</t>
        </is>
      </c>
      <c r="D168" s="1" t="n">
        <v>46142</v>
      </c>
      <c r="E168" s="1" t="n">
        <v>46216</v>
      </c>
      <c r="F168" t="inlineStr">
        <is>
          <t>BLEKINGE LÄN</t>
        </is>
      </c>
      <c r="G168" t="inlineStr">
        <is>
          <t>KARLSKRONA</t>
        </is>
      </c>
      <c r="H168" t="inlineStr">
        <is>
          <t>Kommuner</t>
        </is>
      </c>
      <c r="I168" t="n">
        <v>0.8</v>
      </c>
      <c r="J168" t="n">
        <v>1</v>
      </c>
      <c r="K168" t="n">
        <v>0</v>
      </c>
      <c r="L168" t="n">
        <v>0</v>
      </c>
      <c r="M168" t="n">
        <v>0</v>
      </c>
      <c r="N168" t="n">
        <v>0</v>
      </c>
      <c r="O168" t="n">
        <v>0</v>
      </c>
      <c r="P168" t="n">
        <v>0</v>
      </c>
      <c r="Q168" t="n">
        <v>0</v>
      </c>
      <c r="R168" t="n">
        <v>0</v>
      </c>
      <c r="S168" t="n">
        <v>1</v>
      </c>
      <c r="T168" t="n">
        <v>1</v>
      </c>
      <c r="U168" s="2" t="inlineStr">
        <is>
          <t>Kopparödla</t>
        </is>
      </c>
      <c r="V168">
        <f>HYPERLINK("https://klasma.github.io/Logging_1080/artfynd/A 20881-2026 artfynd.xlsx", "A 20881-2026")</f>
        <v/>
      </c>
      <c r="W168">
        <f>HYPERLINK("https://klasma.github.io/Logging_1080/kartor/A 20881-2026 karta.png", "A 20881-2026")</f>
        <v/>
      </c>
      <c r="Y168">
        <f>HYPERLINK("https://klasma.github.io/Logging_1080/klagomål/A 20881-2026 FSC-klagomål.docx", "A 20881-2026")</f>
        <v/>
      </c>
      <c r="Z168">
        <f>HYPERLINK("https://klasma.github.io/Logging_1080/klagomålsmail/A 20881-2026 FSC-klagomål mail.docx", "A 20881-2026")</f>
        <v/>
      </c>
      <c r="AA168">
        <f>HYPERLINK("https://klasma.github.io/Logging_1080/tillsyn/A 20881-2026 tillsynsbegäran.docx", "A 20881-2026")</f>
        <v/>
      </c>
      <c r="AB168">
        <f>HYPERLINK("https://klasma.github.io/Logging_1080/tillsynsmail/A 20881-2026 tillsynsbegäran mail.docx", "A 20881-2026")</f>
        <v/>
      </c>
    </row>
    <row r="169" ht="15" customHeight="1">
      <c r="A169" t="inlineStr">
        <is>
          <t>A 27203-2026</t>
        </is>
      </c>
      <c r="B169" t="inlineStr">
        <is>
          <t>avverkningsanmälan</t>
        </is>
      </c>
      <c r="C169" t="inlineStr">
        <is>
          <t>Föryngringsavverkning</t>
        </is>
      </c>
      <c r="D169" s="1" t="n">
        <v>46188</v>
      </c>
      <c r="E169" s="1" t="n">
        <v>46216</v>
      </c>
      <c r="F169" t="inlineStr">
        <is>
          <t>BLEKINGE LÄN</t>
        </is>
      </c>
      <c r="G169" t="inlineStr">
        <is>
          <t>KARLSKRONA</t>
        </is>
      </c>
      <c r="I169" t="n">
        <v>2.8</v>
      </c>
      <c r="J169" t="n">
        <v>1</v>
      </c>
      <c r="K169" t="n">
        <v>0</v>
      </c>
      <c r="L169" t="n">
        <v>1</v>
      </c>
      <c r="M169" t="n">
        <v>0</v>
      </c>
      <c r="N169" t="n">
        <v>0</v>
      </c>
      <c r="O169" t="n">
        <v>0</v>
      </c>
      <c r="P169" t="n">
        <v>0</v>
      </c>
      <c r="Q169" t="n">
        <v>1</v>
      </c>
      <c r="R169" t="n">
        <v>0</v>
      </c>
      <c r="S169" t="n">
        <v>1</v>
      </c>
      <c r="T169" t="n">
        <v>1</v>
      </c>
      <c r="U169" s="2" t="inlineStr">
        <is>
          <t>Nötkråka</t>
        </is>
      </c>
      <c r="V169">
        <f>HYPERLINK("https://klasma.github.io/Logging_1080/artfynd/A 27203-2026 artfynd.xlsx", "A 27203-2026")</f>
        <v/>
      </c>
      <c r="W169">
        <f>HYPERLINK("https://klasma.github.io/Logging_1080/kartor/A 27203-2026 karta.png", "A 27203-2026")</f>
        <v/>
      </c>
      <c r="Y169">
        <f>HYPERLINK("https://klasma.github.io/Logging_1080/klagomål/A 27203-2026 FSC-klagomål.docx", "A 27203-2026")</f>
        <v/>
      </c>
      <c r="Z169">
        <f>HYPERLINK("https://klasma.github.io/Logging_1080/klagomålsmail/A 27203-2026 FSC-klagomål mail.docx", "A 27203-2026")</f>
        <v/>
      </c>
      <c r="AA169">
        <f>HYPERLINK("https://klasma.github.io/Logging_1080/tillsyn/A 27203-2026 tillsynsbegäran.docx", "A 27203-2026")</f>
        <v/>
      </c>
      <c r="AB169">
        <f>HYPERLINK("https://klasma.github.io/Logging_1080/tillsynsmail/A 27203-2026 tillsynsbegäran mail.docx", "A 27203-2026")</f>
        <v/>
      </c>
      <c r="AC169">
        <f>HYPERLINK("https://klasma.github.io/Logging_1080/fåglar/A 27203-2026 prioriterade fågelarter.docx", "A 27203-2026")</f>
        <v/>
      </c>
    </row>
    <row r="170" ht="15" customHeight="1">
      <c r="A170" t="inlineStr">
        <is>
          <t>A 58004-2024</t>
        </is>
      </c>
      <c r="B170" t="inlineStr">
        <is>
          <t>avverkningsanmälan</t>
        </is>
      </c>
      <c r="C170" t="inlineStr">
        <is>
          <t>Avverkning för annat ändamål</t>
        </is>
      </c>
      <c r="D170" s="1" t="n">
        <v>45631</v>
      </c>
      <c r="E170" s="1" t="n">
        <v>46216</v>
      </c>
      <c r="F170" t="inlineStr">
        <is>
          <t>BLEKINGE LÄN</t>
        </is>
      </c>
      <c r="G170" t="inlineStr">
        <is>
          <t>KARLSKRONA</t>
        </is>
      </c>
      <c r="I170" t="n">
        <v>1.2</v>
      </c>
      <c r="J170" t="n">
        <v>0</v>
      </c>
      <c r="K170" t="n">
        <v>0</v>
      </c>
      <c r="L170" t="n">
        <v>1</v>
      </c>
      <c r="M170" t="n">
        <v>0</v>
      </c>
      <c r="N170" t="n">
        <v>0</v>
      </c>
      <c r="O170" t="n">
        <v>0</v>
      </c>
      <c r="P170" t="n">
        <v>0</v>
      </c>
      <c r="Q170" t="n">
        <v>1</v>
      </c>
      <c r="R170" t="n">
        <v>0</v>
      </c>
      <c r="S170" t="n">
        <v>1</v>
      </c>
      <c r="T170" t="n">
        <v>1</v>
      </c>
      <c r="U170" s="2" t="inlineStr">
        <is>
          <t>Korskovall</t>
        </is>
      </c>
      <c r="V170">
        <f>HYPERLINK("https://klasma.github.io/Logging_1080/artfynd/A 58004-2024 artfynd.xlsx", "A 58004-2024")</f>
        <v/>
      </c>
      <c r="W170">
        <f>HYPERLINK("https://klasma.github.io/Logging_1080/kartor/A 58004-2024 karta.png", "A 58004-2024")</f>
        <v/>
      </c>
      <c r="Y170">
        <f>HYPERLINK("https://klasma.github.io/Logging_1080/klagomål/A 58004-2024 FSC-klagomål.docx", "A 58004-2024")</f>
        <v/>
      </c>
      <c r="Z170">
        <f>HYPERLINK("https://klasma.github.io/Logging_1080/klagomålsmail/A 58004-2024 FSC-klagomål mail.docx", "A 58004-2024")</f>
        <v/>
      </c>
      <c r="AA170">
        <f>HYPERLINK("https://klasma.github.io/Logging_1080/tillsyn/A 58004-2024 tillsynsbegäran.docx", "A 58004-2024")</f>
        <v/>
      </c>
      <c r="AB170">
        <f>HYPERLINK("https://klasma.github.io/Logging_1080/tillsynsmail/A 58004-2024 tillsynsbegäran mail.docx", "A 58004-2024")</f>
        <v/>
      </c>
    </row>
    <row r="171" ht="15" customHeight="1">
      <c r="A171" t="inlineStr">
        <is>
          <t>A 28478-2023</t>
        </is>
      </c>
      <c r="B171" t="inlineStr">
        <is>
          <t>avverkningsanmälan</t>
        </is>
      </c>
      <c r="C171" t="inlineStr">
        <is>
          <t>Föryngringsavverkning</t>
        </is>
      </c>
      <c r="D171" s="1" t="n">
        <v>45103</v>
      </c>
      <c r="E171" s="1" t="n">
        <v>46216</v>
      </c>
      <c r="F171" t="inlineStr">
        <is>
          <t>BLEKINGE LÄN</t>
        </is>
      </c>
      <c r="G171" t="inlineStr">
        <is>
          <t>SÖLVESBORG</t>
        </is>
      </c>
      <c r="I171" t="n">
        <v>3</v>
      </c>
      <c r="J171" t="n">
        <v>1</v>
      </c>
      <c r="K171" t="n">
        <v>0</v>
      </c>
      <c r="L171" t="n">
        <v>0</v>
      </c>
      <c r="M171" t="n">
        <v>0</v>
      </c>
      <c r="N171" t="n">
        <v>0</v>
      </c>
      <c r="O171" t="n">
        <v>0</v>
      </c>
      <c r="P171" t="n">
        <v>0</v>
      </c>
      <c r="Q171" t="n">
        <v>0</v>
      </c>
      <c r="R171" t="n">
        <v>0</v>
      </c>
      <c r="S171" t="n">
        <v>1</v>
      </c>
      <c r="T171" t="n">
        <v>1</v>
      </c>
      <c r="U171" s="2" t="inlineStr">
        <is>
          <t>Dvärgpipistrell</t>
        </is>
      </c>
      <c r="V171">
        <f>HYPERLINK("https://klasma.github.io/Logging_1083/artfynd/A 28478-2023 artfynd.xlsx", "A 28478-2023")</f>
        <v/>
      </c>
      <c r="W171">
        <f>HYPERLINK("https://klasma.github.io/Logging_1083/kartor/A 28478-2023 karta.png", "A 28478-2023")</f>
        <v/>
      </c>
      <c r="Y171">
        <f>HYPERLINK("https://klasma.github.io/Logging_1083/klagomål/A 28478-2023 FSC-klagomål.docx", "A 28478-2023")</f>
        <v/>
      </c>
      <c r="Z171">
        <f>HYPERLINK("https://klasma.github.io/Logging_1083/klagomålsmail/A 28478-2023 FSC-klagomål mail.docx", "A 28478-2023")</f>
        <v/>
      </c>
      <c r="AA171">
        <f>HYPERLINK("https://klasma.github.io/Logging_1083/tillsyn/A 28478-2023 tillsynsbegäran.docx", "A 28478-2023")</f>
        <v/>
      </c>
      <c r="AB171">
        <f>HYPERLINK("https://klasma.github.io/Logging_1083/tillsynsmail/A 28478-2023 tillsynsbegäran mail.docx", "A 28478-2023")</f>
        <v/>
      </c>
    </row>
    <row r="172" ht="15" customHeight="1">
      <c r="A172" t="inlineStr">
        <is>
          <t>A 13497-2025</t>
        </is>
      </c>
      <c r="B172" t="inlineStr">
        <is>
          <t>avverkningsanmälan</t>
        </is>
      </c>
      <c r="C172" t="inlineStr">
        <is>
          <t>Föryngringsavverkning</t>
        </is>
      </c>
      <c r="D172" s="1" t="n">
        <v>45736</v>
      </c>
      <c r="E172" s="1" t="n">
        <v>46216</v>
      </c>
      <c r="F172" t="inlineStr">
        <is>
          <t>BLEKINGE LÄN</t>
        </is>
      </c>
      <c r="G172" t="inlineStr">
        <is>
          <t>KARLSKRONA</t>
        </is>
      </c>
      <c r="I172" t="n">
        <v>0.5</v>
      </c>
      <c r="J172" t="n">
        <v>1</v>
      </c>
      <c r="K172" t="n">
        <v>0</v>
      </c>
      <c r="L172" t="n">
        <v>0</v>
      </c>
      <c r="M172" t="n">
        <v>1</v>
      </c>
      <c r="N172" t="n">
        <v>0</v>
      </c>
      <c r="O172" t="n">
        <v>0</v>
      </c>
      <c r="P172" t="n">
        <v>0</v>
      </c>
      <c r="Q172" t="n">
        <v>1</v>
      </c>
      <c r="R172" t="n">
        <v>1</v>
      </c>
      <c r="S172" t="n">
        <v>1</v>
      </c>
      <c r="T172" t="n">
        <v>1</v>
      </c>
      <c r="U172" s="2" t="inlineStr">
        <is>
          <t>Backsippa</t>
        </is>
      </c>
      <c r="V172">
        <f>HYPERLINK("https://klasma.github.io/Logging_1080/artfynd/A 13497-2025 artfynd.xlsx", "A 13497-2025")</f>
        <v/>
      </c>
      <c r="W172">
        <f>HYPERLINK("https://klasma.github.io/Logging_1080/kartor/A 13497-2025 karta.png", "A 13497-2025")</f>
        <v/>
      </c>
      <c r="Y172">
        <f>HYPERLINK("https://klasma.github.io/Logging_1080/klagomål/A 13497-2025 FSC-klagomål.docx", "A 13497-2025")</f>
        <v/>
      </c>
      <c r="Z172">
        <f>HYPERLINK("https://klasma.github.io/Logging_1080/klagomålsmail/A 13497-2025 FSC-klagomål mail.docx", "A 13497-2025")</f>
        <v/>
      </c>
      <c r="AA172">
        <f>HYPERLINK("https://klasma.github.io/Logging_1080/tillsyn/A 13497-2025 tillsynsbegäran.docx", "A 13497-2025")</f>
        <v/>
      </c>
      <c r="AB172">
        <f>HYPERLINK("https://klasma.github.io/Logging_1080/tillsynsmail/A 13497-2025 tillsynsbegäran mail.docx", "A 13497-2025")</f>
        <v/>
      </c>
    </row>
    <row r="173" ht="15" customHeight="1">
      <c r="A173" t="inlineStr">
        <is>
          <t>A 45591-2024</t>
        </is>
      </c>
      <c r="B173" t="inlineStr">
        <is>
          <t>avverkningsanmälan</t>
        </is>
      </c>
      <c r="C173" t="inlineStr">
        <is>
          <t>Föryngringsavverkning</t>
        </is>
      </c>
      <c r="D173" s="1" t="n">
        <v>45579</v>
      </c>
      <c r="E173" s="1" t="n">
        <v>46216</v>
      </c>
      <c r="F173" t="inlineStr">
        <is>
          <t>BLEKINGE LÄN</t>
        </is>
      </c>
      <c r="G173" t="inlineStr">
        <is>
          <t>KARLSKRONA</t>
        </is>
      </c>
      <c r="I173" t="n">
        <v>0.8</v>
      </c>
      <c r="J173" t="n">
        <v>0</v>
      </c>
      <c r="K173" t="n">
        <v>0</v>
      </c>
      <c r="L173" t="n">
        <v>1</v>
      </c>
      <c r="M173" t="n">
        <v>0</v>
      </c>
      <c r="N173" t="n">
        <v>0</v>
      </c>
      <c r="O173" t="n">
        <v>0</v>
      </c>
      <c r="P173" t="n">
        <v>0</v>
      </c>
      <c r="Q173" t="n">
        <v>1</v>
      </c>
      <c r="R173" t="n">
        <v>0</v>
      </c>
      <c r="S173" t="n">
        <v>1</v>
      </c>
      <c r="T173" t="n">
        <v>1</v>
      </c>
      <c r="U173" s="2" t="inlineStr">
        <is>
          <t>Svartvit taggsvamp</t>
        </is>
      </c>
      <c r="V173">
        <f>HYPERLINK("https://klasma.github.io/Logging_1080/artfynd/A 45591-2024 artfynd.xlsx", "A 45591-2024")</f>
        <v/>
      </c>
      <c r="W173">
        <f>HYPERLINK("https://klasma.github.io/Logging_1080/kartor/A 45591-2024 karta.png", "A 45591-2024")</f>
        <v/>
      </c>
      <c r="Y173">
        <f>HYPERLINK("https://klasma.github.io/Logging_1080/klagomål/A 45591-2024 FSC-klagomål.docx", "A 45591-2024")</f>
        <v/>
      </c>
      <c r="Z173">
        <f>HYPERLINK("https://klasma.github.io/Logging_1080/klagomålsmail/A 45591-2024 FSC-klagomål mail.docx", "A 45591-2024")</f>
        <v/>
      </c>
      <c r="AA173">
        <f>HYPERLINK("https://klasma.github.io/Logging_1080/tillsyn/A 45591-2024 tillsynsbegäran.docx", "A 45591-2024")</f>
        <v/>
      </c>
      <c r="AB173">
        <f>HYPERLINK("https://klasma.github.io/Logging_1080/tillsynsmail/A 45591-2024 tillsynsbegäran mail.docx", "A 45591-2024")</f>
        <v/>
      </c>
    </row>
    <row r="174" ht="15" customHeight="1">
      <c r="A174" t="inlineStr">
        <is>
          <t>A 7842-2023</t>
        </is>
      </c>
      <c r="B174" t="inlineStr">
        <is>
          <t>avverkningsanmälan</t>
        </is>
      </c>
      <c r="C174" t="inlineStr">
        <is>
          <t>Föryngringsavverkning</t>
        </is>
      </c>
      <c r="D174" s="1" t="n">
        <v>44973</v>
      </c>
      <c r="E174" s="1" t="n">
        <v>46216</v>
      </c>
      <c r="F174" t="inlineStr">
        <is>
          <t>BLEKINGE LÄN</t>
        </is>
      </c>
      <c r="G174" t="inlineStr">
        <is>
          <t>RONNEBY</t>
        </is>
      </c>
      <c r="H174" t="inlineStr">
        <is>
          <t>Övriga Aktiebolag</t>
        </is>
      </c>
      <c r="I174" t="n">
        <v>2.9</v>
      </c>
      <c r="J174" t="n">
        <v>0</v>
      </c>
      <c r="K174" t="n">
        <v>0</v>
      </c>
      <c r="L174" t="n">
        <v>1</v>
      </c>
      <c r="M174" t="n">
        <v>0</v>
      </c>
      <c r="N174" t="n">
        <v>0</v>
      </c>
      <c r="O174" t="n">
        <v>0</v>
      </c>
      <c r="P174" t="n">
        <v>0</v>
      </c>
      <c r="Q174" t="n">
        <v>1</v>
      </c>
      <c r="R174" t="n">
        <v>0</v>
      </c>
      <c r="S174" t="n">
        <v>1</v>
      </c>
      <c r="T174" t="n">
        <v>1</v>
      </c>
      <c r="U174" s="2" t="inlineStr">
        <is>
          <t>Bokvårtlav</t>
        </is>
      </c>
      <c r="V174">
        <f>HYPERLINK("https://klasma.github.io/Logging_1081/artfynd/A 7842-2023 artfynd.xlsx", "A 7842-2023")</f>
        <v/>
      </c>
      <c r="W174">
        <f>HYPERLINK("https://klasma.github.io/Logging_1081/kartor/A 7842-2023 karta.png", "A 7842-2023")</f>
        <v/>
      </c>
      <c r="Y174">
        <f>HYPERLINK("https://klasma.github.io/Logging_1081/klagomål/A 7842-2023 FSC-klagomål.docx", "A 7842-2023")</f>
        <v/>
      </c>
      <c r="Z174">
        <f>HYPERLINK("https://klasma.github.io/Logging_1081/klagomålsmail/A 7842-2023 FSC-klagomål mail.docx", "A 7842-2023")</f>
        <v/>
      </c>
      <c r="AA174">
        <f>HYPERLINK("https://klasma.github.io/Logging_1081/tillsyn/A 7842-2023 tillsynsbegäran.docx", "A 7842-2023")</f>
        <v/>
      </c>
      <c r="AB174">
        <f>HYPERLINK("https://klasma.github.io/Logging_1081/tillsynsmail/A 7842-2023 tillsynsbegäran mail.docx", "A 7842-2023")</f>
        <v/>
      </c>
    </row>
    <row r="175" ht="15" customHeight="1">
      <c r="A175" t="inlineStr">
        <is>
          <t>A 14598-2022</t>
        </is>
      </c>
      <c r="B175" t="inlineStr">
        <is>
          <t>avverkningsanmälan</t>
        </is>
      </c>
      <c r="C175" t="inlineStr">
        <is>
          <t>Föryngringsavverkning</t>
        </is>
      </c>
      <c r="D175" s="1" t="n">
        <v>44655</v>
      </c>
      <c r="E175" s="1" t="n">
        <v>46216</v>
      </c>
      <c r="F175" t="inlineStr">
        <is>
          <t>BLEKINGE LÄN</t>
        </is>
      </c>
      <c r="G175" t="inlineStr">
        <is>
          <t>KARLSHAMN</t>
        </is>
      </c>
      <c r="I175" t="n">
        <v>1.9</v>
      </c>
      <c r="J175" t="n">
        <v>0</v>
      </c>
      <c r="K175" t="n">
        <v>1</v>
      </c>
      <c r="L175" t="n">
        <v>0</v>
      </c>
      <c r="M175" t="n">
        <v>0</v>
      </c>
      <c r="N175" t="n">
        <v>0</v>
      </c>
      <c r="O175" t="n">
        <v>0</v>
      </c>
      <c r="P175" t="n">
        <v>0</v>
      </c>
      <c r="Q175" t="n">
        <v>0</v>
      </c>
      <c r="R175" t="n">
        <v>0</v>
      </c>
      <c r="S175" t="n">
        <v>1</v>
      </c>
      <c r="T175" t="n">
        <v>1</v>
      </c>
      <c r="U175" s="2" t="inlineStr">
        <is>
          <t>Tibast</t>
        </is>
      </c>
      <c r="V175">
        <f>HYPERLINK("https://klasma.github.io/Logging_1082/artfynd/A 14598-2022 artfynd.xlsx", "A 14598-2022")</f>
        <v/>
      </c>
      <c r="W175">
        <f>HYPERLINK("https://klasma.github.io/Logging_1082/kartor/A 14598-2022 karta.png", "A 14598-2022")</f>
        <v/>
      </c>
      <c r="Y175">
        <f>HYPERLINK("https://klasma.github.io/Logging_1082/klagomål/A 14598-2022 FSC-klagomål.docx", "A 14598-2022")</f>
        <v/>
      </c>
      <c r="Z175">
        <f>HYPERLINK("https://klasma.github.io/Logging_1082/klagomålsmail/A 14598-2022 FSC-klagomål mail.docx", "A 14598-2022")</f>
        <v/>
      </c>
      <c r="AA175">
        <f>HYPERLINK("https://klasma.github.io/Logging_1082/tillsyn/A 14598-2022 tillsynsbegäran.docx", "A 14598-2022")</f>
        <v/>
      </c>
      <c r="AB175">
        <f>HYPERLINK("https://klasma.github.io/Logging_1082/tillsynsmail/A 14598-2022 tillsynsbegäran mail.docx", "A 14598-2022")</f>
        <v/>
      </c>
    </row>
    <row r="176" ht="15" customHeight="1">
      <c r="A176" t="inlineStr">
        <is>
          <t>A 9922-2025</t>
        </is>
      </c>
      <c r="B176" t="inlineStr">
        <is>
          <t>avverkningsanmälan</t>
        </is>
      </c>
      <c r="C176" t="inlineStr">
        <is>
          <t>Föryngringsavverkning</t>
        </is>
      </c>
      <c r="D176" s="1" t="n">
        <v>45717</v>
      </c>
      <c r="E176" s="1" t="n">
        <v>46216</v>
      </c>
      <c r="F176" t="inlineStr">
        <is>
          <t>BLEKINGE LÄN</t>
        </is>
      </c>
      <c r="G176" t="inlineStr">
        <is>
          <t>RONNEBY</t>
        </is>
      </c>
      <c r="I176" t="n">
        <v>2.3</v>
      </c>
      <c r="J176" t="n">
        <v>0</v>
      </c>
      <c r="K176" t="n">
        <v>1</v>
      </c>
      <c r="L176" t="n">
        <v>0</v>
      </c>
      <c r="M176" t="n">
        <v>0</v>
      </c>
      <c r="N176" t="n">
        <v>0</v>
      </c>
      <c r="O176" t="n">
        <v>0</v>
      </c>
      <c r="P176" t="n">
        <v>0</v>
      </c>
      <c r="Q176" t="n">
        <v>0</v>
      </c>
      <c r="R176" t="n">
        <v>0</v>
      </c>
      <c r="S176" t="n">
        <v>1</v>
      </c>
      <c r="T176" t="n">
        <v>1</v>
      </c>
      <c r="U176" s="2" t="inlineStr">
        <is>
          <t>Trädporella</t>
        </is>
      </c>
      <c r="V176">
        <f>HYPERLINK("https://klasma.github.io/Logging_1081/artfynd/A 9922-2025 artfynd.xlsx", "A 9922-2025")</f>
        <v/>
      </c>
      <c r="W176">
        <f>HYPERLINK("https://klasma.github.io/Logging_1081/kartor/A 9922-2025 karta.png", "A 9922-2025")</f>
        <v/>
      </c>
      <c r="Y176">
        <f>HYPERLINK("https://klasma.github.io/Logging_1081/klagomål/A 9922-2025 FSC-klagomål.docx", "A 9922-2025")</f>
        <v/>
      </c>
      <c r="Z176">
        <f>HYPERLINK("https://klasma.github.io/Logging_1081/klagomålsmail/A 9922-2025 FSC-klagomål mail.docx", "A 9922-2025")</f>
        <v/>
      </c>
      <c r="AA176">
        <f>HYPERLINK("https://klasma.github.io/Logging_1081/tillsyn/A 9922-2025 tillsynsbegäran.docx", "A 9922-2025")</f>
        <v/>
      </c>
      <c r="AB176">
        <f>HYPERLINK("https://klasma.github.io/Logging_1081/tillsynsmail/A 9922-2025 tillsynsbegäran mail.docx", "A 9922-2025")</f>
        <v/>
      </c>
    </row>
    <row r="177" ht="15" customHeight="1">
      <c r="A177" t="inlineStr">
        <is>
          <t>A 14940-2023</t>
        </is>
      </c>
      <c r="B177" t="inlineStr">
        <is>
          <t>avverkningsanmälan</t>
        </is>
      </c>
      <c r="C177" t="inlineStr">
        <is>
          <t>Föryngringsavverkning</t>
        </is>
      </c>
      <c r="D177" s="1" t="n">
        <v>45012</v>
      </c>
      <c r="E177" s="1" t="n">
        <v>46216</v>
      </c>
      <c r="F177" t="inlineStr">
        <is>
          <t>BLEKINGE LÄN</t>
        </is>
      </c>
      <c r="G177" t="inlineStr">
        <is>
          <t>RONNEBY</t>
        </is>
      </c>
      <c r="H177" t="inlineStr">
        <is>
          <t>Övriga statliga verk och myndigheter</t>
        </is>
      </c>
      <c r="I177" t="n">
        <v>5</v>
      </c>
      <c r="J177" t="n">
        <v>0</v>
      </c>
      <c r="K177" t="n">
        <v>0</v>
      </c>
      <c r="L177" t="n">
        <v>1</v>
      </c>
      <c r="M177" t="n">
        <v>0</v>
      </c>
      <c r="N177" t="n">
        <v>0</v>
      </c>
      <c r="O177" t="n">
        <v>0</v>
      </c>
      <c r="P177" t="n">
        <v>0</v>
      </c>
      <c r="Q177" t="n">
        <v>1</v>
      </c>
      <c r="R177" t="n">
        <v>0</v>
      </c>
      <c r="S177" t="n">
        <v>1</v>
      </c>
      <c r="T177" t="n">
        <v>1</v>
      </c>
      <c r="U177" s="2" t="inlineStr">
        <is>
          <t>Grönhjon</t>
        </is>
      </c>
      <c r="V177">
        <f>HYPERLINK("https://klasma.github.io/Logging_1081/artfynd/A 14940-2023 artfynd.xlsx", "A 14940-2023")</f>
        <v/>
      </c>
      <c r="W177">
        <f>HYPERLINK("https://klasma.github.io/Logging_1081/kartor/A 14940-2023 karta.png", "A 14940-2023")</f>
        <v/>
      </c>
      <c r="Y177">
        <f>HYPERLINK("https://klasma.github.io/Logging_1081/klagomål/A 14940-2023 FSC-klagomål.docx", "A 14940-2023")</f>
        <v/>
      </c>
      <c r="Z177">
        <f>HYPERLINK("https://klasma.github.io/Logging_1081/klagomålsmail/A 14940-2023 FSC-klagomål mail.docx", "A 14940-2023")</f>
        <v/>
      </c>
      <c r="AA177">
        <f>HYPERLINK("https://klasma.github.io/Logging_1081/tillsyn/A 14940-2023 tillsynsbegäran.docx", "A 14940-2023")</f>
        <v/>
      </c>
      <c r="AB177">
        <f>HYPERLINK("https://klasma.github.io/Logging_1081/tillsynsmail/A 14940-2023 tillsynsbegäran mail.docx", "A 14940-2023")</f>
        <v/>
      </c>
    </row>
    <row r="178" ht="15" customHeight="1">
      <c r="A178" t="inlineStr">
        <is>
          <t>A 24942-2023</t>
        </is>
      </c>
      <c r="B178" t="inlineStr">
        <is>
          <t>avverkningsanmälan</t>
        </is>
      </c>
      <c r="C178" t="inlineStr">
        <is>
          <t>Föryngringsavverkning</t>
        </is>
      </c>
      <c r="D178" s="1" t="n">
        <v>45085</v>
      </c>
      <c r="E178" s="1" t="n">
        <v>46216</v>
      </c>
      <c r="F178" t="inlineStr">
        <is>
          <t>BLEKINGE LÄN</t>
        </is>
      </c>
      <c r="G178" t="inlineStr">
        <is>
          <t>KARLSKRONA</t>
        </is>
      </c>
      <c r="I178" t="n">
        <v>1.4</v>
      </c>
      <c r="J178" t="n">
        <v>0</v>
      </c>
      <c r="K178" t="n">
        <v>0</v>
      </c>
      <c r="L178" t="n">
        <v>0</v>
      </c>
      <c r="M178" t="n">
        <v>1</v>
      </c>
      <c r="N178" t="n">
        <v>0</v>
      </c>
      <c r="O178" t="n">
        <v>0</v>
      </c>
      <c r="P178" t="n">
        <v>0</v>
      </c>
      <c r="Q178" t="n">
        <v>1</v>
      </c>
      <c r="R178" t="n">
        <v>1</v>
      </c>
      <c r="S178" t="n">
        <v>1</v>
      </c>
      <c r="T178" t="n">
        <v>1</v>
      </c>
      <c r="U178" s="2" t="inlineStr">
        <is>
          <t>Stortimjan</t>
        </is>
      </c>
      <c r="V178">
        <f>HYPERLINK("https://klasma.github.io/Logging_1080/artfynd/A 24942-2023 artfynd.xlsx", "A 24942-2023")</f>
        <v/>
      </c>
      <c r="W178">
        <f>HYPERLINK("https://klasma.github.io/Logging_1080/kartor/A 24942-2023 karta.png", "A 24942-2023")</f>
        <v/>
      </c>
      <c r="Y178">
        <f>HYPERLINK("https://klasma.github.io/Logging_1080/klagomål/A 24942-2023 FSC-klagomål.docx", "A 24942-2023")</f>
        <v/>
      </c>
      <c r="Z178">
        <f>HYPERLINK("https://klasma.github.io/Logging_1080/klagomålsmail/A 24942-2023 FSC-klagomål mail.docx", "A 24942-2023")</f>
        <v/>
      </c>
      <c r="AA178">
        <f>HYPERLINK("https://klasma.github.io/Logging_1080/tillsyn/A 24942-2023 tillsynsbegäran.docx", "A 24942-2023")</f>
        <v/>
      </c>
      <c r="AB178">
        <f>HYPERLINK("https://klasma.github.io/Logging_1080/tillsynsmail/A 24942-2023 tillsynsbegäran mail.docx", "A 24942-2023")</f>
        <v/>
      </c>
    </row>
    <row r="179" ht="15" customHeight="1">
      <c r="A179" t="inlineStr">
        <is>
          <t>A 49574-2022</t>
        </is>
      </c>
      <c r="B179" t="inlineStr">
        <is>
          <t>avverkningsanmälan</t>
        </is>
      </c>
      <c r="C179" t="inlineStr">
        <is>
          <t>Föryngringsavverkning</t>
        </is>
      </c>
      <c r="D179" s="1" t="n">
        <v>44862</v>
      </c>
      <c r="E179" s="1" t="n">
        <v>46216</v>
      </c>
      <c r="F179" t="inlineStr">
        <is>
          <t>BLEKINGE LÄN</t>
        </is>
      </c>
      <c r="G179" t="inlineStr">
        <is>
          <t>KARLSHAMN</t>
        </is>
      </c>
      <c r="H179" t="inlineStr">
        <is>
          <t>Sveaskog</t>
        </is>
      </c>
      <c r="I179" t="n">
        <v>3.4</v>
      </c>
      <c r="J179" t="n">
        <v>1</v>
      </c>
      <c r="K179" t="n">
        <v>0</v>
      </c>
      <c r="L179" t="n">
        <v>0</v>
      </c>
      <c r="M179" t="n">
        <v>0</v>
      </c>
      <c r="N179" t="n">
        <v>0</v>
      </c>
      <c r="O179" t="n">
        <v>0</v>
      </c>
      <c r="P179" t="n">
        <v>0</v>
      </c>
      <c r="Q179" t="n">
        <v>0</v>
      </c>
      <c r="R179" t="n">
        <v>0</v>
      </c>
      <c r="S179" t="n">
        <v>1</v>
      </c>
      <c r="T179" t="n">
        <v>1</v>
      </c>
      <c r="U179" s="2" t="inlineStr">
        <is>
          <t>Utter</t>
        </is>
      </c>
      <c r="V179">
        <f>HYPERLINK("https://klasma.github.io/Logging_1082/artfynd/A 49574-2022 artfynd.xlsx", "A 49574-2022")</f>
        <v/>
      </c>
      <c r="W179">
        <f>HYPERLINK("https://klasma.github.io/Logging_1082/kartor/A 49574-2022 karta.png", "A 49574-2022")</f>
        <v/>
      </c>
      <c r="Y179">
        <f>HYPERLINK("https://klasma.github.io/Logging_1082/klagomål/A 49574-2022 FSC-klagomål.docx", "A 49574-2022")</f>
        <v/>
      </c>
      <c r="Z179">
        <f>HYPERLINK("https://klasma.github.io/Logging_1082/klagomålsmail/A 49574-2022 FSC-klagomål mail.docx", "A 49574-2022")</f>
        <v/>
      </c>
      <c r="AA179">
        <f>HYPERLINK("https://klasma.github.io/Logging_1082/tillsyn/A 49574-2022 tillsynsbegäran.docx", "A 49574-2022")</f>
        <v/>
      </c>
      <c r="AB179">
        <f>HYPERLINK("https://klasma.github.io/Logging_1082/tillsynsmail/A 49574-2022 tillsynsbegäran mail.docx", "A 49574-2022")</f>
        <v/>
      </c>
    </row>
    <row r="180" ht="15" customHeight="1">
      <c r="A180" t="inlineStr">
        <is>
          <t>A 21446-2023</t>
        </is>
      </c>
      <c r="B180" t="inlineStr">
        <is>
          <t>avverkningsanmälan</t>
        </is>
      </c>
      <c r="C180" t="inlineStr">
        <is>
          <t>Föryngringsavverkning</t>
        </is>
      </c>
      <c r="D180" s="1" t="n">
        <v>45063</v>
      </c>
      <c r="E180" s="1" t="n">
        <v>46216</v>
      </c>
      <c r="F180" t="inlineStr">
        <is>
          <t>BLEKINGE LÄN</t>
        </is>
      </c>
      <c r="G180" t="inlineStr">
        <is>
          <t>RONNEBY</t>
        </is>
      </c>
      <c r="H180" t="inlineStr">
        <is>
          <t>Kommuner</t>
        </is>
      </c>
      <c r="I180" t="n">
        <v>2</v>
      </c>
      <c r="J180" t="n">
        <v>1</v>
      </c>
      <c r="K180" t="n">
        <v>0</v>
      </c>
      <c r="L180" t="n">
        <v>0</v>
      </c>
      <c r="M180" t="n">
        <v>0</v>
      </c>
      <c r="N180" t="n">
        <v>0</v>
      </c>
      <c r="O180" t="n">
        <v>0</v>
      </c>
      <c r="P180" t="n">
        <v>0</v>
      </c>
      <c r="Q180" t="n">
        <v>0</v>
      </c>
      <c r="R180" t="n">
        <v>0</v>
      </c>
      <c r="S180" t="n">
        <v>1</v>
      </c>
      <c r="T180" t="n">
        <v>1</v>
      </c>
      <c r="U180" s="2" t="inlineStr">
        <is>
          <t>Utter</t>
        </is>
      </c>
      <c r="V180">
        <f>HYPERLINK("https://klasma.github.io/Logging_1081/artfynd/A 21446-2023 artfynd.xlsx", "A 21446-2023")</f>
        <v/>
      </c>
      <c r="W180">
        <f>HYPERLINK("https://klasma.github.io/Logging_1081/kartor/A 21446-2023 karta.png", "A 21446-2023")</f>
        <v/>
      </c>
      <c r="Y180">
        <f>HYPERLINK("https://klasma.github.io/Logging_1081/klagomål/A 21446-2023 FSC-klagomål.docx", "A 21446-2023")</f>
        <v/>
      </c>
      <c r="Z180">
        <f>HYPERLINK("https://klasma.github.io/Logging_1081/klagomålsmail/A 21446-2023 FSC-klagomål mail.docx", "A 21446-2023")</f>
        <v/>
      </c>
      <c r="AA180">
        <f>HYPERLINK("https://klasma.github.io/Logging_1081/tillsyn/A 21446-2023 tillsynsbegäran.docx", "A 21446-2023")</f>
        <v/>
      </c>
      <c r="AB180">
        <f>HYPERLINK("https://klasma.github.io/Logging_1081/tillsynsmail/A 21446-2023 tillsynsbegäran mail.docx", "A 21446-2023")</f>
        <v/>
      </c>
    </row>
    <row r="181" ht="15" customHeight="1">
      <c r="A181" t="inlineStr">
        <is>
          <t>A 48309-2024</t>
        </is>
      </c>
      <c r="B181" t="inlineStr">
        <is>
          <t>avverkningsanmälan</t>
        </is>
      </c>
      <c r="C181" t="inlineStr">
        <is>
          <t>Föryngringsavverkning</t>
        </is>
      </c>
      <c r="D181" s="1" t="n">
        <v>45590</v>
      </c>
      <c r="E181" s="1" t="n">
        <v>46216</v>
      </c>
      <c r="F181" t="inlineStr">
        <is>
          <t>BLEKINGE LÄN</t>
        </is>
      </c>
      <c r="G181" t="inlineStr">
        <is>
          <t>SÖLVESBORG</t>
        </is>
      </c>
      <c r="I181" t="n">
        <v>1.5</v>
      </c>
      <c r="J181" t="n">
        <v>1</v>
      </c>
      <c r="K181" t="n">
        <v>0</v>
      </c>
      <c r="L181" t="n">
        <v>0</v>
      </c>
      <c r="M181" t="n">
        <v>0</v>
      </c>
      <c r="N181" t="n">
        <v>0</v>
      </c>
      <c r="O181" t="n">
        <v>0</v>
      </c>
      <c r="P181" t="n">
        <v>0</v>
      </c>
      <c r="Q181" t="n">
        <v>0</v>
      </c>
      <c r="R181" t="n">
        <v>0</v>
      </c>
      <c r="S181" t="n">
        <v>1</v>
      </c>
      <c r="T181" t="n">
        <v>1</v>
      </c>
      <c r="U181" s="2" t="inlineStr">
        <is>
          <t>Revlummer</t>
        </is>
      </c>
      <c r="V181">
        <f>HYPERLINK("https://klasma.github.io/Logging_1083/artfynd/A 48309-2024 artfynd.xlsx", "A 48309-2024")</f>
        <v/>
      </c>
      <c r="W181">
        <f>HYPERLINK("https://klasma.github.io/Logging_1083/kartor/A 48309-2024 karta.png", "A 48309-2024")</f>
        <v/>
      </c>
      <c r="Y181">
        <f>HYPERLINK("https://klasma.github.io/Logging_1083/klagomål/A 48309-2024 FSC-klagomål.docx", "A 48309-2024")</f>
        <v/>
      </c>
      <c r="Z181">
        <f>HYPERLINK("https://klasma.github.io/Logging_1083/klagomålsmail/A 48309-2024 FSC-klagomål mail.docx", "A 48309-2024")</f>
        <v/>
      </c>
      <c r="AA181">
        <f>HYPERLINK("https://klasma.github.io/Logging_1083/tillsyn/A 48309-2024 tillsynsbegäran.docx", "A 48309-2024")</f>
        <v/>
      </c>
      <c r="AB181">
        <f>HYPERLINK("https://klasma.github.io/Logging_1083/tillsynsmail/A 48309-2024 tillsynsbegäran mail.docx", "A 48309-2024")</f>
        <v/>
      </c>
    </row>
    <row r="182" ht="15" customHeight="1">
      <c r="A182" t="inlineStr">
        <is>
          <t>A 56476-2024</t>
        </is>
      </c>
      <c r="B182" t="inlineStr">
        <is>
          <t>avverkningsanmälan</t>
        </is>
      </c>
      <c r="C182" t="inlineStr">
        <is>
          <t>Föryngringsavverkning</t>
        </is>
      </c>
      <c r="D182" s="1" t="n">
        <v>45625</v>
      </c>
      <c r="E182" s="1" t="n">
        <v>46216</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s="2" t="inlineStr">
        <is>
          <t>Ask</t>
        </is>
      </c>
      <c r="V182">
        <f>HYPERLINK("https://klasma.github.io/Logging_1080/artfynd/A 56476-2024 artfynd.xlsx", "A 56476-2024")</f>
        <v/>
      </c>
      <c r="W182">
        <f>HYPERLINK("https://klasma.github.io/Logging_1080/kartor/A 56476-2024 karta.png", "A 56476-2024")</f>
        <v/>
      </c>
      <c r="Y182">
        <f>HYPERLINK("https://klasma.github.io/Logging_1080/klagomål/A 56476-2024 FSC-klagomål.docx", "A 56476-2024")</f>
        <v/>
      </c>
      <c r="Z182">
        <f>HYPERLINK("https://klasma.github.io/Logging_1080/klagomålsmail/A 56476-2024 FSC-klagomål mail.docx", "A 56476-2024")</f>
        <v/>
      </c>
      <c r="AA182">
        <f>HYPERLINK("https://klasma.github.io/Logging_1080/tillsyn/A 56476-2024 tillsynsbegäran.docx", "A 56476-2024")</f>
        <v/>
      </c>
      <c r="AB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46216</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s="2" t="inlineStr">
        <is>
          <t>Långbensgroda</t>
        </is>
      </c>
      <c r="V183">
        <f>HYPERLINK("https://klasma.github.io/Logging_1080/artfynd/A 51085-2024 artfynd.xlsx", "A 51085-2024")</f>
        <v/>
      </c>
      <c r="W183">
        <f>HYPERLINK("https://klasma.github.io/Logging_1080/kartor/A 51085-2024 karta.png", "A 51085-2024")</f>
        <v/>
      </c>
      <c r="Y183">
        <f>HYPERLINK("https://klasma.github.io/Logging_1080/klagomål/A 51085-2024 FSC-klagomål.docx", "A 51085-2024")</f>
        <v/>
      </c>
      <c r="Z183">
        <f>HYPERLINK("https://klasma.github.io/Logging_1080/klagomålsmail/A 51085-2024 FSC-klagomål mail.docx", "A 51085-2024")</f>
        <v/>
      </c>
      <c r="AA183">
        <f>HYPERLINK("https://klasma.github.io/Logging_1080/tillsyn/A 51085-2024 tillsynsbegäran.docx", "A 51085-2024")</f>
        <v/>
      </c>
      <c r="AB183">
        <f>HYPERLINK("https://klasma.github.io/Logging_1080/tillsynsmail/A 51085-2024 tillsynsbegäran mail.docx", "A 51085-2024")</f>
        <v/>
      </c>
    </row>
    <row r="184" ht="15" customHeight="1">
      <c r="A184" t="inlineStr">
        <is>
          <t>A 24296-2024</t>
        </is>
      </c>
      <c r="B184" t="inlineStr">
        <is>
          <t>avverkningsanmälan</t>
        </is>
      </c>
      <c r="C184" t="inlineStr">
        <is>
          <t>Föryngringsavverkning</t>
        </is>
      </c>
      <c r="D184" s="1" t="n">
        <v>45457</v>
      </c>
      <c r="E184" s="1" t="n">
        <v>46216</v>
      </c>
      <c r="F184" t="inlineStr">
        <is>
          <t>BLEKINGE LÄN</t>
        </is>
      </c>
      <c r="G184" t="inlineStr">
        <is>
          <t>RONNEBY</t>
        </is>
      </c>
      <c r="I184" t="n">
        <v>12.7</v>
      </c>
      <c r="J184" t="n">
        <v>1</v>
      </c>
      <c r="K184" t="n">
        <v>0</v>
      </c>
      <c r="L184" t="n">
        <v>0</v>
      </c>
      <c r="M184" t="n">
        <v>0</v>
      </c>
      <c r="N184" t="n">
        <v>0</v>
      </c>
      <c r="O184" t="n">
        <v>0</v>
      </c>
      <c r="P184" t="n">
        <v>0</v>
      </c>
      <c r="Q184" t="n">
        <v>0</v>
      </c>
      <c r="R184" t="n">
        <v>0</v>
      </c>
      <c r="S184" t="n">
        <v>1</v>
      </c>
      <c r="T184" t="n">
        <v>1</v>
      </c>
      <c r="U184" s="2" t="inlineStr">
        <is>
          <t>Blåsippa</t>
        </is>
      </c>
      <c r="V184">
        <f>HYPERLINK("https://klasma.github.io/Logging_1081/artfynd/A 24296-2024 artfynd.xlsx", "A 24296-2024")</f>
        <v/>
      </c>
      <c r="W184">
        <f>HYPERLINK("https://klasma.github.io/Logging_1081/kartor/A 24296-2024 karta.png", "A 24296-2024")</f>
        <v/>
      </c>
      <c r="Y184">
        <f>HYPERLINK("https://klasma.github.io/Logging_1081/klagomål/A 24296-2024 FSC-klagomål.docx", "A 24296-2024")</f>
        <v/>
      </c>
      <c r="Z184">
        <f>HYPERLINK("https://klasma.github.io/Logging_1081/klagomålsmail/A 24296-2024 FSC-klagomål mail.docx", "A 24296-2024")</f>
        <v/>
      </c>
      <c r="AA184">
        <f>HYPERLINK("https://klasma.github.io/Logging_1081/tillsyn/A 24296-2024 tillsynsbegäran.docx", "A 24296-2024")</f>
        <v/>
      </c>
      <c r="AB184">
        <f>HYPERLINK("https://klasma.github.io/Logging_1081/tillsynsmail/A 24296-2024 tillsynsbegäran mail.docx", "A 24296-2024")</f>
        <v/>
      </c>
    </row>
    <row r="185" ht="15" customHeight="1">
      <c r="A185" t="inlineStr">
        <is>
          <t>A 6431-2025</t>
        </is>
      </c>
      <c r="B185" t="inlineStr">
        <is>
          <t>avverkningsanmälan</t>
        </is>
      </c>
      <c r="C185" t="inlineStr">
        <is>
          <t>Föryngringsavverkning</t>
        </is>
      </c>
      <c r="D185" s="1" t="n">
        <v>45699</v>
      </c>
      <c r="E185" s="1" t="n">
        <v>46216</v>
      </c>
      <c r="F185" t="inlineStr">
        <is>
          <t>BLEKINGE LÄN</t>
        </is>
      </c>
      <c r="G185" t="inlineStr">
        <is>
          <t>RONNEBY</t>
        </is>
      </c>
      <c r="I185" t="n">
        <v>1.1</v>
      </c>
      <c r="J185" t="n">
        <v>0</v>
      </c>
      <c r="K185" t="n">
        <v>0</v>
      </c>
      <c r="L185" t="n">
        <v>0</v>
      </c>
      <c r="M185" t="n">
        <v>1</v>
      </c>
      <c r="N185" t="n">
        <v>0</v>
      </c>
      <c r="O185" t="n">
        <v>0</v>
      </c>
      <c r="P185" t="n">
        <v>0</v>
      </c>
      <c r="Q185" t="n">
        <v>1</v>
      </c>
      <c r="R185" t="n">
        <v>1</v>
      </c>
      <c r="S185" t="n">
        <v>1</v>
      </c>
      <c r="T185" t="n">
        <v>1</v>
      </c>
      <c r="U185" s="2" t="inlineStr">
        <is>
          <t>Igelkott</t>
        </is>
      </c>
      <c r="V185">
        <f>HYPERLINK("https://klasma.github.io/Logging_1081/artfynd/A 6431-2025 artfynd.xlsx", "A 6431-2025")</f>
        <v/>
      </c>
      <c r="W185">
        <f>HYPERLINK("https://klasma.github.io/Logging_1081/kartor/A 6431-2025 karta.png", "A 6431-2025")</f>
        <v/>
      </c>
      <c r="Y185">
        <f>HYPERLINK("https://klasma.github.io/Logging_1081/klagomål/A 6431-2025 FSC-klagomål.docx", "A 6431-2025")</f>
        <v/>
      </c>
      <c r="Z185">
        <f>HYPERLINK("https://klasma.github.io/Logging_1081/klagomålsmail/A 6431-2025 FSC-klagomål mail.docx", "A 6431-2025")</f>
        <v/>
      </c>
      <c r="AA185">
        <f>HYPERLINK("https://klasma.github.io/Logging_1081/tillsyn/A 6431-2025 tillsynsbegäran.docx", "A 6431-2025")</f>
        <v/>
      </c>
      <c r="AB185">
        <f>HYPERLINK("https://klasma.github.io/Logging_1081/tillsynsmail/A 6431-2025 tillsynsbegäran mail.docx", "A 6431-2025")</f>
        <v/>
      </c>
    </row>
    <row r="186" ht="15" customHeight="1">
      <c r="A186" t="inlineStr">
        <is>
          <t>A 27763-2024</t>
        </is>
      </c>
      <c r="B186" t="inlineStr">
        <is>
          <t>avverkningsanmälan</t>
        </is>
      </c>
      <c r="C186" t="inlineStr">
        <is>
          <t>Avverkning för att bevara och utveckla /försöksver</t>
        </is>
      </c>
      <c r="D186" s="1" t="n">
        <v>45475</v>
      </c>
      <c r="E186" s="1" t="n">
        <v>46216</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s="2" t="inlineStr">
        <is>
          <t>Långbensgroda</t>
        </is>
      </c>
      <c r="V186">
        <f>HYPERLINK("https://klasma.github.io/Logging_1080/artfynd/A 27763-2024 artfynd.xlsx", "A 27763-2024")</f>
        <v/>
      </c>
      <c r="W186">
        <f>HYPERLINK("https://klasma.github.io/Logging_1080/kartor/A 27763-2024 karta.png", "A 27763-2024")</f>
        <v/>
      </c>
      <c r="Y186">
        <f>HYPERLINK("https://klasma.github.io/Logging_1080/klagomål/A 27763-2024 FSC-klagomål.docx", "A 27763-2024")</f>
        <v/>
      </c>
      <c r="Z186">
        <f>HYPERLINK("https://klasma.github.io/Logging_1080/klagomålsmail/A 27763-2024 FSC-klagomål mail.docx", "A 27763-2024")</f>
        <v/>
      </c>
      <c r="AA186">
        <f>HYPERLINK("https://klasma.github.io/Logging_1080/tillsyn/A 27763-2024 tillsynsbegäran.docx", "A 27763-2024")</f>
        <v/>
      </c>
      <c r="AB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46216</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s="2" t="inlineStr">
        <is>
          <t>Brandticka</t>
        </is>
      </c>
      <c r="V187">
        <f>HYPERLINK("https://klasma.github.io/Logging_1060/artfynd/A 56583-2024 artfynd.xlsx", "A 56583-2024")</f>
        <v/>
      </c>
      <c r="W187">
        <f>HYPERLINK("https://klasma.github.io/Logging_1060/kartor/A 56583-2024 karta.png", "A 56583-2024")</f>
        <v/>
      </c>
      <c r="Y187">
        <f>HYPERLINK("https://klasma.github.io/Logging_1060/klagomål/A 56583-2024 FSC-klagomål.docx", "A 56583-2024")</f>
        <v/>
      </c>
      <c r="Z187">
        <f>HYPERLINK("https://klasma.github.io/Logging_1060/klagomålsmail/A 56583-2024 FSC-klagomål mail.docx", "A 56583-2024")</f>
        <v/>
      </c>
      <c r="AA187">
        <f>HYPERLINK("https://klasma.github.io/Logging_1060/tillsyn/A 56583-2024 tillsynsbegäran.docx", "A 56583-2024")</f>
        <v/>
      </c>
      <c r="AB187">
        <f>HYPERLINK("https://klasma.github.io/Logging_1060/tillsynsmail/A 56583-2024 tillsynsbegäran mail.docx", "A 56583-2024")</f>
        <v/>
      </c>
    </row>
    <row r="188" ht="15" customHeight="1">
      <c r="A188" t="inlineStr">
        <is>
          <t>A 33549-2023</t>
        </is>
      </c>
      <c r="B188" t="inlineStr">
        <is>
          <t>avverkningsanmälan</t>
        </is>
      </c>
      <c r="C188" t="inlineStr">
        <is>
          <t>Föryngringsavverkning</t>
        </is>
      </c>
      <c r="D188" s="1" t="n">
        <v>45118</v>
      </c>
      <c r="E188" s="1" t="n">
        <v>46216</v>
      </c>
      <c r="F188" t="inlineStr">
        <is>
          <t>BLEKINGE LÄN</t>
        </is>
      </c>
      <c r="G188" t="inlineStr">
        <is>
          <t>KARLSHAMN</t>
        </is>
      </c>
      <c r="I188" t="n">
        <v>1.6</v>
      </c>
      <c r="J188" t="n">
        <v>0</v>
      </c>
      <c r="K188" t="n">
        <v>1</v>
      </c>
      <c r="L188" t="n">
        <v>0</v>
      </c>
      <c r="M188" t="n">
        <v>0</v>
      </c>
      <c r="N188" t="n">
        <v>0</v>
      </c>
      <c r="O188" t="n">
        <v>0</v>
      </c>
      <c r="P188" t="n">
        <v>0</v>
      </c>
      <c r="Q188" t="n">
        <v>0</v>
      </c>
      <c r="R188" t="n">
        <v>0</v>
      </c>
      <c r="S188" t="n">
        <v>1</v>
      </c>
      <c r="T188" t="n">
        <v>1</v>
      </c>
      <c r="U188" s="2" t="inlineStr">
        <is>
          <t>Fjällsopp</t>
        </is>
      </c>
      <c r="V188">
        <f>HYPERLINK("https://klasma.github.io/Logging_1082/artfynd/A 33549-2023 artfynd.xlsx", "A 33549-2023")</f>
        <v/>
      </c>
      <c r="W188">
        <f>HYPERLINK("https://klasma.github.io/Logging_1082/kartor/A 33549-2023 karta.png", "A 33549-2023")</f>
        <v/>
      </c>
      <c r="Y188">
        <f>HYPERLINK("https://klasma.github.io/Logging_1082/klagomål/A 33549-2023 FSC-klagomål.docx", "A 33549-2023")</f>
        <v/>
      </c>
      <c r="Z188">
        <f>HYPERLINK("https://klasma.github.io/Logging_1082/klagomålsmail/A 33549-2023 FSC-klagomål mail.docx", "A 33549-2023")</f>
        <v/>
      </c>
      <c r="AA188">
        <f>HYPERLINK("https://klasma.github.io/Logging_1082/tillsyn/A 33549-2023 tillsynsbegäran.docx", "A 33549-2023")</f>
        <v/>
      </c>
      <c r="AB188">
        <f>HYPERLINK("https://klasma.github.io/Logging_1082/tillsynsmail/A 33549-2023 tillsynsbegäran mail.docx", "A 33549-2023")</f>
        <v/>
      </c>
    </row>
    <row r="189" ht="15" customHeight="1">
      <c r="A189" t="inlineStr">
        <is>
          <t>A 38228-2024</t>
        </is>
      </c>
      <c r="B189" t="inlineStr">
        <is>
          <t>avverkningsanmälan</t>
        </is>
      </c>
      <c r="C189" t="inlineStr">
        <is>
          <t>Föryngringsavverkning</t>
        </is>
      </c>
      <c r="D189" s="1" t="n">
        <v>45545</v>
      </c>
      <c r="E189" s="1" t="n">
        <v>46216</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s="2" t="inlineStr">
        <is>
          <t>Hasselsnok</t>
        </is>
      </c>
      <c r="V189">
        <f>HYPERLINK("https://klasma.github.io/Logging_1081/artfynd/A 38228-2024 artfynd.xlsx", "A 38228-2024")</f>
        <v/>
      </c>
      <c r="W189">
        <f>HYPERLINK("https://klasma.github.io/Logging_1081/kartor/A 38228-2024 karta.png", "A 38228-2024")</f>
        <v/>
      </c>
      <c r="Y189">
        <f>HYPERLINK("https://klasma.github.io/Logging_1081/klagomål/A 38228-2024 FSC-klagomål.docx", "A 38228-2024")</f>
        <v/>
      </c>
      <c r="Z189">
        <f>HYPERLINK("https://klasma.github.io/Logging_1081/klagomålsmail/A 38228-2024 FSC-klagomål mail.docx", "A 38228-2024")</f>
        <v/>
      </c>
      <c r="AA189">
        <f>HYPERLINK("https://klasma.github.io/Logging_1081/tillsyn/A 38228-2024 tillsynsbegäran.docx", "A 38228-2024")</f>
        <v/>
      </c>
      <c r="AB189">
        <f>HYPERLINK("https://klasma.github.io/Logging_1081/tillsynsmail/A 38228-2024 tillsynsbegäran mail.docx", "A 38228-2024")</f>
        <v/>
      </c>
    </row>
    <row r="190" ht="15" customHeight="1">
      <c r="A190" t="inlineStr">
        <is>
          <t>S 365-2023</t>
        </is>
      </c>
      <c r="B190" t="inlineStr">
        <is>
          <t>samrådsanmälan</t>
        </is>
      </c>
      <c r="C190" t="inlineStr">
        <is>
          <t>Askåterföring</t>
        </is>
      </c>
      <c r="D190" s="1" t="n">
        <v>44959</v>
      </c>
      <c r="E190" s="1" t="n">
        <v>46216</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s="2" t="inlineStr">
        <is>
          <t>Mattlummer</t>
        </is>
      </c>
      <c r="V190">
        <f>HYPERLINK("https://klasma.github.io/Logging_1080/artfynd/S 365-2023 artfynd.xlsx", "S 365-2023")</f>
        <v/>
      </c>
      <c r="W190">
        <f>HYPERLINK("https://klasma.github.io/Logging_1080/kartor/S 365-2023 karta.png", "S 365-2023")</f>
        <v/>
      </c>
      <c r="Y190">
        <f>HYPERLINK("https://klasma.github.io/Logging_1080/klagomål/S 365-2023 FSC-klagomål.docx", "S 365-2023")</f>
        <v/>
      </c>
      <c r="Z190">
        <f>HYPERLINK("https://klasma.github.io/Logging_1080/klagomålsmail/S 365-2023 FSC-klagomål mail.docx", "S 365-2023")</f>
        <v/>
      </c>
      <c r="AA190">
        <f>HYPERLINK("https://klasma.github.io/Logging_1080/tillsyn/S 365-2023 tillsynsbegäran.docx", "S 365-2023")</f>
        <v/>
      </c>
      <c r="AB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46216</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s="2" t="inlineStr">
        <is>
          <t>Polabiskt björnbär</t>
        </is>
      </c>
      <c r="V191">
        <f>HYPERLINK("https://klasma.github.io/Logging_1080/artfynd/S 1495-2023 artfynd.xlsx", "S 1495-2023")</f>
        <v/>
      </c>
      <c r="W191">
        <f>HYPERLINK("https://klasma.github.io/Logging_1080/kartor/S 1495-2023 karta.png", "S 1495-2023")</f>
        <v/>
      </c>
      <c r="Y191">
        <f>HYPERLINK("https://klasma.github.io/Logging_1080/klagomål/S 1495-2023 FSC-klagomål.docx", "S 1495-2023")</f>
        <v/>
      </c>
      <c r="Z191">
        <f>HYPERLINK("https://klasma.github.io/Logging_1080/klagomålsmail/S 1495-2023 FSC-klagomål mail.docx", "S 1495-2023")</f>
        <v/>
      </c>
      <c r="AA191">
        <f>HYPERLINK("https://klasma.github.io/Logging_1080/tillsyn/S 1495-2023 tillsynsbegäran.docx", "S 1495-2023")</f>
        <v/>
      </c>
      <c r="AB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46216</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s="2" t="inlineStr">
        <is>
          <t>Grönvit nattviol</t>
        </is>
      </c>
      <c r="V192">
        <f>HYPERLINK("https://klasma.github.io/Logging_1080/artfynd/S 2526-2024 artfynd.xlsx", "S 2526-2024")</f>
        <v/>
      </c>
      <c r="W192">
        <f>HYPERLINK("https://klasma.github.io/Logging_1080/kartor/S 2526-2024 karta.png", "S 2526-2024")</f>
        <v/>
      </c>
      <c r="Y192">
        <f>HYPERLINK("https://klasma.github.io/Logging_1080/klagomål/S 2526-2024 FSC-klagomål.docx", "S 2526-2024")</f>
        <v/>
      </c>
      <c r="Z192">
        <f>HYPERLINK("https://klasma.github.io/Logging_1080/klagomålsmail/S 2526-2024 FSC-klagomål mail.docx", "S 2526-2024")</f>
        <v/>
      </c>
      <c r="AA192">
        <f>HYPERLINK("https://klasma.github.io/Logging_1080/tillsyn/S 2526-2024 tillsynsbegäran.docx", "S 2526-2024")</f>
        <v/>
      </c>
      <c r="AB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46216</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s="2" t="inlineStr">
        <is>
          <t>Bokkantlav</t>
        </is>
      </c>
      <c r="V193">
        <f>HYPERLINK("https://klasma.github.io/Logging_1080/artfynd/S 4780-2024 artfynd.xlsx", "S 4780-2024")</f>
        <v/>
      </c>
      <c r="W193">
        <f>HYPERLINK("https://klasma.github.io/Logging_1080/kartor/S 4780-2024 karta.png", "S 4780-2024")</f>
        <v/>
      </c>
      <c r="Y193">
        <f>HYPERLINK("https://klasma.github.io/Logging_1080/klagomål/S 4780-2024 FSC-klagomål.docx", "S 4780-2024")</f>
        <v/>
      </c>
      <c r="Z193">
        <f>HYPERLINK("https://klasma.github.io/Logging_1080/klagomålsmail/S 4780-2024 FSC-klagomål mail.docx", "S 4780-2024")</f>
        <v/>
      </c>
      <c r="AA193">
        <f>HYPERLINK("https://klasma.github.io/Logging_1080/tillsyn/S 4780-2024 tillsynsbegäran.docx", "S 4780-2024")</f>
        <v/>
      </c>
      <c r="AB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46216</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s="2" t="inlineStr">
        <is>
          <t>Strandlummer</t>
        </is>
      </c>
      <c r="V194">
        <f>HYPERLINK("https://klasma.github.io/Logging_1083/artfynd/S 762-2025 artfynd.xlsx", "S 762-2025")</f>
        <v/>
      </c>
      <c r="W194">
        <f>HYPERLINK("https://klasma.github.io/Logging_1083/kartor/S 762-2025 karta.png", "S 762-2025")</f>
        <v/>
      </c>
      <c r="Y194">
        <f>HYPERLINK("https://klasma.github.io/Logging_1083/klagomål/S 762-2025 FSC-klagomål.docx", "S 762-2025")</f>
        <v/>
      </c>
      <c r="Z194">
        <f>HYPERLINK("https://klasma.github.io/Logging_1083/klagomålsmail/S 762-2025 FSC-klagomål mail.docx", "S 762-2025")</f>
        <v/>
      </c>
      <c r="AA194">
        <f>HYPERLINK("https://klasma.github.io/Logging_1083/tillsyn/S 762-2025 tillsynsbegäran.docx", "S 762-2025")</f>
        <v/>
      </c>
      <c r="AB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46216</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s="2" t="inlineStr">
        <is>
          <t>Västlig hakmossa</t>
        </is>
      </c>
      <c r="V195">
        <f>HYPERLINK("https://klasma.github.io/Logging_1082/artfynd/S 2434-2025 artfynd.xlsx", "S 2434-2025")</f>
        <v/>
      </c>
      <c r="W195">
        <f>HYPERLINK("https://klasma.github.io/Logging_1082/kartor/S 2434-2025 karta.png", "S 2434-2025")</f>
        <v/>
      </c>
      <c r="Y195">
        <f>HYPERLINK("https://klasma.github.io/Logging_1082/klagomål/S 2434-2025 FSC-klagomål.docx", "S 2434-2025")</f>
        <v/>
      </c>
      <c r="Z195">
        <f>HYPERLINK("https://klasma.github.io/Logging_1082/klagomålsmail/S 2434-2025 FSC-klagomål mail.docx", "S 2434-2025")</f>
        <v/>
      </c>
      <c r="AA195">
        <f>HYPERLINK("https://klasma.github.io/Logging_1082/tillsyn/S 2434-2025 tillsynsbegäran.docx", "S 2434-2025")</f>
        <v/>
      </c>
      <c r="AB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46216</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s="2" t="inlineStr">
        <is>
          <t>Stortimjan</t>
        </is>
      </c>
      <c r="V196">
        <f>HYPERLINK("https://klasma.github.io/Logging_1080/artfynd/S 358-2026 artfynd.xlsx", "S 358-2026")</f>
        <v/>
      </c>
      <c r="W196">
        <f>HYPERLINK("https://klasma.github.io/Logging_1080/kartor/S 358-2026 karta.png", "S 358-2026")</f>
        <v/>
      </c>
      <c r="Y196">
        <f>HYPERLINK("https://klasma.github.io/Logging_1080/klagomål/S 358-2026 FSC-klagomål.docx", "S 358-2026")</f>
        <v/>
      </c>
      <c r="Z196">
        <f>HYPERLINK("https://klasma.github.io/Logging_1080/klagomålsmail/S 358-2026 FSC-klagomål mail.docx", "S 358-2026")</f>
        <v/>
      </c>
      <c r="AA196">
        <f>HYPERLINK("https://klasma.github.io/Logging_1080/tillsyn/S 358-2026 tillsynsbegäran.docx", "S 358-2026")</f>
        <v/>
      </c>
      <c r="AB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46216</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s="2" t="inlineStr">
        <is>
          <t>Havstulpanlav</t>
        </is>
      </c>
      <c r="V197">
        <f>HYPERLINK("https://klasma.github.io/Logging_1060/artfynd/S 469-2026 artfynd.xlsx", "S 469-2026")</f>
        <v/>
      </c>
      <c r="W197">
        <f>HYPERLINK("https://klasma.github.io/Logging_1060/kartor/S 469-2026 karta.png", "S 469-2026")</f>
        <v/>
      </c>
      <c r="Y197">
        <f>HYPERLINK("https://klasma.github.io/Logging_1060/klagomål/S 469-2026 FSC-klagomål.docx", "S 469-2026")</f>
        <v/>
      </c>
      <c r="Z197">
        <f>HYPERLINK("https://klasma.github.io/Logging_1060/klagomålsmail/S 469-2026 FSC-klagomål mail.docx", "S 469-2026")</f>
        <v/>
      </c>
      <c r="AA197">
        <f>HYPERLINK("https://klasma.github.io/Logging_1060/tillsyn/S 469-2026 tillsynsbegäran.docx", "S 469-2026")</f>
        <v/>
      </c>
      <c r="AB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46216</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s="2" t="inlineStr">
        <is>
          <t>Backmåra</t>
        </is>
      </c>
      <c r="V198">
        <f>HYPERLINK("https://klasma.github.io/Logging_1060/artfynd/S 631-2026 artfynd.xlsx", "S 631-2026")</f>
        <v/>
      </c>
      <c r="W198">
        <f>HYPERLINK("https://klasma.github.io/Logging_1060/kartor/S 631-2026 karta.png", "S 631-2026")</f>
        <v/>
      </c>
      <c r="Y198">
        <f>HYPERLINK("https://klasma.github.io/Logging_1060/klagomål/S 631-2026 FSC-klagomål.docx", "S 631-2026")</f>
        <v/>
      </c>
      <c r="Z198">
        <f>HYPERLINK("https://klasma.github.io/Logging_1060/klagomålsmail/S 631-2026 FSC-klagomål mail.docx", "S 631-2026")</f>
        <v/>
      </c>
      <c r="AA198">
        <f>HYPERLINK("https://klasma.github.io/Logging_1060/tillsyn/S 631-2026 tillsynsbegäran.docx", "S 631-2026")</f>
        <v/>
      </c>
      <c r="AB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46216</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s="2" t="inlineStr">
        <is>
          <t>Igelkott</t>
        </is>
      </c>
      <c r="V199">
        <f>HYPERLINK("https://klasma.github.io/Logging_1080/artfynd/S 780-2026 artfynd.xlsx", "S 780-2026")</f>
        <v/>
      </c>
      <c r="W199">
        <f>HYPERLINK("https://klasma.github.io/Logging_1080/kartor/S 780-2026 karta.png", "S 780-2026")</f>
        <v/>
      </c>
      <c r="Y199">
        <f>HYPERLINK("https://klasma.github.io/Logging_1080/klagomål/S 780-2026 FSC-klagomål.docx", "S 780-2026")</f>
        <v/>
      </c>
      <c r="Z199">
        <f>HYPERLINK("https://klasma.github.io/Logging_1080/klagomålsmail/S 780-2026 FSC-klagomål mail.docx", "S 780-2026")</f>
        <v/>
      </c>
      <c r="AA199">
        <f>HYPERLINK("https://klasma.github.io/Logging_1080/tillsyn/S 780-2026 tillsynsbegäran.docx", "S 780-2026")</f>
        <v/>
      </c>
      <c r="AB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46216</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s="2" t="inlineStr">
        <is>
          <t>Mindre hackspett</t>
        </is>
      </c>
      <c r="V200">
        <f>HYPERLINK("https://klasma.github.io/Logging_1081/artfynd/S 778-2026 artfynd.xlsx", "S 778-2026")</f>
        <v/>
      </c>
      <c r="W200">
        <f>HYPERLINK("https://klasma.github.io/Logging_1081/kartor/S 778-2026 karta.png", "S 778-2026")</f>
        <v/>
      </c>
      <c r="Y200">
        <f>HYPERLINK("https://klasma.github.io/Logging_1081/klagomål/S 778-2026 FSC-klagomål.docx", "S 778-2026")</f>
        <v/>
      </c>
      <c r="Z200">
        <f>HYPERLINK("https://klasma.github.io/Logging_1081/klagomålsmail/S 778-2026 FSC-klagomål mail.docx", "S 778-2026")</f>
        <v/>
      </c>
      <c r="AA200">
        <f>HYPERLINK("https://klasma.github.io/Logging_1081/tillsyn/S 778-2026 tillsynsbegäran.docx", "S 778-2026")</f>
        <v/>
      </c>
      <c r="AB200">
        <f>HYPERLINK("https://klasma.github.io/Logging_1081/tillsynsmail/S 778-2026 tillsynsbegäran mail.docx", "S 778-2026")</f>
        <v/>
      </c>
      <c r="AC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46216</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s="2" t="inlineStr">
        <is>
          <t>Igelkott</t>
        </is>
      </c>
      <c r="V201">
        <f>HYPERLINK("https://klasma.github.io/Logging_1082/artfynd/S 1010-2026 artfynd.xlsx", "S 1010-2026")</f>
        <v/>
      </c>
      <c r="W201">
        <f>HYPERLINK("https://klasma.github.io/Logging_1082/kartor/S 1010-2026 karta.png", "S 1010-2026")</f>
        <v/>
      </c>
      <c r="Y201">
        <f>HYPERLINK("https://klasma.github.io/Logging_1082/klagomål/S 1010-2026 FSC-klagomål.docx", "S 1010-2026")</f>
        <v/>
      </c>
      <c r="Z201">
        <f>HYPERLINK("https://klasma.github.io/Logging_1082/klagomålsmail/S 1010-2026 FSC-klagomål mail.docx", "S 1010-2026")</f>
        <v/>
      </c>
      <c r="AA201">
        <f>HYPERLINK("https://klasma.github.io/Logging_1082/tillsyn/S 1010-2026 tillsynsbegäran.docx", "S 1010-2026")</f>
        <v/>
      </c>
      <c r="AB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46216</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s="2" t="inlineStr">
        <is>
          <t>Grusnejlika</t>
        </is>
      </c>
      <c r="V202">
        <f>HYPERLINK("https://klasma.github.io/Logging_1081/artfynd/S 1186-2026 artfynd.xlsx", "S 1186-2026")</f>
        <v/>
      </c>
      <c r="W202">
        <f>HYPERLINK("https://klasma.github.io/Logging_1081/kartor/S 1186-2026 karta.png", "S 1186-2026")</f>
        <v/>
      </c>
      <c r="Y202">
        <f>HYPERLINK("https://klasma.github.io/Logging_1081/klagomål/S 1186-2026 FSC-klagomål.docx", "S 1186-2026")</f>
        <v/>
      </c>
      <c r="Z202">
        <f>HYPERLINK("https://klasma.github.io/Logging_1081/klagomålsmail/S 1186-2026 FSC-klagomål mail.docx", "S 1186-2026")</f>
        <v/>
      </c>
      <c r="AA202">
        <f>HYPERLINK("https://klasma.github.io/Logging_1081/tillsyn/S 1186-2026 tillsynsbegäran.docx", "S 1186-2026")</f>
        <v/>
      </c>
      <c r="AB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46216</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s="2" t="inlineStr"/>
    </row>
    <row r="204" ht="15" customHeight="1">
      <c r="A204" t="inlineStr">
        <is>
          <t>A 1754-2022</t>
        </is>
      </c>
      <c r="B204" t="inlineStr">
        <is>
          <t>avverkningsanmälan</t>
        </is>
      </c>
      <c r="C204" t="inlineStr">
        <is>
          <t>Föryngringsavverkning</t>
        </is>
      </c>
      <c r="D204" s="1" t="n">
        <v>44574</v>
      </c>
      <c r="E204" s="1" t="n">
        <v>46216</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s="2" t="inlineStr"/>
    </row>
    <row r="205" ht="15" customHeight="1">
      <c r="A205" t="inlineStr">
        <is>
          <t>A 39808-2021</t>
        </is>
      </c>
      <c r="B205" t="inlineStr">
        <is>
          <t>avverkningsanmälan</t>
        </is>
      </c>
      <c r="C205" t="inlineStr">
        <is>
          <t>Föryngringsavverkning</t>
        </is>
      </c>
      <c r="D205" s="1" t="n">
        <v>44417</v>
      </c>
      <c r="E205" s="1" t="n">
        <v>46216</v>
      </c>
      <c r="F205" t="inlineStr">
        <is>
          <t>BLEKINGE LÄN</t>
        </is>
      </c>
      <c r="G205" t="inlineStr">
        <is>
          <t>OLOFSTRÖM</t>
        </is>
      </c>
      <c r="I205" t="n">
        <v>3</v>
      </c>
      <c r="J205" t="n">
        <v>0</v>
      </c>
      <c r="K205" t="n">
        <v>0</v>
      </c>
      <c r="L205" t="n">
        <v>0</v>
      </c>
      <c r="M205" t="n">
        <v>0</v>
      </c>
      <c r="N205" t="n">
        <v>0</v>
      </c>
      <c r="O205" t="n">
        <v>0</v>
      </c>
      <c r="P205" t="n">
        <v>0</v>
      </c>
      <c r="Q205" t="n">
        <v>0</v>
      </c>
      <c r="R205" t="n">
        <v>0</v>
      </c>
      <c r="S205" t="n">
        <v>0</v>
      </c>
      <c r="T205" t="n">
        <v>0</v>
      </c>
      <c r="U205" s="2" t="inlineStr"/>
    </row>
    <row r="206" ht="15" customHeight="1">
      <c r="A206" t="inlineStr">
        <is>
          <t>A 72789-2021</t>
        </is>
      </c>
      <c r="B206" t="inlineStr">
        <is>
          <t>avverkningsanmälan</t>
        </is>
      </c>
      <c r="C206" t="inlineStr">
        <is>
          <t>Avverkning för annat ändamål</t>
        </is>
      </c>
      <c r="D206" s="1" t="n">
        <v>44546</v>
      </c>
      <c r="E206" s="1" t="n">
        <v>46216</v>
      </c>
      <c r="F206" t="inlineStr">
        <is>
          <t>BLEKINGE LÄN</t>
        </is>
      </c>
      <c r="G206" t="inlineStr">
        <is>
          <t>RONNEBY</t>
        </is>
      </c>
      <c r="I206" t="n">
        <v>2.6</v>
      </c>
      <c r="J206" t="n">
        <v>0</v>
      </c>
      <c r="K206" t="n">
        <v>0</v>
      </c>
      <c r="L206" t="n">
        <v>0</v>
      </c>
      <c r="M206" t="n">
        <v>0</v>
      </c>
      <c r="N206" t="n">
        <v>0</v>
      </c>
      <c r="O206" t="n">
        <v>0</v>
      </c>
      <c r="P206" t="n">
        <v>0</v>
      </c>
      <c r="Q206" t="n">
        <v>0</v>
      </c>
      <c r="R206" t="n">
        <v>0</v>
      </c>
      <c r="S206" t="n">
        <v>0</v>
      </c>
      <c r="T206" t="n">
        <v>0</v>
      </c>
      <c r="U206" s="2" t="inlineStr"/>
    </row>
    <row r="207" ht="15" customHeight="1">
      <c r="A207" t="inlineStr">
        <is>
          <t>A 23902-2022</t>
        </is>
      </c>
      <c r="B207" t="inlineStr">
        <is>
          <t>avverkningsanmälan</t>
        </is>
      </c>
      <c r="C207" t="inlineStr">
        <is>
          <t>Föryngringsavverkning</t>
        </is>
      </c>
      <c r="D207" s="1" t="n">
        <v>44722</v>
      </c>
      <c r="E207" s="1" t="n">
        <v>46216</v>
      </c>
      <c r="F207" t="inlineStr">
        <is>
          <t>BLEKINGE LÄN</t>
        </is>
      </c>
      <c r="G207" t="inlineStr">
        <is>
          <t>KARLSHAMN</t>
        </is>
      </c>
      <c r="I207" t="n">
        <v>0.7</v>
      </c>
      <c r="J207" t="n">
        <v>0</v>
      </c>
      <c r="K207" t="n">
        <v>0</v>
      </c>
      <c r="L207" t="n">
        <v>0</v>
      </c>
      <c r="M207" t="n">
        <v>0</v>
      </c>
      <c r="N207" t="n">
        <v>0</v>
      </c>
      <c r="O207" t="n">
        <v>0</v>
      </c>
      <c r="P207" t="n">
        <v>0</v>
      </c>
      <c r="Q207" t="n">
        <v>0</v>
      </c>
      <c r="R207" t="n">
        <v>0</v>
      </c>
      <c r="S207" t="n">
        <v>0</v>
      </c>
      <c r="T207" t="n">
        <v>0</v>
      </c>
      <c r="U207" s="2" t="inlineStr"/>
    </row>
    <row r="208" ht="15" customHeight="1">
      <c r="A208" t="inlineStr">
        <is>
          <t>A 1136-2022</t>
        </is>
      </c>
      <c r="B208" t="inlineStr">
        <is>
          <t>avverkningsanmälan</t>
        </is>
      </c>
      <c r="C208" t="inlineStr">
        <is>
          <t>Föryngringsavverkning</t>
        </is>
      </c>
      <c r="D208" s="1" t="n">
        <v>44572</v>
      </c>
      <c r="E208" s="1" t="n">
        <v>46216</v>
      </c>
      <c r="F208" t="inlineStr">
        <is>
          <t>BLEKINGE LÄN</t>
        </is>
      </c>
      <c r="G208" t="inlineStr">
        <is>
          <t>KARLSKRONA</t>
        </is>
      </c>
      <c r="I208" t="n">
        <v>1.8</v>
      </c>
      <c r="J208" t="n">
        <v>0</v>
      </c>
      <c r="K208" t="n">
        <v>0</v>
      </c>
      <c r="L208" t="n">
        <v>0</v>
      </c>
      <c r="M208" t="n">
        <v>0</v>
      </c>
      <c r="N208" t="n">
        <v>0</v>
      </c>
      <c r="O208" t="n">
        <v>0</v>
      </c>
      <c r="P208" t="n">
        <v>0</v>
      </c>
      <c r="Q208" t="n">
        <v>0</v>
      </c>
      <c r="R208" t="n">
        <v>0</v>
      </c>
      <c r="S208" t="n">
        <v>0</v>
      </c>
      <c r="T208" t="n">
        <v>0</v>
      </c>
      <c r="U208" s="2" t="inlineStr"/>
    </row>
    <row r="209" ht="15" customHeight="1">
      <c r="A209" t="inlineStr">
        <is>
          <t>A 73369-2021</t>
        </is>
      </c>
      <c r="B209" t="inlineStr">
        <is>
          <t>avverkningsanmälan</t>
        </is>
      </c>
      <c r="C209" t="inlineStr">
        <is>
          <t>Föryngringsavverkning</t>
        </is>
      </c>
      <c r="D209" s="1" t="n">
        <v>44551</v>
      </c>
      <c r="E209" s="1" t="n">
        <v>46216</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s="2" t="inlineStr"/>
    </row>
    <row r="210" ht="15" customHeight="1">
      <c r="A210" t="inlineStr">
        <is>
          <t>A 24430-2022</t>
        </is>
      </c>
      <c r="B210" t="inlineStr">
        <is>
          <t>avverkningsanmälan</t>
        </is>
      </c>
      <c r="C210" t="inlineStr">
        <is>
          <t>Föryngringsavverkning</t>
        </is>
      </c>
      <c r="D210" s="1" t="n">
        <v>44726</v>
      </c>
      <c r="E210" s="1" t="n">
        <v>46216</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s="2" t="inlineStr"/>
    </row>
    <row r="211" ht="15" customHeight="1">
      <c r="A211" t="inlineStr">
        <is>
          <t>A 43353-2021</t>
        </is>
      </c>
      <c r="B211" t="inlineStr">
        <is>
          <t>avverkningsanmälan</t>
        </is>
      </c>
      <c r="C211" t="inlineStr">
        <is>
          <t>Föryngringsavverkning</t>
        </is>
      </c>
      <c r="D211" s="1" t="n">
        <v>44432</v>
      </c>
      <c r="E211" s="1" t="n">
        <v>46216</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s="2" t="inlineStr"/>
    </row>
    <row r="212" ht="15" customHeight="1">
      <c r="A212" t="inlineStr">
        <is>
          <t>A 41154-2022</t>
        </is>
      </c>
      <c r="B212" t="inlineStr">
        <is>
          <t>avverkningsanmälan</t>
        </is>
      </c>
      <c r="C212" t="inlineStr">
        <is>
          <t>Föryngringsavverkning</t>
        </is>
      </c>
      <c r="D212" s="1" t="n">
        <v>44825</v>
      </c>
      <c r="E212" s="1" t="n">
        <v>46216</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s="2" t="inlineStr"/>
    </row>
    <row r="213" ht="15" customHeight="1">
      <c r="A213" t="inlineStr">
        <is>
          <t>A 24428-2022</t>
        </is>
      </c>
      <c r="B213" t="inlineStr">
        <is>
          <t>avverkningsanmälan</t>
        </is>
      </c>
      <c r="C213" t="inlineStr">
        <is>
          <t>Föryngringsavverkning</t>
        </is>
      </c>
      <c r="D213" s="1" t="n">
        <v>44726</v>
      </c>
      <c r="E213" s="1" t="n">
        <v>46216</v>
      </c>
      <c r="F213" t="inlineStr">
        <is>
          <t>BLEKINGE LÄN</t>
        </is>
      </c>
      <c r="G213" t="inlineStr">
        <is>
          <t>OLOFSTRÖM</t>
        </is>
      </c>
      <c r="I213" t="n">
        <v>0.6</v>
      </c>
      <c r="J213" t="n">
        <v>0</v>
      </c>
      <c r="K213" t="n">
        <v>0</v>
      </c>
      <c r="L213" t="n">
        <v>0</v>
      </c>
      <c r="M213" t="n">
        <v>0</v>
      </c>
      <c r="N213" t="n">
        <v>0</v>
      </c>
      <c r="O213" t="n">
        <v>0</v>
      </c>
      <c r="P213" t="n">
        <v>0</v>
      </c>
      <c r="Q213" t="n">
        <v>0</v>
      </c>
      <c r="R213" t="n">
        <v>0</v>
      </c>
      <c r="S213" t="n">
        <v>0</v>
      </c>
      <c r="T213" t="n">
        <v>0</v>
      </c>
      <c r="U213" s="2" t="inlineStr"/>
    </row>
    <row r="214" ht="15" customHeight="1">
      <c r="A214" t="inlineStr">
        <is>
          <t>A 3333-2022</t>
        </is>
      </c>
      <c r="B214" t="inlineStr">
        <is>
          <t>avverkningsanmälan</t>
        </is>
      </c>
      <c r="C214" t="inlineStr">
        <is>
          <t>Avverkning för annat ändamål</t>
        </is>
      </c>
      <c r="D214" s="1" t="n">
        <v>44585</v>
      </c>
      <c r="E214" s="1" t="n">
        <v>46216</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54016-2021</t>
        </is>
      </c>
      <c r="B215" t="inlineStr">
        <is>
          <t>avverkningsanmälan</t>
        </is>
      </c>
      <c r="C215" t="inlineStr">
        <is>
          <t>Föryngringsavverkning</t>
        </is>
      </c>
      <c r="D215" s="1" t="n">
        <v>44468</v>
      </c>
      <c r="E215" s="1" t="n">
        <v>46216</v>
      </c>
      <c r="F215" t="inlineStr">
        <is>
          <t>BLEKINGE LÄN</t>
        </is>
      </c>
      <c r="G215" t="inlineStr">
        <is>
          <t>KARLSKRONA</t>
        </is>
      </c>
      <c r="I215" t="n">
        <v>3.1</v>
      </c>
      <c r="J215" t="n">
        <v>0</v>
      </c>
      <c r="K215" t="n">
        <v>0</v>
      </c>
      <c r="L215" t="n">
        <v>0</v>
      </c>
      <c r="M215" t="n">
        <v>0</v>
      </c>
      <c r="N215" t="n">
        <v>0</v>
      </c>
      <c r="O215" t="n">
        <v>0</v>
      </c>
      <c r="P215" t="n">
        <v>0</v>
      </c>
      <c r="Q215" t="n">
        <v>0</v>
      </c>
      <c r="R215" t="n">
        <v>0</v>
      </c>
      <c r="S215" t="n">
        <v>0</v>
      </c>
      <c r="T215" t="n">
        <v>0</v>
      </c>
      <c r="U215" s="2" t="inlineStr"/>
    </row>
    <row r="216" ht="15" customHeight="1">
      <c r="A216" t="inlineStr">
        <is>
          <t>A 13796-2022</t>
        </is>
      </c>
      <c r="B216" t="inlineStr">
        <is>
          <t>avverkningsanmälan</t>
        </is>
      </c>
      <c r="C216" t="inlineStr">
        <is>
          <t>Föryngringsavverkning</t>
        </is>
      </c>
      <c r="D216" s="1" t="n">
        <v>44649</v>
      </c>
      <c r="E216" s="1" t="n">
        <v>46216</v>
      </c>
      <c r="F216" t="inlineStr">
        <is>
          <t>BLEKINGE LÄN</t>
        </is>
      </c>
      <c r="G216" t="inlineStr">
        <is>
          <t>RONNEBY</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17651-2022</t>
        </is>
      </c>
      <c r="B217" t="inlineStr">
        <is>
          <t>avverkningsanmälan</t>
        </is>
      </c>
      <c r="C217" t="inlineStr">
        <is>
          <t>Föryngringsavverkning</t>
        </is>
      </c>
      <c r="D217" s="1" t="n">
        <v>44680</v>
      </c>
      <c r="E217" s="1" t="n">
        <v>46216</v>
      </c>
      <c r="F217" t="inlineStr">
        <is>
          <t>BLEKINGE LÄN</t>
        </is>
      </c>
      <c r="G217" t="inlineStr">
        <is>
          <t>KARLSHAMN</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62420-2021</t>
        </is>
      </c>
      <c r="B218" t="inlineStr">
        <is>
          <t>avverkningsanmälan</t>
        </is>
      </c>
      <c r="C218" t="inlineStr">
        <is>
          <t>Föryngringsavverkning</t>
        </is>
      </c>
      <c r="D218" s="1" t="n">
        <v>44503</v>
      </c>
      <c r="E218" s="1" t="n">
        <v>46216</v>
      </c>
      <c r="F218" t="inlineStr">
        <is>
          <t>BLEKINGE LÄN</t>
        </is>
      </c>
      <c r="G218" t="inlineStr">
        <is>
          <t>OLOFSTRÖM</t>
        </is>
      </c>
      <c r="I218" t="n">
        <v>4.3</v>
      </c>
      <c r="J218" t="n">
        <v>0</v>
      </c>
      <c r="K218" t="n">
        <v>0</v>
      </c>
      <c r="L218" t="n">
        <v>0</v>
      </c>
      <c r="M218" t="n">
        <v>0</v>
      </c>
      <c r="N218" t="n">
        <v>0</v>
      </c>
      <c r="O218" t="n">
        <v>0</v>
      </c>
      <c r="P218" t="n">
        <v>0</v>
      </c>
      <c r="Q218" t="n">
        <v>0</v>
      </c>
      <c r="R218" t="n">
        <v>0</v>
      </c>
      <c r="S218" t="n">
        <v>0</v>
      </c>
      <c r="T218" t="n">
        <v>0</v>
      </c>
      <c r="U218" s="2" t="inlineStr"/>
    </row>
    <row r="219" ht="15" customHeight="1">
      <c r="A219" t="inlineStr">
        <is>
          <t>A 53841-2022</t>
        </is>
      </c>
      <c r="B219" t="inlineStr">
        <is>
          <t>avverkningsanmälan</t>
        </is>
      </c>
      <c r="C219" t="inlineStr">
        <is>
          <t>Föryngringsavverkning</t>
        </is>
      </c>
      <c r="D219" s="1" t="n">
        <v>44880</v>
      </c>
      <c r="E219" s="1" t="n">
        <v>46216</v>
      </c>
      <c r="F219" t="inlineStr">
        <is>
          <t>BLEKINGE LÄN</t>
        </is>
      </c>
      <c r="G219" t="inlineStr">
        <is>
          <t>RONNEBY</t>
        </is>
      </c>
      <c r="I219" t="n">
        <v>1.1</v>
      </c>
      <c r="J219" t="n">
        <v>0</v>
      </c>
      <c r="K219" t="n">
        <v>0</v>
      </c>
      <c r="L219" t="n">
        <v>0</v>
      </c>
      <c r="M219" t="n">
        <v>0</v>
      </c>
      <c r="N219" t="n">
        <v>0</v>
      </c>
      <c r="O219" t="n">
        <v>0</v>
      </c>
      <c r="P219" t="n">
        <v>0</v>
      </c>
      <c r="Q219" t="n">
        <v>0</v>
      </c>
      <c r="R219" t="n">
        <v>0</v>
      </c>
      <c r="S219" t="n">
        <v>0</v>
      </c>
      <c r="T219" t="n">
        <v>0</v>
      </c>
      <c r="U219" s="2" t="inlineStr"/>
    </row>
    <row r="220" ht="15" customHeight="1">
      <c r="A220" t="inlineStr">
        <is>
          <t>A 3391-2022</t>
        </is>
      </c>
      <c r="B220" t="inlineStr">
        <is>
          <t>avverkningsanmälan</t>
        </is>
      </c>
      <c r="C220" t="inlineStr">
        <is>
          <t>Avverkning för annat ändamål</t>
        </is>
      </c>
      <c r="D220" s="1" t="n">
        <v>44585</v>
      </c>
      <c r="E220" s="1" t="n">
        <v>46216</v>
      </c>
      <c r="F220" t="inlineStr">
        <is>
          <t>BLEKINGE LÄN</t>
        </is>
      </c>
      <c r="G220" t="inlineStr">
        <is>
          <t>KARLSKRONA</t>
        </is>
      </c>
      <c r="I220" t="n">
        <v>23.9</v>
      </c>
      <c r="J220" t="n">
        <v>0</v>
      </c>
      <c r="K220" t="n">
        <v>0</v>
      </c>
      <c r="L220" t="n">
        <v>0</v>
      </c>
      <c r="M220" t="n">
        <v>0</v>
      </c>
      <c r="N220" t="n">
        <v>0</v>
      </c>
      <c r="O220" t="n">
        <v>0</v>
      </c>
      <c r="P220" t="n">
        <v>0</v>
      </c>
      <c r="Q220" t="n">
        <v>0</v>
      </c>
      <c r="R220" t="n">
        <v>0</v>
      </c>
      <c r="S220" t="n">
        <v>0</v>
      </c>
      <c r="T220" t="n">
        <v>0</v>
      </c>
      <c r="U220" s="2" t="inlineStr"/>
    </row>
    <row r="221" ht="15" customHeight="1">
      <c r="A221" t="inlineStr">
        <is>
          <t>A 8316-2022</t>
        </is>
      </c>
      <c r="B221" t="inlineStr">
        <is>
          <t>avverkningsanmälan</t>
        </is>
      </c>
      <c r="C221" t="inlineStr">
        <is>
          <t>Föryngringsavverkning</t>
        </is>
      </c>
      <c r="D221" s="1" t="n">
        <v>44610</v>
      </c>
      <c r="E221" s="1" t="n">
        <v>46216</v>
      </c>
      <c r="F221" t="inlineStr">
        <is>
          <t>BLEKINGE LÄN</t>
        </is>
      </c>
      <c r="G221" t="inlineStr">
        <is>
          <t>OLOFSTRÖM</t>
        </is>
      </c>
      <c r="I221" t="n">
        <v>3.9</v>
      </c>
      <c r="J221" t="n">
        <v>0</v>
      </c>
      <c r="K221" t="n">
        <v>0</v>
      </c>
      <c r="L221" t="n">
        <v>0</v>
      </c>
      <c r="M221" t="n">
        <v>0</v>
      </c>
      <c r="N221" t="n">
        <v>0</v>
      </c>
      <c r="O221" t="n">
        <v>0</v>
      </c>
      <c r="P221" t="n">
        <v>0</v>
      </c>
      <c r="Q221" t="n">
        <v>0</v>
      </c>
      <c r="R221" t="n">
        <v>0</v>
      </c>
      <c r="S221" t="n">
        <v>0</v>
      </c>
      <c r="T221" t="n">
        <v>0</v>
      </c>
      <c r="U221" s="2" t="inlineStr"/>
    </row>
    <row r="222" ht="15" customHeight="1">
      <c r="A222" t="inlineStr">
        <is>
          <t>A 8325-2022</t>
        </is>
      </c>
      <c r="B222" t="inlineStr">
        <is>
          <t>avverkningsanmälan</t>
        </is>
      </c>
      <c r="C222" t="inlineStr">
        <is>
          <t>Föryngringsavverkning</t>
        </is>
      </c>
      <c r="D222" s="1" t="n">
        <v>44610</v>
      </c>
      <c r="E222" s="1" t="n">
        <v>46216</v>
      </c>
      <c r="F222" t="inlineStr">
        <is>
          <t>BLEKINGE LÄN</t>
        </is>
      </c>
      <c r="G222" t="inlineStr">
        <is>
          <t>OLOFSTRÖM</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18687-2022</t>
        </is>
      </c>
      <c r="B223" t="inlineStr">
        <is>
          <t>avverkningsanmälan</t>
        </is>
      </c>
      <c r="C223" t="inlineStr">
        <is>
          <t>Avverkning för annat ändamål</t>
        </is>
      </c>
      <c r="D223" s="1" t="n">
        <v>44687</v>
      </c>
      <c r="E223" s="1" t="n">
        <v>46216</v>
      </c>
      <c r="F223" t="inlineStr">
        <is>
          <t>BLEKINGE LÄN</t>
        </is>
      </c>
      <c r="G223" t="inlineStr">
        <is>
          <t>KARLSKRONA</t>
        </is>
      </c>
      <c r="I223" t="n">
        <v>0.1</v>
      </c>
      <c r="J223" t="n">
        <v>0</v>
      </c>
      <c r="K223" t="n">
        <v>0</v>
      </c>
      <c r="L223" t="n">
        <v>0</v>
      </c>
      <c r="M223" t="n">
        <v>0</v>
      </c>
      <c r="N223" t="n">
        <v>0</v>
      </c>
      <c r="O223" t="n">
        <v>0</v>
      </c>
      <c r="P223" t="n">
        <v>0</v>
      </c>
      <c r="Q223" t="n">
        <v>0</v>
      </c>
      <c r="R223" t="n">
        <v>0</v>
      </c>
      <c r="S223" t="n">
        <v>0</v>
      </c>
      <c r="T223" t="n">
        <v>0</v>
      </c>
      <c r="U223" s="2" t="inlineStr"/>
    </row>
    <row r="224" ht="15" customHeight="1">
      <c r="A224" t="inlineStr">
        <is>
          <t>A 16360-2022</t>
        </is>
      </c>
      <c r="B224" t="inlineStr">
        <is>
          <t>avverkningsanmälan</t>
        </is>
      </c>
      <c r="C224" t="inlineStr">
        <is>
          <t>Föryngringsavverkning</t>
        </is>
      </c>
      <c r="D224" s="1" t="n">
        <v>44670</v>
      </c>
      <c r="E224" s="1" t="n">
        <v>46216</v>
      </c>
      <c r="F224" t="inlineStr">
        <is>
          <t>BLEKINGE LÄN</t>
        </is>
      </c>
      <c r="G224" t="inlineStr">
        <is>
          <t>KARLSKRONA</t>
        </is>
      </c>
      <c r="I224" t="n">
        <v>4.3</v>
      </c>
      <c r="J224" t="n">
        <v>0</v>
      </c>
      <c r="K224" t="n">
        <v>0</v>
      </c>
      <c r="L224" t="n">
        <v>0</v>
      </c>
      <c r="M224" t="n">
        <v>0</v>
      </c>
      <c r="N224" t="n">
        <v>0</v>
      </c>
      <c r="O224" t="n">
        <v>0</v>
      </c>
      <c r="P224" t="n">
        <v>0</v>
      </c>
      <c r="Q224" t="n">
        <v>0</v>
      </c>
      <c r="R224" t="n">
        <v>0</v>
      </c>
      <c r="S224" t="n">
        <v>0</v>
      </c>
      <c r="T224" t="n">
        <v>0</v>
      </c>
      <c r="U224" s="2" t="inlineStr"/>
    </row>
    <row r="225" ht="15" customHeight="1">
      <c r="A225" t="inlineStr">
        <is>
          <t>A 11462-2022</t>
        </is>
      </c>
      <c r="B225" t="inlineStr">
        <is>
          <t>avverkningsanmälan</t>
        </is>
      </c>
      <c r="C225" t="inlineStr">
        <is>
          <t>Föryngringsavverkning</t>
        </is>
      </c>
      <c r="D225" s="1" t="n">
        <v>44630</v>
      </c>
      <c r="E225" s="1" t="n">
        <v>46216</v>
      </c>
      <c r="F225" t="inlineStr">
        <is>
          <t>BLEKINGE LÄN</t>
        </is>
      </c>
      <c r="G225" t="inlineStr">
        <is>
          <t>RONNEBY</t>
        </is>
      </c>
      <c r="I225" t="n">
        <v>0.5</v>
      </c>
      <c r="J225" t="n">
        <v>0</v>
      </c>
      <c r="K225" t="n">
        <v>0</v>
      </c>
      <c r="L225" t="n">
        <v>0</v>
      </c>
      <c r="M225" t="n">
        <v>0</v>
      </c>
      <c r="N225" t="n">
        <v>0</v>
      </c>
      <c r="O225" t="n">
        <v>0</v>
      </c>
      <c r="P225" t="n">
        <v>0</v>
      </c>
      <c r="Q225" t="n">
        <v>0</v>
      </c>
      <c r="R225" t="n">
        <v>0</v>
      </c>
      <c r="S225" t="n">
        <v>0</v>
      </c>
      <c r="T225" t="n">
        <v>0</v>
      </c>
      <c r="U225" s="2" t="inlineStr"/>
    </row>
    <row r="226" ht="15" customHeight="1">
      <c r="A226" t="inlineStr">
        <is>
          <t>A 55697-2021</t>
        </is>
      </c>
      <c r="B226" t="inlineStr">
        <is>
          <t>avverkningsanmälan</t>
        </is>
      </c>
      <c r="C226" t="inlineStr">
        <is>
          <t>Föryngringsavverkning</t>
        </is>
      </c>
      <c r="D226" s="1" t="n">
        <v>44476</v>
      </c>
      <c r="E226" s="1" t="n">
        <v>46216</v>
      </c>
      <c r="F226" t="inlineStr">
        <is>
          <t>BLEKINGE LÄN</t>
        </is>
      </c>
      <c r="G226" t="inlineStr">
        <is>
          <t>KARLSHAMN</t>
        </is>
      </c>
      <c r="I226" t="n">
        <v>3.6</v>
      </c>
      <c r="J226" t="n">
        <v>0</v>
      </c>
      <c r="K226" t="n">
        <v>0</v>
      </c>
      <c r="L226" t="n">
        <v>0</v>
      </c>
      <c r="M226" t="n">
        <v>0</v>
      </c>
      <c r="N226" t="n">
        <v>0</v>
      </c>
      <c r="O226" t="n">
        <v>0</v>
      </c>
      <c r="P226" t="n">
        <v>0</v>
      </c>
      <c r="Q226" t="n">
        <v>0</v>
      </c>
      <c r="R226" t="n">
        <v>0</v>
      </c>
      <c r="S226" t="n">
        <v>0</v>
      </c>
      <c r="T226" t="n">
        <v>0</v>
      </c>
      <c r="U226" s="2" t="inlineStr"/>
    </row>
    <row r="227" ht="15" customHeight="1">
      <c r="A227" t="inlineStr">
        <is>
          <t>A 8320-2022</t>
        </is>
      </c>
      <c r="B227" t="inlineStr">
        <is>
          <t>avverkningsanmälan</t>
        </is>
      </c>
      <c r="C227" t="inlineStr">
        <is>
          <t>Föryngringsavverkning</t>
        </is>
      </c>
      <c r="D227" s="1" t="n">
        <v>44610</v>
      </c>
      <c r="E227" s="1" t="n">
        <v>46216</v>
      </c>
      <c r="F227" t="inlineStr">
        <is>
          <t>BLEKINGE LÄN</t>
        </is>
      </c>
      <c r="G227" t="inlineStr">
        <is>
          <t>OLOFSTRÖM</t>
        </is>
      </c>
      <c r="I227" t="n">
        <v>1</v>
      </c>
      <c r="J227" t="n">
        <v>0</v>
      </c>
      <c r="K227" t="n">
        <v>0</v>
      </c>
      <c r="L227" t="n">
        <v>0</v>
      </c>
      <c r="M227" t="n">
        <v>0</v>
      </c>
      <c r="N227" t="n">
        <v>0</v>
      </c>
      <c r="O227" t="n">
        <v>0</v>
      </c>
      <c r="P227" t="n">
        <v>0</v>
      </c>
      <c r="Q227" t="n">
        <v>0</v>
      </c>
      <c r="R227" t="n">
        <v>0</v>
      </c>
      <c r="S227" t="n">
        <v>0</v>
      </c>
      <c r="T227" t="n">
        <v>0</v>
      </c>
      <c r="U227" s="2" t="inlineStr"/>
    </row>
    <row r="228" ht="15" customHeight="1">
      <c r="A228" t="inlineStr">
        <is>
          <t>A 51351-2022</t>
        </is>
      </c>
      <c r="B228" t="inlineStr">
        <is>
          <t>avverkningsanmälan</t>
        </is>
      </c>
      <c r="C228" t="inlineStr">
        <is>
          <t>Föryngringsavverkning</t>
        </is>
      </c>
      <c r="D228" s="1" t="n">
        <v>44869</v>
      </c>
      <c r="E228" s="1" t="n">
        <v>46216</v>
      </c>
      <c r="F228" t="inlineStr">
        <is>
          <t>BLEKINGE LÄN</t>
        </is>
      </c>
      <c r="G228" t="inlineStr">
        <is>
          <t>KARLSKRONA</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42011-2022</t>
        </is>
      </c>
      <c r="B229" t="inlineStr">
        <is>
          <t>avverkningsanmälan</t>
        </is>
      </c>
      <c r="C229" t="inlineStr">
        <is>
          <t>Föryngringsavverkning</t>
        </is>
      </c>
      <c r="D229" s="1" t="n">
        <v>44830</v>
      </c>
      <c r="E229" s="1" t="n">
        <v>46216</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s="2" t="inlineStr"/>
    </row>
    <row r="230" ht="15" customHeight="1">
      <c r="A230" t="inlineStr">
        <is>
          <t>A 38224-2022</t>
        </is>
      </c>
      <c r="B230" t="inlineStr">
        <is>
          <t>avverkningsanmälan</t>
        </is>
      </c>
      <c r="C230" t="inlineStr">
        <is>
          <t>Föryngringsavverkning</t>
        </is>
      </c>
      <c r="D230" s="1" t="n">
        <v>44812</v>
      </c>
      <c r="E230" s="1" t="n">
        <v>46216</v>
      </c>
      <c r="F230" t="inlineStr">
        <is>
          <t>BLEKINGE LÄN</t>
        </is>
      </c>
      <c r="G230" t="inlineStr">
        <is>
          <t>KARLSHAMN</t>
        </is>
      </c>
      <c r="I230" t="n">
        <v>0.5</v>
      </c>
      <c r="J230" t="n">
        <v>0</v>
      </c>
      <c r="K230" t="n">
        <v>0</v>
      </c>
      <c r="L230" t="n">
        <v>0</v>
      </c>
      <c r="M230" t="n">
        <v>0</v>
      </c>
      <c r="N230" t="n">
        <v>0</v>
      </c>
      <c r="O230" t="n">
        <v>0</v>
      </c>
      <c r="P230" t="n">
        <v>0</v>
      </c>
      <c r="Q230" t="n">
        <v>0</v>
      </c>
      <c r="R230" t="n">
        <v>0</v>
      </c>
      <c r="S230" t="n">
        <v>0</v>
      </c>
      <c r="T230" t="n">
        <v>0</v>
      </c>
      <c r="U230" s="2" t="inlineStr"/>
    </row>
    <row r="231" ht="15" customHeight="1">
      <c r="A231" t="inlineStr">
        <is>
          <t>A 45589-2021</t>
        </is>
      </c>
      <c r="B231" t="inlineStr">
        <is>
          <t>avverkningsanmälan</t>
        </is>
      </c>
      <c r="C231" t="inlineStr">
        <is>
          <t>Föryngringsavverkning</t>
        </is>
      </c>
      <c r="D231" s="1" t="n">
        <v>44440</v>
      </c>
      <c r="E231" s="1" t="n">
        <v>46216</v>
      </c>
      <c r="F231" t="inlineStr">
        <is>
          <t>BLEKINGE LÄN</t>
        </is>
      </c>
      <c r="G231" t="inlineStr">
        <is>
          <t>OLOFSTRÖM</t>
        </is>
      </c>
      <c r="H231" t="inlineStr">
        <is>
          <t>Övriga Aktiebolag</t>
        </is>
      </c>
      <c r="I231" t="n">
        <v>4.2</v>
      </c>
      <c r="J231" t="n">
        <v>0</v>
      </c>
      <c r="K231" t="n">
        <v>0</v>
      </c>
      <c r="L231" t="n">
        <v>0</v>
      </c>
      <c r="M231" t="n">
        <v>0</v>
      </c>
      <c r="N231" t="n">
        <v>0</v>
      </c>
      <c r="O231" t="n">
        <v>0</v>
      </c>
      <c r="P231" t="n">
        <v>0</v>
      </c>
      <c r="Q231" t="n">
        <v>0</v>
      </c>
      <c r="R231" t="n">
        <v>0</v>
      </c>
      <c r="S231" t="n">
        <v>0</v>
      </c>
      <c r="T231" t="n">
        <v>0</v>
      </c>
      <c r="U231" s="2" t="inlineStr"/>
    </row>
    <row r="232" ht="15" customHeight="1">
      <c r="A232" t="inlineStr">
        <is>
          <t>A 49149-2022</t>
        </is>
      </c>
      <c r="B232" t="inlineStr">
        <is>
          <t>avverkningsanmälan</t>
        </is>
      </c>
      <c r="C232" t="inlineStr">
        <is>
          <t>Föryngringsavverkning</t>
        </is>
      </c>
      <c r="D232" s="1" t="n">
        <v>44860</v>
      </c>
      <c r="E232" s="1" t="n">
        <v>46216</v>
      </c>
      <c r="F232" t="inlineStr">
        <is>
          <t>BLEKINGE LÄN</t>
        </is>
      </c>
      <c r="G232" t="inlineStr">
        <is>
          <t>RONNEBY</t>
        </is>
      </c>
      <c r="I232" t="n">
        <v>2.2</v>
      </c>
      <c r="J232" t="n">
        <v>0</v>
      </c>
      <c r="K232" t="n">
        <v>0</v>
      </c>
      <c r="L232" t="n">
        <v>0</v>
      </c>
      <c r="M232" t="n">
        <v>0</v>
      </c>
      <c r="N232" t="n">
        <v>0</v>
      </c>
      <c r="O232" t="n">
        <v>0</v>
      </c>
      <c r="P232" t="n">
        <v>0</v>
      </c>
      <c r="Q232" t="n">
        <v>0</v>
      </c>
      <c r="R232" t="n">
        <v>0</v>
      </c>
      <c r="S232" t="n">
        <v>0</v>
      </c>
      <c r="T232" t="n">
        <v>0</v>
      </c>
      <c r="U232" s="2" t="inlineStr"/>
    </row>
    <row r="233" ht="15" customHeight="1">
      <c r="A233" t="inlineStr">
        <is>
          <t>A 53837-2022</t>
        </is>
      </c>
      <c r="B233" t="inlineStr">
        <is>
          <t>avverkningsanmälan</t>
        </is>
      </c>
      <c r="C233" t="inlineStr">
        <is>
          <t>Föryngringsavverkning</t>
        </is>
      </c>
      <c r="D233" s="1" t="n">
        <v>44880</v>
      </c>
      <c r="E233" s="1" t="n">
        <v>46216</v>
      </c>
      <c r="F233" t="inlineStr">
        <is>
          <t>BLEKINGE LÄN</t>
        </is>
      </c>
      <c r="G233" t="inlineStr">
        <is>
          <t>RONNEBY</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52814-2022</t>
        </is>
      </c>
      <c r="B234" t="inlineStr">
        <is>
          <t>avverkningsanmälan</t>
        </is>
      </c>
      <c r="C234" t="inlineStr">
        <is>
          <t>Föryngringsavverkning</t>
        </is>
      </c>
      <c r="D234" s="1" t="n">
        <v>44875</v>
      </c>
      <c r="E234" s="1" t="n">
        <v>46216</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52825-2022</t>
        </is>
      </c>
      <c r="B235" t="inlineStr">
        <is>
          <t>avverkningsanmälan</t>
        </is>
      </c>
      <c r="C235" t="inlineStr">
        <is>
          <t>Föryngringsavverkning</t>
        </is>
      </c>
      <c r="D235" s="1" t="n">
        <v>44875</v>
      </c>
      <c r="E235" s="1" t="n">
        <v>46216</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s="2" t="inlineStr"/>
    </row>
    <row r="236" ht="15" customHeight="1">
      <c r="A236" t="inlineStr">
        <is>
          <t>A 50260-2021</t>
        </is>
      </c>
      <c r="B236" t="inlineStr">
        <is>
          <t>avverkningsanmälan</t>
        </is>
      </c>
      <c r="C236" t="inlineStr">
        <is>
          <t>Föryngringsavverkning</t>
        </is>
      </c>
      <c r="D236" s="1" t="n">
        <v>44458</v>
      </c>
      <c r="E236" s="1" t="n">
        <v>46216</v>
      </c>
      <c r="F236" t="inlineStr">
        <is>
          <t>BLEKINGE LÄN</t>
        </is>
      </c>
      <c r="G236" t="inlineStr">
        <is>
          <t>KARLSKRONA</t>
        </is>
      </c>
      <c r="I236" t="n">
        <v>2</v>
      </c>
      <c r="J236" t="n">
        <v>0</v>
      </c>
      <c r="K236" t="n">
        <v>0</v>
      </c>
      <c r="L236" t="n">
        <v>0</v>
      </c>
      <c r="M236" t="n">
        <v>0</v>
      </c>
      <c r="N236" t="n">
        <v>0</v>
      </c>
      <c r="O236" t="n">
        <v>0</v>
      </c>
      <c r="P236" t="n">
        <v>0</v>
      </c>
      <c r="Q236" t="n">
        <v>0</v>
      </c>
      <c r="R236" t="n">
        <v>0</v>
      </c>
      <c r="S236" t="n">
        <v>0</v>
      </c>
      <c r="T236" t="n">
        <v>0</v>
      </c>
      <c r="U236" s="2" t="inlineStr"/>
    </row>
    <row r="237" ht="15" customHeight="1">
      <c r="A237" t="inlineStr">
        <is>
          <t>A 16907-2022</t>
        </is>
      </c>
      <c r="B237" t="inlineStr">
        <is>
          <t>avverkningsanmälan</t>
        </is>
      </c>
      <c r="C237" t="inlineStr">
        <is>
          <t>Föryngringsavverkning</t>
        </is>
      </c>
      <c r="D237" s="1" t="n">
        <v>44676</v>
      </c>
      <c r="E237" s="1" t="n">
        <v>46216</v>
      </c>
      <c r="F237" t="inlineStr">
        <is>
          <t>BLEKINGE LÄN</t>
        </is>
      </c>
      <c r="G237" t="inlineStr">
        <is>
          <t>RONNEBY</t>
        </is>
      </c>
      <c r="I237" t="n">
        <v>1.2</v>
      </c>
      <c r="J237" t="n">
        <v>0</v>
      </c>
      <c r="K237" t="n">
        <v>0</v>
      </c>
      <c r="L237" t="n">
        <v>0</v>
      </c>
      <c r="M237" t="n">
        <v>0</v>
      </c>
      <c r="N237" t="n">
        <v>0</v>
      </c>
      <c r="O237" t="n">
        <v>0</v>
      </c>
      <c r="P237" t="n">
        <v>0</v>
      </c>
      <c r="Q237" t="n">
        <v>0</v>
      </c>
      <c r="R237" t="n">
        <v>0</v>
      </c>
      <c r="S237" t="n">
        <v>0</v>
      </c>
      <c r="T237" t="n">
        <v>0</v>
      </c>
      <c r="U237" s="2" t="inlineStr"/>
    </row>
    <row r="238" ht="15" customHeight="1">
      <c r="A238" t="inlineStr">
        <is>
          <t>A 29732-2022</t>
        </is>
      </c>
      <c r="B238" t="inlineStr">
        <is>
          <t>avverkningsanmälan</t>
        </is>
      </c>
      <c r="C238" t="inlineStr">
        <is>
          <t>Föryngringsavverkning</t>
        </is>
      </c>
      <c r="D238" s="1" t="n">
        <v>44755</v>
      </c>
      <c r="E238" s="1" t="n">
        <v>46216</v>
      </c>
      <c r="F238" t="inlineStr">
        <is>
          <t>BLEKINGE LÄN</t>
        </is>
      </c>
      <c r="G238" t="inlineStr">
        <is>
          <t>OLOFSTRÖM</t>
        </is>
      </c>
      <c r="I238" t="n">
        <v>1.5</v>
      </c>
      <c r="J238" t="n">
        <v>0</v>
      </c>
      <c r="K238" t="n">
        <v>0</v>
      </c>
      <c r="L238" t="n">
        <v>0</v>
      </c>
      <c r="M238" t="n">
        <v>0</v>
      </c>
      <c r="N238" t="n">
        <v>0</v>
      </c>
      <c r="O238" t="n">
        <v>0</v>
      </c>
      <c r="P238" t="n">
        <v>0</v>
      </c>
      <c r="Q238" t="n">
        <v>0</v>
      </c>
      <c r="R238" t="n">
        <v>0</v>
      </c>
      <c r="S238" t="n">
        <v>0</v>
      </c>
      <c r="T238" t="n">
        <v>0</v>
      </c>
      <c r="U238" s="2" t="inlineStr"/>
    </row>
    <row r="239" ht="15" customHeight="1">
      <c r="A239" t="inlineStr">
        <is>
          <t>A 57504-2021</t>
        </is>
      </c>
      <c r="B239" t="inlineStr">
        <is>
          <t>avverkningsanmälan</t>
        </is>
      </c>
      <c r="C239" t="inlineStr">
        <is>
          <t>Föryngringsavverkning</t>
        </is>
      </c>
      <c r="D239" s="1" t="n">
        <v>44483</v>
      </c>
      <c r="E239" s="1" t="n">
        <v>46216</v>
      </c>
      <c r="F239" t="inlineStr">
        <is>
          <t>BLEKINGE LÄN</t>
        </is>
      </c>
      <c r="G239" t="inlineStr">
        <is>
          <t>KARLSKRONA</t>
        </is>
      </c>
      <c r="I239" t="n">
        <v>0.5</v>
      </c>
      <c r="J239" t="n">
        <v>0</v>
      </c>
      <c r="K239" t="n">
        <v>0</v>
      </c>
      <c r="L239" t="n">
        <v>0</v>
      </c>
      <c r="M239" t="n">
        <v>0</v>
      </c>
      <c r="N239" t="n">
        <v>0</v>
      </c>
      <c r="O239" t="n">
        <v>0</v>
      </c>
      <c r="P239" t="n">
        <v>0</v>
      </c>
      <c r="Q239" t="n">
        <v>0</v>
      </c>
      <c r="R239" t="n">
        <v>0</v>
      </c>
      <c r="S239" t="n">
        <v>0</v>
      </c>
      <c r="T239" t="n">
        <v>0</v>
      </c>
      <c r="U239" s="2" t="inlineStr"/>
    </row>
    <row r="240" ht="15" customHeight="1">
      <c r="A240" t="inlineStr">
        <is>
          <t>A 48626-2021</t>
        </is>
      </c>
      <c r="B240" t="inlineStr">
        <is>
          <t>avverkningsanmälan</t>
        </is>
      </c>
      <c r="C240" t="inlineStr">
        <is>
          <t>Föryngringsavverkning</t>
        </is>
      </c>
      <c r="D240" s="1" t="n">
        <v>44452</v>
      </c>
      <c r="E240" s="1" t="n">
        <v>46216</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41045-2021</t>
        </is>
      </c>
      <c r="B241" t="inlineStr">
        <is>
          <t>avverkningsanmälan</t>
        </is>
      </c>
      <c r="C241" t="inlineStr">
        <is>
          <t>Föryngringsavverkning</t>
        </is>
      </c>
      <c r="D241" s="1" t="n">
        <v>44421</v>
      </c>
      <c r="E241" s="1" t="n">
        <v>46216</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s="2" t="inlineStr"/>
    </row>
    <row r="242" ht="15" customHeight="1">
      <c r="A242" t="inlineStr">
        <is>
          <t>A 64169-2021</t>
        </is>
      </c>
      <c r="B242" t="inlineStr">
        <is>
          <t>avverkningsanmälan</t>
        </is>
      </c>
      <c r="C242" t="inlineStr">
        <is>
          <t>Föryngringsavverkning</t>
        </is>
      </c>
      <c r="D242" s="1" t="n">
        <v>44510</v>
      </c>
      <c r="E242" s="1" t="n">
        <v>46216</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s="2" t="inlineStr"/>
    </row>
    <row r="243" ht="15" customHeight="1">
      <c r="A243" t="inlineStr">
        <is>
          <t>A 62713-2021</t>
        </is>
      </c>
      <c r="B243" t="inlineStr">
        <is>
          <t>avverkningsanmälan</t>
        </is>
      </c>
      <c r="C243" t="inlineStr">
        <is>
          <t>Föryngringsavverkning</t>
        </is>
      </c>
      <c r="D243" s="1" t="n">
        <v>44504</v>
      </c>
      <c r="E243" s="1" t="n">
        <v>46216</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58607-2021</t>
        </is>
      </c>
      <c r="B244" t="inlineStr">
        <is>
          <t>avverkningsanmälan</t>
        </is>
      </c>
      <c r="C244" t="inlineStr">
        <is>
          <t>Avverkning för annat ändamål</t>
        </is>
      </c>
      <c r="D244" s="1" t="n">
        <v>44488</v>
      </c>
      <c r="E244" s="1" t="n">
        <v>46216</v>
      </c>
      <c r="F244" t="inlineStr">
        <is>
          <t>BLEKINGE LÄN</t>
        </is>
      </c>
      <c r="G244" t="inlineStr">
        <is>
          <t>SÖLVESBORG</t>
        </is>
      </c>
      <c r="I244" t="n">
        <v>3.2</v>
      </c>
      <c r="J244" t="n">
        <v>0</v>
      </c>
      <c r="K244" t="n">
        <v>0</v>
      </c>
      <c r="L244" t="n">
        <v>0</v>
      </c>
      <c r="M244" t="n">
        <v>0</v>
      </c>
      <c r="N244" t="n">
        <v>0</v>
      </c>
      <c r="O244" t="n">
        <v>0</v>
      </c>
      <c r="P244" t="n">
        <v>0</v>
      </c>
      <c r="Q244" t="n">
        <v>0</v>
      </c>
      <c r="R244" t="n">
        <v>0</v>
      </c>
      <c r="S244" t="n">
        <v>0</v>
      </c>
      <c r="T244" t="n">
        <v>0</v>
      </c>
      <c r="U244" s="2" t="inlineStr"/>
    </row>
    <row r="245" ht="15" customHeight="1">
      <c r="A245" t="inlineStr">
        <is>
          <t>A 67972-2021</t>
        </is>
      </c>
      <c r="B245" t="inlineStr">
        <is>
          <t>avverkningsanmälan</t>
        </is>
      </c>
      <c r="C245" t="inlineStr">
        <is>
          <t>Föryngringsavverkning</t>
        </is>
      </c>
      <c r="D245" s="1" t="n">
        <v>44525</v>
      </c>
      <c r="E245" s="1" t="n">
        <v>46216</v>
      </c>
      <c r="F245" t="inlineStr">
        <is>
          <t>BLEKINGE LÄN</t>
        </is>
      </c>
      <c r="G245" t="inlineStr">
        <is>
          <t>KARLSHAMN</t>
        </is>
      </c>
      <c r="I245" t="n">
        <v>0.6</v>
      </c>
      <c r="J245" t="n">
        <v>0</v>
      </c>
      <c r="K245" t="n">
        <v>0</v>
      </c>
      <c r="L245" t="n">
        <v>0</v>
      </c>
      <c r="M245" t="n">
        <v>0</v>
      </c>
      <c r="N245" t="n">
        <v>0</v>
      </c>
      <c r="O245" t="n">
        <v>0</v>
      </c>
      <c r="P245" t="n">
        <v>0</v>
      </c>
      <c r="Q245" t="n">
        <v>0</v>
      </c>
      <c r="R245" t="n">
        <v>0</v>
      </c>
      <c r="S245" t="n">
        <v>0</v>
      </c>
      <c r="T245" t="n">
        <v>0</v>
      </c>
      <c r="U245" s="2" t="inlineStr"/>
    </row>
    <row r="246" ht="15" customHeight="1">
      <c r="A246" t="inlineStr">
        <is>
          <t>A 46544-2022</t>
        </is>
      </c>
      <c r="B246" t="inlineStr">
        <is>
          <t>avverkningsanmälan</t>
        </is>
      </c>
      <c r="C246" t="inlineStr">
        <is>
          <t>Föryngringsavverkning</t>
        </is>
      </c>
      <c r="D246" s="1" t="n">
        <v>44848</v>
      </c>
      <c r="E246" s="1" t="n">
        <v>46216</v>
      </c>
      <c r="F246" t="inlineStr">
        <is>
          <t>BLEKINGE LÄN</t>
        </is>
      </c>
      <c r="G246" t="inlineStr">
        <is>
          <t>RONNEBY</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74345-2021</t>
        </is>
      </c>
      <c r="B247" t="inlineStr">
        <is>
          <t>avverkningsanmälan</t>
        </is>
      </c>
      <c r="C247" t="inlineStr">
        <is>
          <t>Föryngringsavverkning</t>
        </is>
      </c>
      <c r="D247" s="1" t="n">
        <v>44559</v>
      </c>
      <c r="E247" s="1" t="n">
        <v>46216</v>
      </c>
      <c r="F247" t="inlineStr">
        <is>
          <t>BLEKINGE LÄN</t>
        </is>
      </c>
      <c r="G247" t="inlineStr">
        <is>
          <t>KARLSKRONA</t>
        </is>
      </c>
      <c r="I247" t="n">
        <v>5.2</v>
      </c>
      <c r="J247" t="n">
        <v>0</v>
      </c>
      <c r="K247" t="n">
        <v>0</v>
      </c>
      <c r="L247" t="n">
        <v>0</v>
      </c>
      <c r="M247" t="n">
        <v>0</v>
      </c>
      <c r="N247" t="n">
        <v>0</v>
      </c>
      <c r="O247" t="n">
        <v>0</v>
      </c>
      <c r="P247" t="n">
        <v>0</v>
      </c>
      <c r="Q247" t="n">
        <v>0</v>
      </c>
      <c r="R247" t="n">
        <v>0</v>
      </c>
      <c r="S247" t="n">
        <v>0</v>
      </c>
      <c r="T247" t="n">
        <v>0</v>
      </c>
      <c r="U247" s="2" t="inlineStr"/>
    </row>
    <row r="248" ht="15" customHeight="1">
      <c r="A248" t="inlineStr">
        <is>
          <t>A 61722-2021</t>
        </is>
      </c>
      <c r="B248" t="inlineStr">
        <is>
          <t>avverkningsanmälan</t>
        </is>
      </c>
      <c r="C248" t="inlineStr">
        <is>
          <t>Föryngringsavverkning</t>
        </is>
      </c>
      <c r="D248" s="1" t="n">
        <v>44501</v>
      </c>
      <c r="E248" s="1" t="n">
        <v>46216</v>
      </c>
      <c r="F248" t="inlineStr">
        <is>
          <t>BLEKINGE LÄN</t>
        </is>
      </c>
      <c r="G248" t="inlineStr">
        <is>
          <t>KARLSKRONA</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41035-2021</t>
        </is>
      </c>
      <c r="B249" t="inlineStr">
        <is>
          <t>avverkningsanmälan</t>
        </is>
      </c>
      <c r="C249" t="inlineStr">
        <is>
          <t>Föryngringsavverkning</t>
        </is>
      </c>
      <c r="D249" s="1" t="n">
        <v>44421</v>
      </c>
      <c r="E249" s="1" t="n">
        <v>46216</v>
      </c>
      <c r="F249" t="inlineStr">
        <is>
          <t>BLEKINGE LÄN</t>
        </is>
      </c>
      <c r="G249" t="inlineStr">
        <is>
          <t>KARLSKRONA</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2492-2022</t>
        </is>
      </c>
      <c r="B250" t="inlineStr">
        <is>
          <t>avverkningsanmälan</t>
        </is>
      </c>
      <c r="C250" t="inlineStr">
        <is>
          <t>Föryngringsavverkning</t>
        </is>
      </c>
      <c r="D250" s="1" t="n">
        <v>44579</v>
      </c>
      <c r="E250" s="1" t="n">
        <v>46216</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s="2" t="inlineStr"/>
    </row>
    <row r="251" ht="15" customHeight="1">
      <c r="A251" t="inlineStr">
        <is>
          <t>A 48516-2021</t>
        </is>
      </c>
      <c r="B251" t="inlineStr">
        <is>
          <t>avverkningsanmälan</t>
        </is>
      </c>
      <c r="C251" t="inlineStr">
        <is>
          <t>Föryngringsavverkning</t>
        </is>
      </c>
      <c r="D251" s="1" t="n">
        <v>44451</v>
      </c>
      <c r="E251" s="1" t="n">
        <v>46216</v>
      </c>
      <c r="F251" t="inlineStr">
        <is>
          <t>BLEKINGE LÄN</t>
        </is>
      </c>
      <c r="G251" t="inlineStr">
        <is>
          <t>RONNEBY</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38389-2021</t>
        </is>
      </c>
      <c r="B252" t="inlineStr">
        <is>
          <t>avverkningsanmälan</t>
        </is>
      </c>
      <c r="C252" t="inlineStr">
        <is>
          <t>Föryngringsavverkning</t>
        </is>
      </c>
      <c r="D252" s="1" t="n">
        <v>44406</v>
      </c>
      <c r="E252" s="1" t="n">
        <v>46216</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s="2" t="inlineStr"/>
    </row>
    <row r="253" ht="15" customHeight="1">
      <c r="A253" t="inlineStr">
        <is>
          <t>A 47971-2021</t>
        </is>
      </c>
      <c r="B253" t="inlineStr">
        <is>
          <t>avverkningsanmälan</t>
        </is>
      </c>
      <c r="C253" t="inlineStr">
        <is>
          <t>Föryngringsavverkning</t>
        </is>
      </c>
      <c r="D253" s="1" t="n">
        <v>44449</v>
      </c>
      <c r="E253" s="1" t="n">
        <v>46216</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s="2" t="inlineStr"/>
    </row>
    <row r="254" ht="15" customHeight="1">
      <c r="A254" t="inlineStr">
        <is>
          <t>A 9-2022</t>
        </is>
      </c>
      <c r="B254" t="inlineStr">
        <is>
          <t>avverkningsanmälan</t>
        </is>
      </c>
      <c r="C254" t="inlineStr">
        <is>
          <t>Föryngringsavverkning</t>
        </is>
      </c>
      <c r="D254" s="1" t="n">
        <v>44563</v>
      </c>
      <c r="E254" s="1" t="n">
        <v>46216</v>
      </c>
      <c r="F254" t="inlineStr">
        <is>
          <t>BLEKINGE LÄN</t>
        </is>
      </c>
      <c r="G254" t="inlineStr">
        <is>
          <t>KARLSHAMN</t>
        </is>
      </c>
      <c r="I254" t="n">
        <v>0.6</v>
      </c>
      <c r="J254" t="n">
        <v>0</v>
      </c>
      <c r="K254" t="n">
        <v>0</v>
      </c>
      <c r="L254" t="n">
        <v>0</v>
      </c>
      <c r="M254" t="n">
        <v>0</v>
      </c>
      <c r="N254" t="n">
        <v>0</v>
      </c>
      <c r="O254" t="n">
        <v>0</v>
      </c>
      <c r="P254" t="n">
        <v>0</v>
      </c>
      <c r="Q254" t="n">
        <v>0</v>
      </c>
      <c r="R254" t="n">
        <v>0</v>
      </c>
      <c r="S254" t="n">
        <v>0</v>
      </c>
      <c r="T254" t="n">
        <v>0</v>
      </c>
      <c r="U254" s="2" t="inlineStr"/>
    </row>
    <row r="255" ht="15" customHeight="1">
      <c r="A255" t="inlineStr">
        <is>
          <t>A 19146-2022</t>
        </is>
      </c>
      <c r="B255" t="inlineStr">
        <is>
          <t>avverkningsanmälan</t>
        </is>
      </c>
      <c r="C255" t="inlineStr">
        <is>
          <t>Föryngringsavverkning</t>
        </is>
      </c>
      <c r="D255" s="1" t="n">
        <v>44691</v>
      </c>
      <c r="E255" s="1" t="n">
        <v>46216</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s="2" t="inlineStr"/>
    </row>
    <row r="256" ht="15" customHeight="1">
      <c r="A256" t="inlineStr">
        <is>
          <t>A 54151-2021</t>
        </is>
      </c>
      <c r="B256" t="inlineStr">
        <is>
          <t>avverkningsanmälan</t>
        </is>
      </c>
      <c r="C256" t="inlineStr">
        <is>
          <t>Föryngringsavverkning</t>
        </is>
      </c>
      <c r="D256" s="1" t="n">
        <v>44470</v>
      </c>
      <c r="E256" s="1" t="n">
        <v>46216</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s="2" t="inlineStr"/>
    </row>
    <row r="257" ht="15" customHeight="1">
      <c r="A257" t="inlineStr">
        <is>
          <t>A 68264-2021</t>
        </is>
      </c>
      <c r="B257" t="inlineStr">
        <is>
          <t>avverkningsanmälan</t>
        </is>
      </c>
      <c r="C257" t="inlineStr">
        <is>
          <t>Föryngringsavverkning</t>
        </is>
      </c>
      <c r="D257" s="1" t="n">
        <v>44526</v>
      </c>
      <c r="E257" s="1" t="n">
        <v>46216</v>
      </c>
      <c r="F257" t="inlineStr">
        <is>
          <t>BLEKINGE LÄN</t>
        </is>
      </c>
      <c r="G257" t="inlineStr">
        <is>
          <t>KARLSKRONA</t>
        </is>
      </c>
      <c r="I257" t="n">
        <v>2.6</v>
      </c>
      <c r="J257" t="n">
        <v>0</v>
      </c>
      <c r="K257" t="n">
        <v>0</v>
      </c>
      <c r="L257" t="n">
        <v>0</v>
      </c>
      <c r="M257" t="n">
        <v>0</v>
      </c>
      <c r="N257" t="n">
        <v>0</v>
      </c>
      <c r="O257" t="n">
        <v>0</v>
      </c>
      <c r="P257" t="n">
        <v>0</v>
      </c>
      <c r="Q257" t="n">
        <v>0</v>
      </c>
      <c r="R257" t="n">
        <v>0</v>
      </c>
      <c r="S257" t="n">
        <v>0</v>
      </c>
      <c r="T257" t="n">
        <v>0</v>
      </c>
      <c r="U257" s="2" t="inlineStr"/>
    </row>
    <row r="258" ht="15" customHeight="1">
      <c r="A258" t="inlineStr">
        <is>
          <t>A 38817-2021</t>
        </is>
      </c>
      <c r="B258" t="inlineStr">
        <is>
          <t>avverkningsanmälan</t>
        </is>
      </c>
      <c r="C258" t="inlineStr">
        <is>
          <t>Föryngringsavverkning</t>
        </is>
      </c>
      <c r="D258" s="1" t="n">
        <v>44411</v>
      </c>
      <c r="E258" s="1" t="n">
        <v>46216</v>
      </c>
      <c r="F258" t="inlineStr">
        <is>
          <t>BLEKINGE LÄN</t>
        </is>
      </c>
      <c r="G258" t="inlineStr">
        <is>
          <t>KARLSKRONA</t>
        </is>
      </c>
      <c r="I258" t="n">
        <v>1</v>
      </c>
      <c r="J258" t="n">
        <v>0</v>
      </c>
      <c r="K258" t="n">
        <v>0</v>
      </c>
      <c r="L258" t="n">
        <v>0</v>
      </c>
      <c r="M258" t="n">
        <v>0</v>
      </c>
      <c r="N258" t="n">
        <v>0</v>
      </c>
      <c r="O258" t="n">
        <v>0</v>
      </c>
      <c r="P258" t="n">
        <v>0</v>
      </c>
      <c r="Q258" t="n">
        <v>0</v>
      </c>
      <c r="R258" t="n">
        <v>0</v>
      </c>
      <c r="S258" t="n">
        <v>0</v>
      </c>
      <c r="T258" t="n">
        <v>0</v>
      </c>
      <c r="U258" s="2" t="inlineStr"/>
    </row>
    <row r="259" ht="15" customHeight="1">
      <c r="A259" t="inlineStr">
        <is>
          <t>A 3022-2022</t>
        </is>
      </c>
      <c r="B259" t="inlineStr">
        <is>
          <t>avverkningsanmälan</t>
        </is>
      </c>
      <c r="C259" t="inlineStr">
        <is>
          <t>Föryngringsavverkning</t>
        </is>
      </c>
      <c r="D259" s="1" t="n">
        <v>44581</v>
      </c>
      <c r="E259" s="1" t="n">
        <v>46216</v>
      </c>
      <c r="F259" t="inlineStr">
        <is>
          <t>BLEKINGE LÄN</t>
        </is>
      </c>
      <c r="G259" t="inlineStr">
        <is>
          <t>RONNEBY</t>
        </is>
      </c>
      <c r="I259" t="n">
        <v>3.3</v>
      </c>
      <c r="J259" t="n">
        <v>0</v>
      </c>
      <c r="K259" t="n">
        <v>0</v>
      </c>
      <c r="L259" t="n">
        <v>0</v>
      </c>
      <c r="M259" t="n">
        <v>0</v>
      </c>
      <c r="N259" t="n">
        <v>0</v>
      </c>
      <c r="O259" t="n">
        <v>0</v>
      </c>
      <c r="P259" t="n">
        <v>0</v>
      </c>
      <c r="Q259" t="n">
        <v>0</v>
      </c>
      <c r="R259" t="n">
        <v>0</v>
      </c>
      <c r="S259" t="n">
        <v>0</v>
      </c>
      <c r="T259" t="n">
        <v>0</v>
      </c>
      <c r="U259" s="2" t="inlineStr"/>
    </row>
    <row r="260" ht="15" customHeight="1">
      <c r="A260" t="inlineStr">
        <is>
          <t>A 45935-2021</t>
        </is>
      </c>
      <c r="B260" t="inlineStr">
        <is>
          <t>avverkningsanmälan</t>
        </is>
      </c>
      <c r="C260" t="inlineStr">
        <is>
          <t>Föryngringsavverkning</t>
        </is>
      </c>
      <c r="D260" s="1" t="n">
        <v>44441</v>
      </c>
      <c r="E260" s="1" t="n">
        <v>46216</v>
      </c>
      <c r="F260" t="inlineStr">
        <is>
          <t>BLEKINGE LÄN</t>
        </is>
      </c>
      <c r="G260" t="inlineStr">
        <is>
          <t>KARLSKRONA</t>
        </is>
      </c>
      <c r="I260" t="n">
        <v>0.6</v>
      </c>
      <c r="J260" t="n">
        <v>0</v>
      </c>
      <c r="K260" t="n">
        <v>0</v>
      </c>
      <c r="L260" t="n">
        <v>0</v>
      </c>
      <c r="M260" t="n">
        <v>0</v>
      </c>
      <c r="N260" t="n">
        <v>0</v>
      </c>
      <c r="O260" t="n">
        <v>0</v>
      </c>
      <c r="P260" t="n">
        <v>0</v>
      </c>
      <c r="Q260" t="n">
        <v>0</v>
      </c>
      <c r="R260" t="n">
        <v>0</v>
      </c>
      <c r="S260" t="n">
        <v>0</v>
      </c>
      <c r="T260" t="n">
        <v>0</v>
      </c>
      <c r="U260" s="2" t="inlineStr"/>
    </row>
    <row r="261" ht="15" customHeight="1">
      <c r="A261" t="inlineStr">
        <is>
          <t>A 51528-2021</t>
        </is>
      </c>
      <c r="B261" t="inlineStr">
        <is>
          <t>avverkningsanmälan</t>
        </is>
      </c>
      <c r="C261" t="inlineStr">
        <is>
          <t>Föryngringsavverkning</t>
        </is>
      </c>
      <c r="D261" s="1" t="n">
        <v>44462</v>
      </c>
      <c r="E261" s="1" t="n">
        <v>46216</v>
      </c>
      <c r="F261" t="inlineStr">
        <is>
          <t>BLEKINGE LÄN</t>
        </is>
      </c>
      <c r="G261" t="inlineStr">
        <is>
          <t>KARLSKRONA</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4632-2022</t>
        </is>
      </c>
      <c r="B262" t="inlineStr">
        <is>
          <t>avverkningsanmälan</t>
        </is>
      </c>
      <c r="C262" t="inlineStr">
        <is>
          <t>Föryngringsavverkning</t>
        </is>
      </c>
      <c r="D262" s="1" t="n">
        <v>44592</v>
      </c>
      <c r="E262" s="1" t="n">
        <v>46216</v>
      </c>
      <c r="F262" t="inlineStr">
        <is>
          <t>BLEKINGE LÄN</t>
        </is>
      </c>
      <c r="G262" t="inlineStr">
        <is>
          <t>RONNEBY</t>
        </is>
      </c>
      <c r="I262" t="n">
        <v>0.4</v>
      </c>
      <c r="J262" t="n">
        <v>0</v>
      </c>
      <c r="K262" t="n">
        <v>0</v>
      </c>
      <c r="L262" t="n">
        <v>0</v>
      </c>
      <c r="M262" t="n">
        <v>0</v>
      </c>
      <c r="N262" t="n">
        <v>0</v>
      </c>
      <c r="O262" t="n">
        <v>0</v>
      </c>
      <c r="P262" t="n">
        <v>0</v>
      </c>
      <c r="Q262" t="n">
        <v>0</v>
      </c>
      <c r="R262" t="n">
        <v>0</v>
      </c>
      <c r="S262" t="n">
        <v>0</v>
      </c>
      <c r="T262" t="n">
        <v>0</v>
      </c>
      <c r="U262" s="2" t="inlineStr"/>
    </row>
    <row r="263" ht="15" customHeight="1">
      <c r="A263" t="inlineStr">
        <is>
          <t>A 15319-2022</t>
        </is>
      </c>
      <c r="B263" t="inlineStr">
        <is>
          <t>avverkningsanmälan</t>
        </is>
      </c>
      <c r="C263" t="inlineStr">
        <is>
          <t>Föryngringsavverkning</t>
        </is>
      </c>
      <c r="D263" s="1" t="n">
        <v>44659</v>
      </c>
      <c r="E263" s="1" t="n">
        <v>46216</v>
      </c>
      <c r="F263" t="inlineStr">
        <is>
          <t>BLEKINGE LÄN</t>
        </is>
      </c>
      <c r="G263" t="inlineStr">
        <is>
          <t>KARLSKRONA</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41588-2022</t>
        </is>
      </c>
      <c r="B264" t="inlineStr">
        <is>
          <t>avverkningsanmälan</t>
        </is>
      </c>
      <c r="C264" t="inlineStr">
        <is>
          <t>Föryngringsavverkning</t>
        </is>
      </c>
      <c r="D264" s="1" t="n">
        <v>44827</v>
      </c>
      <c r="E264" s="1" t="n">
        <v>46216</v>
      </c>
      <c r="F264" t="inlineStr">
        <is>
          <t>BLEKINGE LÄN</t>
        </is>
      </c>
      <c r="G264" t="inlineStr">
        <is>
          <t>RONNEBY</t>
        </is>
      </c>
      <c r="I264" t="n">
        <v>0.7</v>
      </c>
      <c r="J264" t="n">
        <v>0</v>
      </c>
      <c r="K264" t="n">
        <v>0</v>
      </c>
      <c r="L264" t="n">
        <v>0</v>
      </c>
      <c r="M264" t="n">
        <v>0</v>
      </c>
      <c r="N264" t="n">
        <v>0</v>
      </c>
      <c r="O264" t="n">
        <v>0</v>
      </c>
      <c r="P264" t="n">
        <v>0</v>
      </c>
      <c r="Q264" t="n">
        <v>0</v>
      </c>
      <c r="R264" t="n">
        <v>0</v>
      </c>
      <c r="S264" t="n">
        <v>0</v>
      </c>
      <c r="T264" t="n">
        <v>0</v>
      </c>
      <c r="U264" s="2" t="inlineStr"/>
    </row>
    <row r="265" ht="15" customHeight="1">
      <c r="A265" t="inlineStr">
        <is>
          <t>A 56370-2021</t>
        </is>
      </c>
      <c r="B265" t="inlineStr">
        <is>
          <t>avverkningsanmälan</t>
        </is>
      </c>
      <c r="C265" t="inlineStr">
        <is>
          <t>Föryngringsavverkning</t>
        </is>
      </c>
      <c r="D265" s="1" t="n">
        <v>44480</v>
      </c>
      <c r="E265" s="1" t="n">
        <v>46216</v>
      </c>
      <c r="F265" t="inlineStr">
        <is>
          <t>BLEKINGE LÄN</t>
        </is>
      </c>
      <c r="G265" t="inlineStr">
        <is>
          <t>KARLSHAMN</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43187-2022</t>
        </is>
      </c>
      <c r="B266" t="inlineStr">
        <is>
          <t>avverkningsanmälan</t>
        </is>
      </c>
      <c r="C266" t="inlineStr">
        <is>
          <t>Föryngringsavverkning</t>
        </is>
      </c>
      <c r="D266" s="1" t="n">
        <v>44834</v>
      </c>
      <c r="E266" s="1" t="n">
        <v>46216</v>
      </c>
      <c r="F266" t="inlineStr">
        <is>
          <t>BLEKINGE LÄN</t>
        </is>
      </c>
      <c r="G266" t="inlineStr">
        <is>
          <t>KARLSHAMN</t>
        </is>
      </c>
      <c r="I266" t="n">
        <v>2</v>
      </c>
      <c r="J266" t="n">
        <v>0</v>
      </c>
      <c r="K266" t="n">
        <v>0</v>
      </c>
      <c r="L266" t="n">
        <v>0</v>
      </c>
      <c r="M266" t="n">
        <v>0</v>
      </c>
      <c r="N266" t="n">
        <v>0</v>
      </c>
      <c r="O266" t="n">
        <v>0</v>
      </c>
      <c r="P266" t="n">
        <v>0</v>
      </c>
      <c r="Q266" t="n">
        <v>0</v>
      </c>
      <c r="R266" t="n">
        <v>0</v>
      </c>
      <c r="S266" t="n">
        <v>0</v>
      </c>
      <c r="T266" t="n">
        <v>0</v>
      </c>
      <c r="U266" s="2" t="inlineStr"/>
    </row>
    <row r="267" ht="15" customHeight="1">
      <c r="A267" t="inlineStr">
        <is>
          <t>A 16926-2022</t>
        </is>
      </c>
      <c r="B267" t="inlineStr">
        <is>
          <t>avverkningsanmälan</t>
        </is>
      </c>
      <c r="C267" t="inlineStr">
        <is>
          <t>Föryngringsavverkning</t>
        </is>
      </c>
      <c r="D267" s="1" t="n">
        <v>44676</v>
      </c>
      <c r="E267" s="1" t="n">
        <v>46216</v>
      </c>
      <c r="F267" t="inlineStr">
        <is>
          <t>BLEKINGE LÄN</t>
        </is>
      </c>
      <c r="G267" t="inlineStr">
        <is>
          <t>KARLSKRONA</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11303-2022</t>
        </is>
      </c>
      <c r="B268" t="inlineStr">
        <is>
          <t>avverkningsanmälan</t>
        </is>
      </c>
      <c r="C268" t="inlineStr">
        <is>
          <t>Föryngringsavverkning</t>
        </is>
      </c>
      <c r="D268" s="1" t="n">
        <v>44629</v>
      </c>
      <c r="E268" s="1" t="n">
        <v>46216</v>
      </c>
      <c r="F268" t="inlineStr">
        <is>
          <t>BLEKINGE LÄN</t>
        </is>
      </c>
      <c r="G268" t="inlineStr">
        <is>
          <t>KARLSKRONA</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62169-2021</t>
        </is>
      </c>
      <c r="B269" t="inlineStr">
        <is>
          <t>avverkningsanmälan</t>
        </is>
      </c>
      <c r="C269" t="inlineStr">
        <is>
          <t>Föryngringsavverkning</t>
        </is>
      </c>
      <c r="D269" s="1" t="n">
        <v>44502</v>
      </c>
      <c r="E269" s="1" t="n">
        <v>46216</v>
      </c>
      <c r="F269" t="inlineStr">
        <is>
          <t>BLEKINGE LÄN</t>
        </is>
      </c>
      <c r="G269" t="inlineStr">
        <is>
          <t>KARLSKRONA</t>
        </is>
      </c>
      <c r="I269" t="n">
        <v>2.4</v>
      </c>
      <c r="J269" t="n">
        <v>0</v>
      </c>
      <c r="K269" t="n">
        <v>0</v>
      </c>
      <c r="L269" t="n">
        <v>0</v>
      </c>
      <c r="M269" t="n">
        <v>0</v>
      </c>
      <c r="N269" t="n">
        <v>0</v>
      </c>
      <c r="O269" t="n">
        <v>0</v>
      </c>
      <c r="P269" t="n">
        <v>0</v>
      </c>
      <c r="Q269" t="n">
        <v>0</v>
      </c>
      <c r="R269" t="n">
        <v>0</v>
      </c>
      <c r="S269" t="n">
        <v>0</v>
      </c>
      <c r="T269" t="n">
        <v>0</v>
      </c>
      <c r="U269" s="2" t="inlineStr"/>
    </row>
    <row r="270" ht="15" customHeight="1">
      <c r="A270" t="inlineStr">
        <is>
          <t>A 29431-2022</t>
        </is>
      </c>
      <c r="B270" t="inlineStr">
        <is>
          <t>avverkningsanmälan</t>
        </is>
      </c>
      <c r="C270" t="inlineStr">
        <is>
          <t>Föryngringsavverkning</t>
        </is>
      </c>
      <c r="D270" s="1" t="n">
        <v>44753</v>
      </c>
      <c r="E270" s="1" t="n">
        <v>46216</v>
      </c>
      <c r="F270" t="inlineStr">
        <is>
          <t>BLEKINGE LÄN</t>
        </is>
      </c>
      <c r="G270" t="inlineStr">
        <is>
          <t>RONNEBY</t>
        </is>
      </c>
      <c r="I270" t="n">
        <v>0</v>
      </c>
      <c r="J270" t="n">
        <v>0</v>
      </c>
      <c r="K270" t="n">
        <v>0</v>
      </c>
      <c r="L270" t="n">
        <v>0</v>
      </c>
      <c r="M270" t="n">
        <v>0</v>
      </c>
      <c r="N270" t="n">
        <v>0</v>
      </c>
      <c r="O270" t="n">
        <v>0</v>
      </c>
      <c r="P270" t="n">
        <v>0</v>
      </c>
      <c r="Q270" t="n">
        <v>0</v>
      </c>
      <c r="R270" t="n">
        <v>0</v>
      </c>
      <c r="S270" t="n">
        <v>0</v>
      </c>
      <c r="T270" t="n">
        <v>0</v>
      </c>
      <c r="U270" s="2" t="inlineStr"/>
    </row>
    <row r="271" ht="15" customHeight="1">
      <c r="A271" t="inlineStr">
        <is>
          <t>A 3871-2022</t>
        </is>
      </c>
      <c r="B271" t="inlineStr">
        <is>
          <t>avverkningsanmälan</t>
        </is>
      </c>
      <c r="C271" t="inlineStr">
        <is>
          <t>Föryngringsavverkning</t>
        </is>
      </c>
      <c r="D271" s="1" t="n">
        <v>44587</v>
      </c>
      <c r="E271" s="1" t="n">
        <v>46216</v>
      </c>
      <c r="F271" t="inlineStr">
        <is>
          <t>BLEKINGE LÄN</t>
        </is>
      </c>
      <c r="G271" t="inlineStr">
        <is>
          <t>OLOFSTRÖM</t>
        </is>
      </c>
      <c r="I271" t="n">
        <v>3</v>
      </c>
      <c r="J271" t="n">
        <v>0</v>
      </c>
      <c r="K271" t="n">
        <v>0</v>
      </c>
      <c r="L271" t="n">
        <v>0</v>
      </c>
      <c r="M271" t="n">
        <v>0</v>
      </c>
      <c r="N271" t="n">
        <v>0</v>
      </c>
      <c r="O271" t="n">
        <v>0</v>
      </c>
      <c r="P271" t="n">
        <v>0</v>
      </c>
      <c r="Q271" t="n">
        <v>0</v>
      </c>
      <c r="R271" t="n">
        <v>0</v>
      </c>
      <c r="S271" t="n">
        <v>0</v>
      </c>
      <c r="T271" t="n">
        <v>0</v>
      </c>
      <c r="U271" s="2" t="inlineStr"/>
    </row>
    <row r="272" ht="15" customHeight="1">
      <c r="A272" t="inlineStr">
        <is>
          <t>A 64109-2021</t>
        </is>
      </c>
      <c r="B272" t="inlineStr">
        <is>
          <t>avverkningsanmälan</t>
        </is>
      </c>
      <c r="C272" t="inlineStr">
        <is>
          <t>Föryngringsavverkning</t>
        </is>
      </c>
      <c r="D272" s="1" t="n">
        <v>44509</v>
      </c>
      <c r="E272" s="1" t="n">
        <v>46216</v>
      </c>
      <c r="F272" t="inlineStr">
        <is>
          <t>BLEKINGE LÄN</t>
        </is>
      </c>
      <c r="G272" t="inlineStr">
        <is>
          <t>KARLSHAMN</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45578-2022</t>
        </is>
      </c>
      <c r="B273" t="inlineStr">
        <is>
          <t>avverkningsanmälan</t>
        </is>
      </c>
      <c r="C273" t="inlineStr">
        <is>
          <t>Föryngringsavverkning</t>
        </is>
      </c>
      <c r="D273" s="1" t="n">
        <v>44845</v>
      </c>
      <c r="E273" s="1" t="n">
        <v>46216</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s="2" t="inlineStr"/>
    </row>
    <row r="274" ht="15" customHeight="1">
      <c r="A274" t="inlineStr">
        <is>
          <t>A 51898-2021</t>
        </is>
      </c>
      <c r="B274" t="inlineStr">
        <is>
          <t>avverkningsanmälan</t>
        </is>
      </c>
      <c r="C274" t="inlineStr">
        <is>
          <t>Föryngringsavverkning</t>
        </is>
      </c>
      <c r="D274" s="1" t="n">
        <v>44462</v>
      </c>
      <c r="E274" s="1" t="n">
        <v>46216</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s="2" t="inlineStr"/>
    </row>
    <row r="275" ht="15" customHeight="1">
      <c r="A275" t="inlineStr">
        <is>
          <t>A 27409-2022</t>
        </is>
      </c>
      <c r="B275" t="inlineStr">
        <is>
          <t>avverkningsanmälan</t>
        </is>
      </c>
      <c r="C275" t="inlineStr">
        <is>
          <t>Föryngringsavverkning</t>
        </is>
      </c>
      <c r="D275" s="1" t="n">
        <v>44742</v>
      </c>
      <c r="E275" s="1" t="n">
        <v>46216</v>
      </c>
      <c r="F275" t="inlineStr">
        <is>
          <t>BLEKINGE LÄN</t>
        </is>
      </c>
      <c r="G275" t="inlineStr">
        <is>
          <t>KARLSHAMN</t>
        </is>
      </c>
      <c r="I275" t="n">
        <v>3.1</v>
      </c>
      <c r="J275" t="n">
        <v>0</v>
      </c>
      <c r="K275" t="n">
        <v>0</v>
      </c>
      <c r="L275" t="n">
        <v>0</v>
      </c>
      <c r="M275" t="n">
        <v>0</v>
      </c>
      <c r="N275" t="n">
        <v>0</v>
      </c>
      <c r="O275" t="n">
        <v>0</v>
      </c>
      <c r="P275" t="n">
        <v>0</v>
      </c>
      <c r="Q275" t="n">
        <v>0</v>
      </c>
      <c r="R275" t="n">
        <v>0</v>
      </c>
      <c r="S275" t="n">
        <v>0</v>
      </c>
      <c r="T275" t="n">
        <v>0</v>
      </c>
      <c r="U275" s="2" t="inlineStr"/>
    </row>
    <row r="276" ht="15" customHeight="1">
      <c r="A276" t="inlineStr">
        <is>
          <t>A 44489-2021</t>
        </is>
      </c>
      <c r="B276" t="inlineStr">
        <is>
          <t>avverkningsanmälan</t>
        </is>
      </c>
      <c r="C276" t="inlineStr">
        <is>
          <t>Föryngringsavverkning</t>
        </is>
      </c>
      <c r="D276" s="1" t="n">
        <v>44435</v>
      </c>
      <c r="E276" s="1" t="n">
        <v>46216</v>
      </c>
      <c r="F276" t="inlineStr">
        <is>
          <t>BLEKINGE LÄN</t>
        </is>
      </c>
      <c r="G276" t="inlineStr">
        <is>
          <t>KARLSKRONA</t>
        </is>
      </c>
      <c r="I276" t="n">
        <v>2.8</v>
      </c>
      <c r="J276" t="n">
        <v>0</v>
      </c>
      <c r="K276" t="n">
        <v>0</v>
      </c>
      <c r="L276" t="n">
        <v>0</v>
      </c>
      <c r="M276" t="n">
        <v>0</v>
      </c>
      <c r="N276" t="n">
        <v>0</v>
      </c>
      <c r="O276" t="n">
        <v>0</v>
      </c>
      <c r="P276" t="n">
        <v>0</v>
      </c>
      <c r="Q276" t="n">
        <v>0</v>
      </c>
      <c r="R276" t="n">
        <v>0</v>
      </c>
      <c r="S276" t="n">
        <v>0</v>
      </c>
      <c r="T276" t="n">
        <v>0</v>
      </c>
      <c r="U276" s="2" t="inlineStr"/>
    </row>
    <row r="277" ht="15" customHeight="1">
      <c r="A277" t="inlineStr">
        <is>
          <t>A 47249-2021</t>
        </is>
      </c>
      <c r="B277" t="inlineStr">
        <is>
          <t>avverkningsanmälan</t>
        </is>
      </c>
      <c r="C277" t="inlineStr">
        <is>
          <t>Föryngringsavverkning</t>
        </is>
      </c>
      <c r="D277" s="1" t="n">
        <v>44447</v>
      </c>
      <c r="E277" s="1" t="n">
        <v>46216</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s="2" t="inlineStr"/>
    </row>
    <row r="278" ht="15" customHeight="1">
      <c r="A278" t="inlineStr">
        <is>
          <t>A 23142-2022</t>
        </is>
      </c>
      <c r="B278" t="inlineStr">
        <is>
          <t>avverkningsanmälan</t>
        </is>
      </c>
      <c r="C278" t="inlineStr">
        <is>
          <t>Föryngringsavverkning</t>
        </is>
      </c>
      <c r="D278" s="1" t="n">
        <v>44719</v>
      </c>
      <c r="E278" s="1" t="n">
        <v>46216</v>
      </c>
      <c r="F278" t="inlineStr">
        <is>
          <t>BLEKINGE LÄN</t>
        </is>
      </c>
      <c r="G278" t="inlineStr">
        <is>
          <t>KARLSKRONA</t>
        </is>
      </c>
      <c r="I278" t="n">
        <v>0.5</v>
      </c>
      <c r="J278" t="n">
        <v>0</v>
      </c>
      <c r="K278" t="n">
        <v>0</v>
      </c>
      <c r="L278" t="n">
        <v>0</v>
      </c>
      <c r="M278" t="n">
        <v>0</v>
      </c>
      <c r="N278" t="n">
        <v>0</v>
      </c>
      <c r="O278" t="n">
        <v>0</v>
      </c>
      <c r="P278" t="n">
        <v>0</v>
      </c>
      <c r="Q278" t="n">
        <v>0</v>
      </c>
      <c r="R278" t="n">
        <v>0</v>
      </c>
      <c r="S278" t="n">
        <v>0</v>
      </c>
      <c r="T278" t="n">
        <v>0</v>
      </c>
      <c r="U278" s="2" t="inlineStr"/>
    </row>
    <row r="279" ht="15" customHeight="1">
      <c r="A279" t="inlineStr">
        <is>
          <t>A 37499-2021</t>
        </is>
      </c>
      <c r="B279" t="inlineStr">
        <is>
          <t>avverkningsanmälan</t>
        </is>
      </c>
      <c r="C279" t="inlineStr">
        <is>
          <t>Föryngringsavverkning</t>
        </is>
      </c>
      <c r="D279" s="1" t="n">
        <v>44399</v>
      </c>
      <c r="E279" s="1" t="n">
        <v>46216</v>
      </c>
      <c r="F279" t="inlineStr">
        <is>
          <t>BLEKINGE LÄN</t>
        </is>
      </c>
      <c r="G279" t="inlineStr">
        <is>
          <t>KARLSKRONA</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62510-2021</t>
        </is>
      </c>
      <c r="B280" t="inlineStr">
        <is>
          <t>avverkningsanmälan</t>
        </is>
      </c>
      <c r="C280" t="inlineStr">
        <is>
          <t>Föryngringsavverkning</t>
        </is>
      </c>
      <c r="D280" s="1" t="n">
        <v>44503</v>
      </c>
      <c r="E280" s="1" t="n">
        <v>46216</v>
      </c>
      <c r="F280" t="inlineStr">
        <is>
          <t>BLEKINGE LÄN</t>
        </is>
      </c>
      <c r="G280" t="inlineStr">
        <is>
          <t>KARLSKRONA</t>
        </is>
      </c>
      <c r="I280" t="n">
        <v>1.6</v>
      </c>
      <c r="J280" t="n">
        <v>0</v>
      </c>
      <c r="K280" t="n">
        <v>0</v>
      </c>
      <c r="L280" t="n">
        <v>0</v>
      </c>
      <c r="M280" t="n">
        <v>0</v>
      </c>
      <c r="N280" t="n">
        <v>0</v>
      </c>
      <c r="O280" t="n">
        <v>0</v>
      </c>
      <c r="P280" t="n">
        <v>0</v>
      </c>
      <c r="Q280" t="n">
        <v>0</v>
      </c>
      <c r="R280" t="n">
        <v>0</v>
      </c>
      <c r="S280" t="n">
        <v>0</v>
      </c>
      <c r="T280" t="n">
        <v>0</v>
      </c>
      <c r="U280" s="2" t="inlineStr"/>
    </row>
    <row r="281" ht="15" customHeight="1">
      <c r="A281" t="inlineStr">
        <is>
          <t>A 51862-2021</t>
        </is>
      </c>
      <c r="B281" t="inlineStr">
        <is>
          <t>avverkningsanmälan</t>
        </is>
      </c>
      <c r="C281" t="inlineStr">
        <is>
          <t>Föryngringsavverkning</t>
        </is>
      </c>
      <c r="D281" s="1" t="n">
        <v>44462</v>
      </c>
      <c r="E281" s="1" t="n">
        <v>46216</v>
      </c>
      <c r="F281" t="inlineStr">
        <is>
          <t>BLEKINGE LÄN</t>
        </is>
      </c>
      <c r="G281" t="inlineStr">
        <is>
          <t>KARLSKRONA</t>
        </is>
      </c>
      <c r="I281" t="n">
        <v>2.5</v>
      </c>
      <c r="J281" t="n">
        <v>0</v>
      </c>
      <c r="K281" t="n">
        <v>0</v>
      </c>
      <c r="L281" t="n">
        <v>0</v>
      </c>
      <c r="M281" t="n">
        <v>0</v>
      </c>
      <c r="N281" t="n">
        <v>0</v>
      </c>
      <c r="O281" t="n">
        <v>0</v>
      </c>
      <c r="P281" t="n">
        <v>0</v>
      </c>
      <c r="Q281" t="n">
        <v>0</v>
      </c>
      <c r="R281" t="n">
        <v>0</v>
      </c>
      <c r="S281" t="n">
        <v>0</v>
      </c>
      <c r="T281" t="n">
        <v>0</v>
      </c>
      <c r="U281" s="2" t="inlineStr"/>
    </row>
    <row r="282" ht="15" customHeight="1">
      <c r="A282" t="inlineStr">
        <is>
          <t>A 47495-2021</t>
        </is>
      </c>
      <c r="B282" t="inlineStr">
        <is>
          <t>avverkningsanmälan</t>
        </is>
      </c>
      <c r="C282" t="inlineStr">
        <is>
          <t>Föryngringsavverkning</t>
        </is>
      </c>
      <c r="D282" s="1" t="n">
        <v>44447</v>
      </c>
      <c r="E282" s="1" t="n">
        <v>46216</v>
      </c>
      <c r="F282" t="inlineStr">
        <is>
          <t>BLEKINGE LÄN</t>
        </is>
      </c>
      <c r="G282" t="inlineStr">
        <is>
          <t>KARLSKRONA</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2490-2022</t>
        </is>
      </c>
      <c r="B283" t="inlineStr">
        <is>
          <t>avverkningsanmälan</t>
        </is>
      </c>
      <c r="C283" t="inlineStr">
        <is>
          <t>Föryngringsavverkning</t>
        </is>
      </c>
      <c r="D283" s="1" t="n">
        <v>44579</v>
      </c>
      <c r="E283" s="1" t="n">
        <v>46216</v>
      </c>
      <c r="F283" t="inlineStr">
        <is>
          <t>BLEKINGE LÄN</t>
        </is>
      </c>
      <c r="G283" t="inlineStr">
        <is>
          <t>KARLSHAMN</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1266-2022</t>
        </is>
      </c>
      <c r="B284" t="inlineStr">
        <is>
          <t>avverkningsanmälan</t>
        </is>
      </c>
      <c r="C284" t="inlineStr">
        <is>
          <t>Föryngringsavverkning</t>
        </is>
      </c>
      <c r="D284" s="1" t="n">
        <v>44572</v>
      </c>
      <c r="E284" s="1" t="n">
        <v>46216</v>
      </c>
      <c r="F284" t="inlineStr">
        <is>
          <t>BLEKINGE LÄN</t>
        </is>
      </c>
      <c r="G284" t="inlineStr">
        <is>
          <t>OLOFSTRÖM</t>
        </is>
      </c>
      <c r="H284" t="inlineStr">
        <is>
          <t>Kommuner</t>
        </is>
      </c>
      <c r="I284" t="n">
        <v>3.6</v>
      </c>
      <c r="J284" t="n">
        <v>0</v>
      </c>
      <c r="K284" t="n">
        <v>0</v>
      </c>
      <c r="L284" t="n">
        <v>0</v>
      </c>
      <c r="M284" t="n">
        <v>0</v>
      </c>
      <c r="N284" t="n">
        <v>0</v>
      </c>
      <c r="O284" t="n">
        <v>0</v>
      </c>
      <c r="P284" t="n">
        <v>0</v>
      </c>
      <c r="Q284" t="n">
        <v>0</v>
      </c>
      <c r="R284" t="n">
        <v>0</v>
      </c>
      <c r="S284" t="n">
        <v>0</v>
      </c>
      <c r="T284" t="n">
        <v>0</v>
      </c>
      <c r="U284" s="2" t="inlineStr"/>
    </row>
    <row r="285" ht="15" customHeight="1">
      <c r="A285" t="inlineStr">
        <is>
          <t>A 74176-2021</t>
        </is>
      </c>
      <c r="B285" t="inlineStr">
        <is>
          <t>avverkningsanmälan</t>
        </is>
      </c>
      <c r="C285" t="inlineStr">
        <is>
          <t>Föryngringsavverkning</t>
        </is>
      </c>
      <c r="D285" s="1" t="n">
        <v>44558</v>
      </c>
      <c r="E285" s="1" t="n">
        <v>46216</v>
      </c>
      <c r="F285" t="inlineStr">
        <is>
          <t>BLEKINGE LÄN</t>
        </is>
      </c>
      <c r="G285" t="inlineStr">
        <is>
          <t>OLOFSTRÖM</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33834-2022</t>
        </is>
      </c>
      <c r="B286" t="inlineStr">
        <is>
          <t>avverkningsanmälan</t>
        </is>
      </c>
      <c r="C286" t="inlineStr">
        <is>
          <t>Föryngringsavverkning</t>
        </is>
      </c>
      <c r="D286" s="1" t="n">
        <v>44790</v>
      </c>
      <c r="E286" s="1" t="n">
        <v>46216</v>
      </c>
      <c r="F286" t="inlineStr">
        <is>
          <t>BLEKINGE LÄN</t>
        </is>
      </c>
      <c r="G286" t="inlineStr">
        <is>
          <t>RONNEBY</t>
        </is>
      </c>
      <c r="I286" t="n">
        <v>1.1</v>
      </c>
      <c r="J286" t="n">
        <v>0</v>
      </c>
      <c r="K286" t="n">
        <v>0</v>
      </c>
      <c r="L286" t="n">
        <v>0</v>
      </c>
      <c r="M286" t="n">
        <v>0</v>
      </c>
      <c r="N286" t="n">
        <v>0</v>
      </c>
      <c r="O286" t="n">
        <v>0</v>
      </c>
      <c r="P286" t="n">
        <v>0</v>
      </c>
      <c r="Q286" t="n">
        <v>0</v>
      </c>
      <c r="R286" t="n">
        <v>0</v>
      </c>
      <c r="S286" t="n">
        <v>0</v>
      </c>
      <c r="T286" t="n">
        <v>0</v>
      </c>
      <c r="U286" s="2" t="inlineStr"/>
    </row>
    <row r="287" ht="15" customHeight="1">
      <c r="A287" t="inlineStr">
        <is>
          <t>A 7777-2022</t>
        </is>
      </c>
      <c r="B287" t="inlineStr">
        <is>
          <t>avverkningsanmälan</t>
        </is>
      </c>
      <c r="C287" t="inlineStr">
        <is>
          <t>Föryngringsavverkning</t>
        </is>
      </c>
      <c r="D287" s="1" t="n">
        <v>44608</v>
      </c>
      <c r="E287" s="1" t="n">
        <v>46216</v>
      </c>
      <c r="F287" t="inlineStr">
        <is>
          <t>BLEKINGE LÄN</t>
        </is>
      </c>
      <c r="G287" t="inlineStr">
        <is>
          <t>RONNEBY</t>
        </is>
      </c>
      <c r="H287" t="inlineStr">
        <is>
          <t>Övriga Aktiebolag</t>
        </is>
      </c>
      <c r="I287" t="n">
        <v>7.7</v>
      </c>
      <c r="J287" t="n">
        <v>0</v>
      </c>
      <c r="K287" t="n">
        <v>0</v>
      </c>
      <c r="L287" t="n">
        <v>0</v>
      </c>
      <c r="M287" t="n">
        <v>0</v>
      </c>
      <c r="N287" t="n">
        <v>0</v>
      </c>
      <c r="O287" t="n">
        <v>0</v>
      </c>
      <c r="P287" t="n">
        <v>0</v>
      </c>
      <c r="Q287" t="n">
        <v>0</v>
      </c>
      <c r="R287" t="n">
        <v>0</v>
      </c>
      <c r="S287" t="n">
        <v>0</v>
      </c>
      <c r="T287" t="n">
        <v>0</v>
      </c>
      <c r="U287" s="2" t="inlineStr"/>
    </row>
    <row r="288" ht="15" customHeight="1">
      <c r="A288" t="inlineStr">
        <is>
          <t>A 48969-2022</t>
        </is>
      </c>
      <c r="B288" t="inlineStr">
        <is>
          <t>avverkningsanmälan</t>
        </is>
      </c>
      <c r="C288" t="inlineStr">
        <is>
          <t>Föryngringsavverkning</t>
        </is>
      </c>
      <c r="D288" s="1" t="n">
        <v>44860</v>
      </c>
      <c r="E288" s="1" t="n">
        <v>46216</v>
      </c>
      <c r="F288" t="inlineStr">
        <is>
          <t>BLEKINGE LÄN</t>
        </is>
      </c>
      <c r="G288" t="inlineStr">
        <is>
          <t>RONNEBY</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19440-2022</t>
        </is>
      </c>
      <c r="B289" t="inlineStr">
        <is>
          <t>avverkningsanmälan</t>
        </is>
      </c>
      <c r="C289" t="inlineStr">
        <is>
          <t>Föryngringsavverkning</t>
        </is>
      </c>
      <c r="D289" s="1" t="n">
        <v>44693</v>
      </c>
      <c r="E289" s="1" t="n">
        <v>46216</v>
      </c>
      <c r="F289" t="inlineStr">
        <is>
          <t>BLEKINGE LÄN</t>
        </is>
      </c>
      <c r="G289" t="inlineStr">
        <is>
          <t>RONNEBY</t>
        </is>
      </c>
      <c r="I289" t="n">
        <v>0.6</v>
      </c>
      <c r="J289" t="n">
        <v>0</v>
      </c>
      <c r="K289" t="n">
        <v>0</v>
      </c>
      <c r="L289" t="n">
        <v>0</v>
      </c>
      <c r="M289" t="n">
        <v>0</v>
      </c>
      <c r="N289" t="n">
        <v>0</v>
      </c>
      <c r="O289" t="n">
        <v>0</v>
      </c>
      <c r="P289" t="n">
        <v>0</v>
      </c>
      <c r="Q289" t="n">
        <v>0</v>
      </c>
      <c r="R289" t="n">
        <v>0</v>
      </c>
      <c r="S289" t="n">
        <v>0</v>
      </c>
      <c r="T289" t="n">
        <v>0</v>
      </c>
      <c r="U289" s="2" t="inlineStr"/>
    </row>
    <row r="290" ht="15" customHeight="1">
      <c r="A290" t="inlineStr">
        <is>
          <t>A 61081-2021</t>
        </is>
      </c>
      <c r="B290" t="inlineStr">
        <is>
          <t>avverkningsanmälan</t>
        </is>
      </c>
      <c r="C290" t="inlineStr">
        <is>
          <t>Föryngringsavverkning</t>
        </is>
      </c>
      <c r="D290" s="1" t="n">
        <v>44497</v>
      </c>
      <c r="E290" s="1" t="n">
        <v>46216</v>
      </c>
      <c r="F290" t="inlineStr">
        <is>
          <t>BLEKINGE LÄN</t>
        </is>
      </c>
      <c r="G290" t="inlineStr">
        <is>
          <t>KARLSKRONA</t>
        </is>
      </c>
      <c r="I290" t="n">
        <v>2.1</v>
      </c>
      <c r="J290" t="n">
        <v>0</v>
      </c>
      <c r="K290" t="n">
        <v>0</v>
      </c>
      <c r="L290" t="n">
        <v>0</v>
      </c>
      <c r="M290" t="n">
        <v>0</v>
      </c>
      <c r="N290" t="n">
        <v>0</v>
      </c>
      <c r="O290" t="n">
        <v>0</v>
      </c>
      <c r="P290" t="n">
        <v>0</v>
      </c>
      <c r="Q290" t="n">
        <v>0</v>
      </c>
      <c r="R290" t="n">
        <v>0</v>
      </c>
      <c r="S290" t="n">
        <v>0</v>
      </c>
      <c r="T290" t="n">
        <v>0</v>
      </c>
      <c r="U290" s="2" t="inlineStr"/>
    </row>
    <row r="291" ht="15" customHeight="1">
      <c r="A291" t="inlineStr">
        <is>
          <t>A 37206-2022</t>
        </is>
      </c>
      <c r="B291" t="inlineStr">
        <is>
          <t>avverkningsanmälan</t>
        </is>
      </c>
      <c r="C291" t="inlineStr">
        <is>
          <t>Föryngringsavverkning</t>
        </is>
      </c>
      <c r="D291" s="1" t="n">
        <v>44806</v>
      </c>
      <c r="E291" s="1" t="n">
        <v>46216</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30517-2022</t>
        </is>
      </c>
      <c r="B292" t="inlineStr">
        <is>
          <t>avverkningsanmälan</t>
        </is>
      </c>
      <c r="C292" t="inlineStr">
        <is>
          <t>Föryngringsavverkning</t>
        </is>
      </c>
      <c r="D292" s="1" t="n">
        <v>44762</v>
      </c>
      <c r="E292" s="1" t="n">
        <v>46216</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s="2" t="inlineStr"/>
    </row>
    <row r="293" ht="15" customHeight="1">
      <c r="A293" t="inlineStr">
        <is>
          <t>A 41148-2022</t>
        </is>
      </c>
      <c r="B293" t="inlineStr">
        <is>
          <t>avverkningsanmälan</t>
        </is>
      </c>
      <c r="C293" t="inlineStr">
        <is>
          <t>Föryngringsavverkning</t>
        </is>
      </c>
      <c r="D293" s="1" t="n">
        <v>44825</v>
      </c>
      <c r="E293" s="1" t="n">
        <v>46216</v>
      </c>
      <c r="F293" t="inlineStr">
        <is>
          <t>BLEKINGE LÄN</t>
        </is>
      </c>
      <c r="G293" t="inlineStr">
        <is>
          <t>RONNEBY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47430-2022</t>
        </is>
      </c>
      <c r="B294" t="inlineStr">
        <is>
          <t>avverkningsanmälan</t>
        </is>
      </c>
      <c r="C294" t="inlineStr">
        <is>
          <t>Föryngringsavverkning</t>
        </is>
      </c>
      <c r="D294" s="1" t="n">
        <v>44853</v>
      </c>
      <c r="E294" s="1" t="n">
        <v>46216</v>
      </c>
      <c r="F294" t="inlineStr">
        <is>
          <t>BLEKINGE LÄN</t>
        </is>
      </c>
      <c r="G294" t="inlineStr">
        <is>
          <t>OLOFSTRÖM</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43182-2022</t>
        </is>
      </c>
      <c r="B295" t="inlineStr">
        <is>
          <t>avverkningsanmälan</t>
        </is>
      </c>
      <c r="C295" t="inlineStr">
        <is>
          <t>Föryngringsavverkning</t>
        </is>
      </c>
      <c r="D295" s="1" t="n">
        <v>44834</v>
      </c>
      <c r="E295" s="1" t="n">
        <v>46216</v>
      </c>
      <c r="F295" t="inlineStr">
        <is>
          <t>BLEKINGE LÄN</t>
        </is>
      </c>
      <c r="G295" t="inlineStr">
        <is>
          <t>KARLSHAMN</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46311-2021</t>
        </is>
      </c>
      <c r="B296" t="inlineStr">
        <is>
          <t>avverkningsanmälan</t>
        </is>
      </c>
      <c r="C296" t="inlineStr">
        <is>
          <t>Föryngringsavverkning</t>
        </is>
      </c>
      <c r="D296" s="1" t="n">
        <v>44442</v>
      </c>
      <c r="E296" s="1" t="n">
        <v>46216</v>
      </c>
      <c r="F296" t="inlineStr">
        <is>
          <t>BLEKINGE LÄN</t>
        </is>
      </c>
      <c r="G296" t="inlineStr">
        <is>
          <t>KARLSKRONA</t>
        </is>
      </c>
      <c r="I296" t="n">
        <v>1.8</v>
      </c>
      <c r="J296" t="n">
        <v>0</v>
      </c>
      <c r="K296" t="n">
        <v>0</v>
      </c>
      <c r="L296" t="n">
        <v>0</v>
      </c>
      <c r="M296" t="n">
        <v>0</v>
      </c>
      <c r="N296" t="n">
        <v>0</v>
      </c>
      <c r="O296" t="n">
        <v>0</v>
      </c>
      <c r="P296" t="n">
        <v>0</v>
      </c>
      <c r="Q296" t="n">
        <v>0</v>
      </c>
      <c r="R296" t="n">
        <v>0</v>
      </c>
      <c r="S296" t="n">
        <v>0</v>
      </c>
      <c r="T296" t="n">
        <v>0</v>
      </c>
      <c r="U296" s="2" t="inlineStr"/>
    </row>
    <row r="297" ht="15" customHeight="1">
      <c r="A297" t="inlineStr">
        <is>
          <t>A 10628-2022</t>
        </is>
      </c>
      <c r="B297" t="inlineStr">
        <is>
          <t>avverkningsanmälan</t>
        </is>
      </c>
      <c r="C297" t="inlineStr">
        <is>
          <t>Föryngringsavverkning</t>
        </is>
      </c>
      <c r="D297" s="1" t="n">
        <v>44624</v>
      </c>
      <c r="E297" s="1" t="n">
        <v>46216</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s="2" t="inlineStr"/>
    </row>
    <row r="298" ht="15" customHeight="1">
      <c r="A298" t="inlineStr">
        <is>
          <t>A 41248-2021</t>
        </is>
      </c>
      <c r="B298" t="inlineStr">
        <is>
          <t>avverkningsanmälan</t>
        </is>
      </c>
      <c r="C298" t="inlineStr">
        <is>
          <t>Föryngringsavverkning</t>
        </is>
      </c>
      <c r="D298" s="1" t="n">
        <v>44424</v>
      </c>
      <c r="E298" s="1" t="n">
        <v>46216</v>
      </c>
      <c r="F298" t="inlineStr">
        <is>
          <t>BLEKINGE LÄN</t>
        </is>
      </c>
      <c r="G298" t="inlineStr">
        <is>
          <t>KARLSKRONA</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53560-2022</t>
        </is>
      </c>
      <c r="B299" t="inlineStr">
        <is>
          <t>avverkningsanmälan</t>
        </is>
      </c>
      <c r="C299" t="inlineStr">
        <is>
          <t>Föryngringsavverkning</t>
        </is>
      </c>
      <c r="D299" s="1" t="n">
        <v>44874</v>
      </c>
      <c r="E299" s="1" t="n">
        <v>46216</v>
      </c>
      <c r="F299" t="inlineStr">
        <is>
          <t>BLEKINGE LÄN</t>
        </is>
      </c>
      <c r="G299" t="inlineStr">
        <is>
          <t>KARLSKRONA</t>
        </is>
      </c>
      <c r="I299" t="n">
        <v>0.4</v>
      </c>
      <c r="J299" t="n">
        <v>0</v>
      </c>
      <c r="K299" t="n">
        <v>0</v>
      </c>
      <c r="L299" t="n">
        <v>0</v>
      </c>
      <c r="M299" t="n">
        <v>0</v>
      </c>
      <c r="N299" t="n">
        <v>0</v>
      </c>
      <c r="O299" t="n">
        <v>0</v>
      </c>
      <c r="P299" t="n">
        <v>0</v>
      </c>
      <c r="Q299" t="n">
        <v>0</v>
      </c>
      <c r="R299" t="n">
        <v>0</v>
      </c>
      <c r="S299" t="n">
        <v>0</v>
      </c>
      <c r="T299" t="n">
        <v>0</v>
      </c>
      <c r="U299" s="2" t="inlineStr"/>
    </row>
    <row r="300" ht="15" customHeight="1">
      <c r="A300" t="inlineStr">
        <is>
          <t>A 27489-2022</t>
        </is>
      </c>
      <c r="B300" t="inlineStr">
        <is>
          <t>avverkningsanmälan</t>
        </is>
      </c>
      <c r="C300" t="inlineStr">
        <is>
          <t>Föryngringsavverkning</t>
        </is>
      </c>
      <c r="D300" s="1" t="n">
        <v>44742</v>
      </c>
      <c r="E300" s="1" t="n">
        <v>46216</v>
      </c>
      <c r="F300" t="inlineStr">
        <is>
          <t>BLEKINGE LÄN</t>
        </is>
      </c>
      <c r="G300" t="inlineStr">
        <is>
          <t>KARLSKRONA</t>
        </is>
      </c>
      <c r="I300" t="n">
        <v>8.1</v>
      </c>
      <c r="J300" t="n">
        <v>0</v>
      </c>
      <c r="K300" t="n">
        <v>0</v>
      </c>
      <c r="L300" t="n">
        <v>0</v>
      </c>
      <c r="M300" t="n">
        <v>0</v>
      </c>
      <c r="N300" t="n">
        <v>0</v>
      </c>
      <c r="O300" t="n">
        <v>0</v>
      </c>
      <c r="P300" t="n">
        <v>0</v>
      </c>
      <c r="Q300" t="n">
        <v>0</v>
      </c>
      <c r="R300" t="n">
        <v>0</v>
      </c>
      <c r="S300" t="n">
        <v>0</v>
      </c>
      <c r="T300" t="n">
        <v>0</v>
      </c>
      <c r="U300" s="2" t="inlineStr"/>
    </row>
    <row r="301" ht="15" customHeight="1">
      <c r="A301" t="inlineStr">
        <is>
          <t>A 45197-2021</t>
        </is>
      </c>
      <c r="B301" t="inlineStr">
        <is>
          <t>avverkningsanmälan</t>
        </is>
      </c>
      <c r="C301" t="inlineStr">
        <is>
          <t>Föryngringsavverkning</t>
        </is>
      </c>
      <c r="D301" s="1" t="n">
        <v>44439</v>
      </c>
      <c r="E301" s="1" t="n">
        <v>46216</v>
      </c>
      <c r="F301" t="inlineStr">
        <is>
          <t>BLEKINGE LÄN</t>
        </is>
      </c>
      <c r="G301" t="inlineStr">
        <is>
          <t>KARLSHAMN</t>
        </is>
      </c>
      <c r="H301" t="inlineStr">
        <is>
          <t>Kommuner</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11173-2022</t>
        </is>
      </c>
      <c r="B302" t="inlineStr">
        <is>
          <t>avverkningsanmälan</t>
        </is>
      </c>
      <c r="C302" t="inlineStr">
        <is>
          <t>Föryngringsavverkning</t>
        </is>
      </c>
      <c r="D302" s="1" t="n">
        <v>44629</v>
      </c>
      <c r="E302" s="1" t="n">
        <v>46216</v>
      </c>
      <c r="F302" t="inlineStr">
        <is>
          <t>BLEKINGE LÄN</t>
        </is>
      </c>
      <c r="G302" t="inlineStr">
        <is>
          <t>KARLSKRONA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45996-2021</t>
        </is>
      </c>
      <c r="B303" t="inlineStr">
        <is>
          <t>avverkningsanmälan</t>
        </is>
      </c>
      <c r="C303" t="inlineStr">
        <is>
          <t>Föryngringsavverkning</t>
        </is>
      </c>
      <c r="D303" s="1" t="n">
        <v>44441</v>
      </c>
      <c r="E303" s="1" t="n">
        <v>46216</v>
      </c>
      <c r="F303" t="inlineStr">
        <is>
          <t>BLEKINGE LÄN</t>
        </is>
      </c>
      <c r="G303" t="inlineStr">
        <is>
          <t>KARLSKRONA</t>
        </is>
      </c>
      <c r="I303" t="n">
        <v>6.8</v>
      </c>
      <c r="J303" t="n">
        <v>0</v>
      </c>
      <c r="K303" t="n">
        <v>0</v>
      </c>
      <c r="L303" t="n">
        <v>0</v>
      </c>
      <c r="M303" t="n">
        <v>0</v>
      </c>
      <c r="N303" t="n">
        <v>0</v>
      </c>
      <c r="O303" t="n">
        <v>0</v>
      </c>
      <c r="P303" t="n">
        <v>0</v>
      </c>
      <c r="Q303" t="n">
        <v>0</v>
      </c>
      <c r="R303" t="n">
        <v>0</v>
      </c>
      <c r="S303" t="n">
        <v>0</v>
      </c>
      <c r="T303" t="n">
        <v>0</v>
      </c>
      <c r="U303" s="2" t="inlineStr"/>
    </row>
    <row r="304" ht="15" customHeight="1">
      <c r="A304" t="inlineStr">
        <is>
          <t>A 40668-2021</t>
        </is>
      </c>
      <c r="B304" t="inlineStr">
        <is>
          <t>avverkningsanmälan</t>
        </is>
      </c>
      <c r="C304" t="inlineStr">
        <is>
          <t>Föryngringsavverkning</t>
        </is>
      </c>
      <c r="D304" s="1" t="n">
        <v>44420</v>
      </c>
      <c r="E304" s="1" t="n">
        <v>46216</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s="2" t="inlineStr"/>
    </row>
    <row r="305" ht="15" customHeight="1">
      <c r="A305" t="inlineStr">
        <is>
          <t>A 38944-2021</t>
        </is>
      </c>
      <c r="B305" t="inlineStr">
        <is>
          <t>avverkningsanmälan</t>
        </is>
      </c>
      <c r="C305" t="inlineStr">
        <is>
          <t>Föryngringsavverkning</t>
        </is>
      </c>
      <c r="D305" s="1" t="n">
        <v>44410</v>
      </c>
      <c r="E305" s="1" t="n">
        <v>46216</v>
      </c>
      <c r="F305" t="inlineStr">
        <is>
          <t>BLEKINGE LÄN</t>
        </is>
      </c>
      <c r="G305" t="inlineStr">
        <is>
          <t>KARLSHAMN</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41149-2022</t>
        </is>
      </c>
      <c r="B306" t="inlineStr">
        <is>
          <t>avverkningsanmälan</t>
        </is>
      </c>
      <c r="C306" t="inlineStr">
        <is>
          <t>Föryngringsavverkning</t>
        </is>
      </c>
      <c r="D306" s="1" t="n">
        <v>44825</v>
      </c>
      <c r="E306" s="1" t="n">
        <v>46216</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s="2" t="inlineStr"/>
    </row>
    <row r="307" ht="15" customHeight="1">
      <c r="A307" t="inlineStr">
        <is>
          <t>A 45997-2021</t>
        </is>
      </c>
      <c r="B307" t="inlineStr">
        <is>
          <t>avverkningsanmälan</t>
        </is>
      </c>
      <c r="C307" t="inlineStr">
        <is>
          <t>Föryngringsavverkning</t>
        </is>
      </c>
      <c r="D307" s="1" t="n">
        <v>44441</v>
      </c>
      <c r="E307" s="1" t="n">
        <v>46216</v>
      </c>
      <c r="F307" t="inlineStr">
        <is>
          <t>BLEKINGE LÄN</t>
        </is>
      </c>
      <c r="G307" t="inlineStr">
        <is>
          <t>KARLSKRONA</t>
        </is>
      </c>
      <c r="I307" t="n">
        <v>1.6</v>
      </c>
      <c r="J307" t="n">
        <v>0</v>
      </c>
      <c r="K307" t="n">
        <v>0</v>
      </c>
      <c r="L307" t="n">
        <v>0</v>
      </c>
      <c r="M307" t="n">
        <v>0</v>
      </c>
      <c r="N307" t="n">
        <v>0</v>
      </c>
      <c r="O307" t="n">
        <v>0</v>
      </c>
      <c r="P307" t="n">
        <v>0</v>
      </c>
      <c r="Q307" t="n">
        <v>0</v>
      </c>
      <c r="R307" t="n">
        <v>0</v>
      </c>
      <c r="S307" t="n">
        <v>0</v>
      </c>
      <c r="T307" t="n">
        <v>0</v>
      </c>
      <c r="U307" s="2" t="inlineStr"/>
    </row>
    <row r="308" ht="15" customHeight="1">
      <c r="A308" t="inlineStr">
        <is>
          <t>A 61725-2021</t>
        </is>
      </c>
      <c r="B308" t="inlineStr">
        <is>
          <t>avverkningsanmälan</t>
        </is>
      </c>
      <c r="C308" t="inlineStr">
        <is>
          <t>Föryngringsavverkning</t>
        </is>
      </c>
      <c r="D308" s="1" t="n">
        <v>44501</v>
      </c>
      <c r="E308" s="1" t="n">
        <v>46216</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861-2022</t>
        </is>
      </c>
      <c r="B309" t="inlineStr">
        <is>
          <t>avverkningsanmälan</t>
        </is>
      </c>
      <c r="C309" t="inlineStr">
        <is>
          <t>Föryngringsavverkning</t>
        </is>
      </c>
      <c r="D309" s="1" t="n">
        <v>44571</v>
      </c>
      <c r="E309" s="1" t="n">
        <v>46216</v>
      </c>
      <c r="F309" t="inlineStr">
        <is>
          <t>BLEKINGE LÄN</t>
        </is>
      </c>
      <c r="G309" t="inlineStr">
        <is>
          <t>KARLSKRONA</t>
        </is>
      </c>
      <c r="I309" t="n">
        <v>2.1</v>
      </c>
      <c r="J309" t="n">
        <v>0</v>
      </c>
      <c r="K309" t="n">
        <v>0</v>
      </c>
      <c r="L309" t="n">
        <v>0</v>
      </c>
      <c r="M309" t="n">
        <v>0</v>
      </c>
      <c r="N309" t="n">
        <v>0</v>
      </c>
      <c r="O309" t="n">
        <v>0</v>
      </c>
      <c r="P309" t="n">
        <v>0</v>
      </c>
      <c r="Q309" t="n">
        <v>0</v>
      </c>
      <c r="R309" t="n">
        <v>0</v>
      </c>
      <c r="S309" t="n">
        <v>0</v>
      </c>
      <c r="T309" t="n">
        <v>0</v>
      </c>
      <c r="U309" s="2" t="inlineStr"/>
    </row>
    <row r="310" ht="15" customHeight="1">
      <c r="A310" t="inlineStr">
        <is>
          <t>A 44114-2021</t>
        </is>
      </c>
      <c r="B310" t="inlineStr">
        <is>
          <t>avverkningsanmälan</t>
        </is>
      </c>
      <c r="C310" t="inlineStr">
        <is>
          <t>Föryngringsavverkning</t>
        </is>
      </c>
      <c r="D310" s="1" t="n">
        <v>44434</v>
      </c>
      <c r="E310" s="1" t="n">
        <v>46216</v>
      </c>
      <c r="F310" t="inlineStr">
        <is>
          <t>BLEKINGE LÄN</t>
        </is>
      </c>
      <c r="G310" t="inlineStr">
        <is>
          <t>KARLSKRONA</t>
        </is>
      </c>
      <c r="I310" t="n">
        <v>4.9</v>
      </c>
      <c r="J310" t="n">
        <v>0</v>
      </c>
      <c r="K310" t="n">
        <v>0</v>
      </c>
      <c r="L310" t="n">
        <v>0</v>
      </c>
      <c r="M310" t="n">
        <v>0</v>
      </c>
      <c r="N310" t="n">
        <v>0</v>
      </c>
      <c r="O310" t="n">
        <v>0</v>
      </c>
      <c r="P310" t="n">
        <v>0</v>
      </c>
      <c r="Q310" t="n">
        <v>0</v>
      </c>
      <c r="R310" t="n">
        <v>0</v>
      </c>
      <c r="S310" t="n">
        <v>0</v>
      </c>
      <c r="T310" t="n">
        <v>0</v>
      </c>
      <c r="U310" s="2" t="inlineStr"/>
    </row>
    <row r="311" ht="15" customHeight="1">
      <c r="A311" t="inlineStr">
        <is>
          <t>A 39514-2021</t>
        </is>
      </c>
      <c r="B311" t="inlineStr">
        <is>
          <t>avverkningsanmälan</t>
        </is>
      </c>
      <c r="C311" t="inlineStr">
        <is>
          <t>Föryngringsavverkning</t>
        </is>
      </c>
      <c r="D311" s="1" t="n">
        <v>44414</v>
      </c>
      <c r="E311" s="1" t="n">
        <v>46216</v>
      </c>
      <c r="F311" t="inlineStr">
        <is>
          <t>BLEKINGE LÄN</t>
        </is>
      </c>
      <c r="G311" t="inlineStr">
        <is>
          <t>OLOFSTRÖM</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46890-2021</t>
        </is>
      </c>
      <c r="B312" t="inlineStr">
        <is>
          <t>avverkningsanmälan</t>
        </is>
      </c>
      <c r="C312" t="inlineStr">
        <is>
          <t>Föryngringsavverkning</t>
        </is>
      </c>
      <c r="D312" s="1" t="n">
        <v>44446</v>
      </c>
      <c r="E312" s="1" t="n">
        <v>46216</v>
      </c>
      <c r="F312" t="inlineStr">
        <is>
          <t>BLEKINGE LÄN</t>
        </is>
      </c>
      <c r="G312" t="inlineStr">
        <is>
          <t>KARLSKRONA</t>
        </is>
      </c>
      <c r="I312" t="n">
        <v>2</v>
      </c>
      <c r="J312" t="n">
        <v>0</v>
      </c>
      <c r="K312" t="n">
        <v>0</v>
      </c>
      <c r="L312" t="n">
        <v>0</v>
      </c>
      <c r="M312" t="n">
        <v>0</v>
      </c>
      <c r="N312" t="n">
        <v>0</v>
      </c>
      <c r="O312" t="n">
        <v>0</v>
      </c>
      <c r="P312" t="n">
        <v>0</v>
      </c>
      <c r="Q312" t="n">
        <v>0</v>
      </c>
      <c r="R312" t="n">
        <v>0</v>
      </c>
      <c r="S312" t="n">
        <v>0</v>
      </c>
      <c r="T312" t="n">
        <v>0</v>
      </c>
      <c r="U312" s="2" t="inlineStr"/>
    </row>
    <row r="313" ht="15" customHeight="1">
      <c r="A313" t="inlineStr">
        <is>
          <t>A 1139-2022</t>
        </is>
      </c>
      <c r="B313" t="inlineStr">
        <is>
          <t>avverkningsanmälan</t>
        </is>
      </c>
      <c r="C313" t="inlineStr">
        <is>
          <t>Föryngringsavverkning</t>
        </is>
      </c>
      <c r="D313" s="1" t="n">
        <v>44572</v>
      </c>
      <c r="E313" s="1" t="n">
        <v>46216</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s="2" t="inlineStr"/>
    </row>
    <row r="314" ht="15" customHeight="1">
      <c r="A314" t="inlineStr">
        <is>
          <t>A 8-2022</t>
        </is>
      </c>
      <c r="B314" t="inlineStr">
        <is>
          <t>avverkningsanmälan</t>
        </is>
      </c>
      <c r="C314" t="inlineStr">
        <is>
          <t>Föryngringsavverkning</t>
        </is>
      </c>
      <c r="D314" s="1" t="n">
        <v>44563</v>
      </c>
      <c r="E314" s="1" t="n">
        <v>46216</v>
      </c>
      <c r="F314" t="inlineStr">
        <is>
          <t>BLEKINGE LÄN</t>
        </is>
      </c>
      <c r="G314" t="inlineStr">
        <is>
          <t>KARLSHAMN</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47319-2021</t>
        </is>
      </c>
      <c r="B315" t="inlineStr">
        <is>
          <t>avverkningsanmälan</t>
        </is>
      </c>
      <c r="C315" t="inlineStr">
        <is>
          <t>Föryngringsavverkning</t>
        </is>
      </c>
      <c r="D315" s="1" t="n">
        <v>44447</v>
      </c>
      <c r="E315" s="1" t="n">
        <v>46216</v>
      </c>
      <c r="F315" t="inlineStr">
        <is>
          <t>BLEKINGE LÄN</t>
        </is>
      </c>
      <c r="G315" t="inlineStr">
        <is>
          <t>RONNEBY</t>
        </is>
      </c>
      <c r="I315" t="n">
        <v>2.4</v>
      </c>
      <c r="J315" t="n">
        <v>0</v>
      </c>
      <c r="K315" t="n">
        <v>0</v>
      </c>
      <c r="L315" t="n">
        <v>0</v>
      </c>
      <c r="M315" t="n">
        <v>0</v>
      </c>
      <c r="N315" t="n">
        <v>0</v>
      </c>
      <c r="O315" t="n">
        <v>0</v>
      </c>
      <c r="P315" t="n">
        <v>0</v>
      </c>
      <c r="Q315" t="n">
        <v>0</v>
      </c>
      <c r="R315" t="n">
        <v>0</v>
      </c>
      <c r="S315" t="n">
        <v>0</v>
      </c>
      <c r="T315" t="n">
        <v>0</v>
      </c>
      <c r="U315" s="2" t="inlineStr"/>
    </row>
    <row r="316" ht="15" customHeight="1">
      <c r="A316" t="inlineStr">
        <is>
          <t>A 45588-2021</t>
        </is>
      </c>
      <c r="B316" t="inlineStr">
        <is>
          <t>avverkningsanmälan</t>
        </is>
      </c>
      <c r="C316" t="inlineStr">
        <is>
          <t>Föryngringsavverkning</t>
        </is>
      </c>
      <c r="D316" s="1" t="n">
        <v>44440</v>
      </c>
      <c r="E316" s="1" t="n">
        <v>46216</v>
      </c>
      <c r="F316" t="inlineStr">
        <is>
          <t>BLEKINGE LÄN</t>
        </is>
      </c>
      <c r="G316" t="inlineStr">
        <is>
          <t>OLOFSTRÖM</t>
        </is>
      </c>
      <c r="H316" t="inlineStr">
        <is>
          <t>Övriga Aktiebolag</t>
        </is>
      </c>
      <c r="I316" t="n">
        <v>0.4</v>
      </c>
      <c r="J316" t="n">
        <v>0</v>
      </c>
      <c r="K316" t="n">
        <v>0</v>
      </c>
      <c r="L316" t="n">
        <v>0</v>
      </c>
      <c r="M316" t="n">
        <v>0</v>
      </c>
      <c r="N316" t="n">
        <v>0</v>
      </c>
      <c r="O316" t="n">
        <v>0</v>
      </c>
      <c r="P316" t="n">
        <v>0</v>
      </c>
      <c r="Q316" t="n">
        <v>0</v>
      </c>
      <c r="R316" t="n">
        <v>0</v>
      </c>
      <c r="S316" t="n">
        <v>0</v>
      </c>
      <c r="T316" t="n">
        <v>0</v>
      </c>
      <c r="U316" s="2" t="inlineStr"/>
    </row>
    <row r="317" ht="15" customHeight="1">
      <c r="A317" t="inlineStr">
        <is>
          <t>A 6037-2022</t>
        </is>
      </c>
      <c r="B317" t="inlineStr">
        <is>
          <t>avverkningsanmälan</t>
        </is>
      </c>
      <c r="C317" t="inlineStr">
        <is>
          <t>Föryngringsavverkning</t>
        </is>
      </c>
      <c r="D317" s="1" t="n">
        <v>44599</v>
      </c>
      <c r="E317" s="1" t="n">
        <v>46216</v>
      </c>
      <c r="F317" t="inlineStr">
        <is>
          <t>BLEKINGE LÄN</t>
        </is>
      </c>
      <c r="G317" t="inlineStr">
        <is>
          <t>KARLSKRONA</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237-2022</t>
        </is>
      </c>
      <c r="B318" t="inlineStr">
        <is>
          <t>avverkningsanmälan</t>
        </is>
      </c>
      <c r="C318" t="inlineStr">
        <is>
          <t>Föryngringsavverkning</t>
        </is>
      </c>
      <c r="D318" s="1" t="n">
        <v>44565</v>
      </c>
      <c r="E318" s="1" t="n">
        <v>46216</v>
      </c>
      <c r="F318" t="inlineStr">
        <is>
          <t>BLEKINGE LÄN</t>
        </is>
      </c>
      <c r="G318" t="inlineStr">
        <is>
          <t>RONNEBY</t>
        </is>
      </c>
      <c r="I318" t="n">
        <v>0.5</v>
      </c>
      <c r="J318" t="n">
        <v>0</v>
      </c>
      <c r="K318" t="n">
        <v>0</v>
      </c>
      <c r="L318" t="n">
        <v>0</v>
      </c>
      <c r="M318" t="n">
        <v>0</v>
      </c>
      <c r="N318" t="n">
        <v>0</v>
      </c>
      <c r="O318" t="n">
        <v>0</v>
      </c>
      <c r="P318" t="n">
        <v>0</v>
      </c>
      <c r="Q318" t="n">
        <v>0</v>
      </c>
      <c r="R318" t="n">
        <v>0</v>
      </c>
      <c r="S318" t="n">
        <v>0</v>
      </c>
      <c r="T318" t="n">
        <v>0</v>
      </c>
      <c r="U318" s="2" t="inlineStr"/>
    </row>
    <row r="319" ht="15" customHeight="1">
      <c r="A319" t="inlineStr">
        <is>
          <t>A 2974-2022</t>
        </is>
      </c>
      <c r="B319" t="inlineStr">
        <is>
          <t>avverkningsanmälan</t>
        </is>
      </c>
      <c r="C319" t="inlineStr">
        <is>
          <t>Föryngringsavverkning</t>
        </is>
      </c>
      <c r="D319" s="1" t="n">
        <v>44581</v>
      </c>
      <c r="E319" s="1" t="n">
        <v>46216</v>
      </c>
      <c r="F319" t="inlineStr">
        <is>
          <t>BLEKINGE LÄN</t>
        </is>
      </c>
      <c r="G319" t="inlineStr">
        <is>
          <t>KARLSHAMN</t>
        </is>
      </c>
      <c r="I319" t="n">
        <v>1.9</v>
      </c>
      <c r="J319" t="n">
        <v>0</v>
      </c>
      <c r="K319" t="n">
        <v>0</v>
      </c>
      <c r="L319" t="n">
        <v>0</v>
      </c>
      <c r="M319" t="n">
        <v>0</v>
      </c>
      <c r="N319" t="n">
        <v>0</v>
      </c>
      <c r="O319" t="n">
        <v>0</v>
      </c>
      <c r="P319" t="n">
        <v>0</v>
      </c>
      <c r="Q319" t="n">
        <v>0</v>
      </c>
      <c r="R319" t="n">
        <v>0</v>
      </c>
      <c r="S319" t="n">
        <v>0</v>
      </c>
      <c r="T319" t="n">
        <v>0</v>
      </c>
      <c r="U319" s="2" t="inlineStr"/>
    </row>
    <row r="320" ht="15" customHeight="1">
      <c r="A320" t="inlineStr">
        <is>
          <t>A 62714-2021</t>
        </is>
      </c>
      <c r="B320" t="inlineStr">
        <is>
          <t>avverkningsanmälan</t>
        </is>
      </c>
      <c r="C320" t="inlineStr">
        <is>
          <t>Föryngringsavverkning</t>
        </is>
      </c>
      <c r="D320" s="1" t="n">
        <v>44503</v>
      </c>
      <c r="E320" s="1" t="n">
        <v>46216</v>
      </c>
      <c r="F320" t="inlineStr">
        <is>
          <t>BLEKINGE LÄN</t>
        </is>
      </c>
      <c r="G320" t="inlineStr">
        <is>
          <t>RONNEBY</t>
        </is>
      </c>
      <c r="I320" t="n">
        <v>1.2</v>
      </c>
      <c r="J320" t="n">
        <v>0</v>
      </c>
      <c r="K320" t="n">
        <v>0</v>
      </c>
      <c r="L320" t="n">
        <v>0</v>
      </c>
      <c r="M320" t="n">
        <v>0</v>
      </c>
      <c r="N320" t="n">
        <v>0</v>
      </c>
      <c r="O320" t="n">
        <v>0</v>
      </c>
      <c r="P320" t="n">
        <v>0</v>
      </c>
      <c r="Q320" t="n">
        <v>0</v>
      </c>
      <c r="R320" t="n">
        <v>0</v>
      </c>
      <c r="S320" t="n">
        <v>0</v>
      </c>
      <c r="T320" t="n">
        <v>0</v>
      </c>
      <c r="U320" s="2" t="inlineStr"/>
    </row>
    <row r="321" ht="15" customHeight="1">
      <c r="A321" t="inlineStr">
        <is>
          <t>A 40788-2021</t>
        </is>
      </c>
      <c r="B321" t="inlineStr">
        <is>
          <t>avverkningsanmälan</t>
        </is>
      </c>
      <c r="C321" t="inlineStr">
        <is>
          <t>Föryngringsavverkning</t>
        </is>
      </c>
      <c r="D321" s="1" t="n">
        <v>44420</v>
      </c>
      <c r="E321" s="1" t="n">
        <v>46216</v>
      </c>
      <c r="F321" t="inlineStr">
        <is>
          <t>BLEKINGE LÄN</t>
        </is>
      </c>
      <c r="G321" t="inlineStr">
        <is>
          <t>KARLSKRONA</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59292-2021</t>
        </is>
      </c>
      <c r="B322" t="inlineStr">
        <is>
          <t>avverkningsanmälan</t>
        </is>
      </c>
      <c r="C322" t="inlineStr">
        <is>
          <t>Föryngringsavverkning</t>
        </is>
      </c>
      <c r="D322" s="1" t="n">
        <v>44490</v>
      </c>
      <c r="E322" s="1" t="n">
        <v>46216</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s="2" t="inlineStr"/>
    </row>
    <row r="323" ht="15" customHeight="1">
      <c r="A323" t="inlineStr">
        <is>
          <t>A 51503-2021</t>
        </is>
      </c>
      <c r="B323" t="inlineStr">
        <is>
          <t>avverkningsanmälan</t>
        </is>
      </c>
      <c r="C323" t="inlineStr">
        <is>
          <t>Föryngringsavverkning</t>
        </is>
      </c>
      <c r="D323" s="1" t="n">
        <v>44462</v>
      </c>
      <c r="E323" s="1" t="n">
        <v>46216</v>
      </c>
      <c r="F323" t="inlineStr">
        <is>
          <t>BLEKINGE LÄN</t>
        </is>
      </c>
      <c r="G323" t="inlineStr">
        <is>
          <t>KARLSHAMN</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43813-2021</t>
        </is>
      </c>
      <c r="B324" t="inlineStr">
        <is>
          <t>avverkningsanmälan</t>
        </is>
      </c>
      <c r="C324" t="inlineStr">
        <is>
          <t>Föryngringsavverkning</t>
        </is>
      </c>
      <c r="D324" s="1" t="n">
        <v>44433</v>
      </c>
      <c r="E324" s="1" t="n">
        <v>46216</v>
      </c>
      <c r="F324" t="inlineStr">
        <is>
          <t>BLEKINGE LÄN</t>
        </is>
      </c>
      <c r="G324" t="inlineStr">
        <is>
          <t>KARLSKRONA</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48782-2021</t>
        </is>
      </c>
      <c r="B325" t="inlineStr">
        <is>
          <t>avverkningsanmälan</t>
        </is>
      </c>
      <c r="C325" t="inlineStr">
        <is>
          <t>Föryngringsavverkning</t>
        </is>
      </c>
      <c r="D325" s="1" t="n">
        <v>44452</v>
      </c>
      <c r="E325" s="1" t="n">
        <v>46216</v>
      </c>
      <c r="F325" t="inlineStr">
        <is>
          <t>BLEKINGE LÄN</t>
        </is>
      </c>
      <c r="G325" t="inlineStr">
        <is>
          <t>KARLSKRONA</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54973-2021</t>
        </is>
      </c>
      <c r="B326" t="inlineStr">
        <is>
          <t>avverkningsanmälan</t>
        </is>
      </c>
      <c r="C326" t="inlineStr">
        <is>
          <t>Föryngringsavverkning</t>
        </is>
      </c>
      <c r="D326" s="1" t="n">
        <v>44474</v>
      </c>
      <c r="E326" s="1" t="n">
        <v>46216</v>
      </c>
      <c r="F326" t="inlineStr">
        <is>
          <t>BLEKINGE LÄN</t>
        </is>
      </c>
      <c r="G326" t="inlineStr">
        <is>
          <t>RONNEBY</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59366-2021</t>
        </is>
      </c>
      <c r="B327" t="inlineStr">
        <is>
          <t>avverkningsanmälan</t>
        </is>
      </c>
      <c r="C327" t="inlineStr">
        <is>
          <t>Föryngringsavverkning</t>
        </is>
      </c>
      <c r="D327" s="1" t="n">
        <v>44491</v>
      </c>
      <c r="E327" s="1" t="n">
        <v>46216</v>
      </c>
      <c r="F327" t="inlineStr">
        <is>
          <t>BLEKINGE LÄN</t>
        </is>
      </c>
      <c r="G327" t="inlineStr">
        <is>
          <t>KARLSKRONA</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67266-2021</t>
        </is>
      </c>
      <c r="B328" t="inlineStr">
        <is>
          <t>avverkningsanmälan</t>
        </is>
      </c>
      <c r="C328" t="inlineStr">
        <is>
          <t>Föryngringsavverkning</t>
        </is>
      </c>
      <c r="D328" s="1" t="n">
        <v>44523</v>
      </c>
      <c r="E328" s="1" t="n">
        <v>46216</v>
      </c>
      <c r="F328" t="inlineStr">
        <is>
          <t>BLEKINGE LÄN</t>
        </is>
      </c>
      <c r="G328" t="inlineStr">
        <is>
          <t>KARLSHAMN</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53270-2021</t>
        </is>
      </c>
      <c r="B329" t="inlineStr">
        <is>
          <t>avverkningsanmälan</t>
        </is>
      </c>
      <c r="C329" t="inlineStr">
        <is>
          <t>Föryngringsavverkning</t>
        </is>
      </c>
      <c r="D329" s="1" t="n">
        <v>44468</v>
      </c>
      <c r="E329" s="1" t="n">
        <v>46216</v>
      </c>
      <c r="F329" t="inlineStr">
        <is>
          <t>BLEKINGE LÄN</t>
        </is>
      </c>
      <c r="G329" t="inlineStr">
        <is>
          <t>RONNEBY</t>
        </is>
      </c>
      <c r="I329" t="n">
        <v>0.5</v>
      </c>
      <c r="J329" t="n">
        <v>0</v>
      </c>
      <c r="K329" t="n">
        <v>0</v>
      </c>
      <c r="L329" t="n">
        <v>0</v>
      </c>
      <c r="M329" t="n">
        <v>0</v>
      </c>
      <c r="N329" t="n">
        <v>0</v>
      </c>
      <c r="O329" t="n">
        <v>0</v>
      </c>
      <c r="P329" t="n">
        <v>0</v>
      </c>
      <c r="Q329" t="n">
        <v>0</v>
      </c>
      <c r="R329" t="n">
        <v>0</v>
      </c>
      <c r="S329" t="n">
        <v>0</v>
      </c>
      <c r="T329" t="n">
        <v>0</v>
      </c>
      <c r="U329" s="2" t="inlineStr"/>
    </row>
    <row r="330" ht="15" customHeight="1">
      <c r="A330" t="inlineStr">
        <is>
          <t>A 4064-2022</t>
        </is>
      </c>
      <c r="B330" t="inlineStr">
        <is>
          <t>avverkningsanmälan</t>
        </is>
      </c>
      <c r="C330" t="inlineStr">
        <is>
          <t>Föryngringsavverkning</t>
        </is>
      </c>
      <c r="D330" s="1" t="n">
        <v>44588</v>
      </c>
      <c r="E330" s="1" t="n">
        <v>46216</v>
      </c>
      <c r="F330" t="inlineStr">
        <is>
          <t>BLEKINGE LÄN</t>
        </is>
      </c>
      <c r="G330" t="inlineStr">
        <is>
          <t>KARLSKRONA</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55903-2021</t>
        </is>
      </c>
      <c r="B331" t="inlineStr">
        <is>
          <t>avverkningsanmälan</t>
        </is>
      </c>
      <c r="C331" t="inlineStr">
        <is>
          <t>Föryngringsavverkning</t>
        </is>
      </c>
      <c r="D331" s="1" t="n">
        <v>44476</v>
      </c>
      <c r="E331" s="1" t="n">
        <v>46216</v>
      </c>
      <c r="F331" t="inlineStr">
        <is>
          <t>BLEKINGE LÄN</t>
        </is>
      </c>
      <c r="G331" t="inlineStr">
        <is>
          <t>KARLSKRONA</t>
        </is>
      </c>
      <c r="I331" t="n">
        <v>0.9</v>
      </c>
      <c r="J331" t="n">
        <v>0</v>
      </c>
      <c r="K331" t="n">
        <v>0</v>
      </c>
      <c r="L331" t="n">
        <v>0</v>
      </c>
      <c r="M331" t="n">
        <v>0</v>
      </c>
      <c r="N331" t="n">
        <v>0</v>
      </c>
      <c r="O331" t="n">
        <v>0</v>
      </c>
      <c r="P331" t="n">
        <v>0</v>
      </c>
      <c r="Q331" t="n">
        <v>0</v>
      </c>
      <c r="R331" t="n">
        <v>0</v>
      </c>
      <c r="S331" t="n">
        <v>0</v>
      </c>
      <c r="T331" t="n">
        <v>0</v>
      </c>
      <c r="U331" s="2" t="inlineStr"/>
    </row>
    <row r="332" ht="15" customHeight="1">
      <c r="A332" t="inlineStr">
        <is>
          <t>A 49692-2021</t>
        </is>
      </c>
      <c r="B332" t="inlineStr">
        <is>
          <t>avverkningsanmälan</t>
        </is>
      </c>
      <c r="C332" t="inlineStr">
        <is>
          <t>Föryngringsavverkning</t>
        </is>
      </c>
      <c r="D332" s="1" t="n">
        <v>44455</v>
      </c>
      <c r="E332" s="1" t="n">
        <v>46216</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s="2" t="inlineStr"/>
    </row>
    <row r="333" ht="15" customHeight="1">
      <c r="A333" t="inlineStr">
        <is>
          <t>A 43065-2021</t>
        </is>
      </c>
      <c r="B333" t="inlineStr">
        <is>
          <t>avverkningsanmälan</t>
        </is>
      </c>
      <c r="C333" t="inlineStr">
        <is>
          <t>Föryngringsavverkning</t>
        </is>
      </c>
      <c r="D333" s="1" t="n">
        <v>44431</v>
      </c>
      <c r="E333" s="1" t="n">
        <v>46216</v>
      </c>
      <c r="F333" t="inlineStr">
        <is>
          <t>BLEKINGE LÄN</t>
        </is>
      </c>
      <c r="G333" t="inlineStr">
        <is>
          <t>OLOFSTRÖM</t>
        </is>
      </c>
      <c r="I333" t="n">
        <v>0.6</v>
      </c>
      <c r="J333" t="n">
        <v>0</v>
      </c>
      <c r="K333" t="n">
        <v>0</v>
      </c>
      <c r="L333" t="n">
        <v>0</v>
      </c>
      <c r="M333" t="n">
        <v>0</v>
      </c>
      <c r="N333" t="n">
        <v>0</v>
      </c>
      <c r="O333" t="n">
        <v>0</v>
      </c>
      <c r="P333" t="n">
        <v>0</v>
      </c>
      <c r="Q333" t="n">
        <v>0</v>
      </c>
      <c r="R333" t="n">
        <v>0</v>
      </c>
      <c r="S333" t="n">
        <v>0</v>
      </c>
      <c r="T333" t="n">
        <v>0</v>
      </c>
      <c r="U333" s="2" t="inlineStr"/>
    </row>
    <row r="334" ht="15" customHeight="1">
      <c r="A334" t="inlineStr">
        <is>
          <t>A 5701-2022</t>
        </is>
      </c>
      <c r="B334" t="inlineStr">
        <is>
          <t>avverkningsanmälan</t>
        </is>
      </c>
      <c r="C334" t="inlineStr">
        <is>
          <t>Föryngringsavverkning</t>
        </is>
      </c>
      <c r="D334" s="1" t="n">
        <v>44596</v>
      </c>
      <c r="E334" s="1" t="n">
        <v>46216</v>
      </c>
      <c r="F334" t="inlineStr">
        <is>
          <t>BLEKINGE LÄN</t>
        </is>
      </c>
      <c r="G334" t="inlineStr">
        <is>
          <t>RONNEBY</t>
        </is>
      </c>
      <c r="I334" t="n">
        <v>2.2</v>
      </c>
      <c r="J334" t="n">
        <v>0</v>
      </c>
      <c r="K334" t="n">
        <v>0</v>
      </c>
      <c r="L334" t="n">
        <v>0</v>
      </c>
      <c r="M334" t="n">
        <v>0</v>
      </c>
      <c r="N334" t="n">
        <v>0</v>
      </c>
      <c r="O334" t="n">
        <v>0</v>
      </c>
      <c r="P334" t="n">
        <v>0</v>
      </c>
      <c r="Q334" t="n">
        <v>0</v>
      </c>
      <c r="R334" t="n">
        <v>0</v>
      </c>
      <c r="S334" t="n">
        <v>0</v>
      </c>
      <c r="T334" t="n">
        <v>0</v>
      </c>
      <c r="U334" s="2" t="inlineStr"/>
    </row>
    <row r="335" ht="15" customHeight="1">
      <c r="A335" t="inlineStr">
        <is>
          <t>A 3148-2022</t>
        </is>
      </c>
      <c r="B335" t="inlineStr">
        <is>
          <t>avverkningsanmälan</t>
        </is>
      </c>
      <c r="C335" t="inlineStr">
        <is>
          <t>Föryngringsavverkning</t>
        </is>
      </c>
      <c r="D335" s="1" t="n">
        <v>44582</v>
      </c>
      <c r="E335" s="1" t="n">
        <v>46216</v>
      </c>
      <c r="F335" t="inlineStr">
        <is>
          <t>BLEKINGE LÄN</t>
        </is>
      </c>
      <c r="G335" t="inlineStr">
        <is>
          <t>KARLSHAMN</t>
        </is>
      </c>
      <c r="I335" t="n">
        <v>0.4</v>
      </c>
      <c r="J335" t="n">
        <v>0</v>
      </c>
      <c r="K335" t="n">
        <v>0</v>
      </c>
      <c r="L335" t="n">
        <v>0</v>
      </c>
      <c r="M335" t="n">
        <v>0</v>
      </c>
      <c r="N335" t="n">
        <v>0</v>
      </c>
      <c r="O335" t="n">
        <v>0</v>
      </c>
      <c r="P335" t="n">
        <v>0</v>
      </c>
      <c r="Q335" t="n">
        <v>0</v>
      </c>
      <c r="R335" t="n">
        <v>0</v>
      </c>
      <c r="S335" t="n">
        <v>0</v>
      </c>
      <c r="T335" t="n">
        <v>0</v>
      </c>
      <c r="U335" s="2" t="inlineStr"/>
    </row>
    <row r="336" ht="15" customHeight="1">
      <c r="A336" t="inlineStr">
        <is>
          <t>A 65618-2021</t>
        </is>
      </c>
      <c r="B336" t="inlineStr">
        <is>
          <t>avverkningsanmälan</t>
        </is>
      </c>
      <c r="C336" t="inlineStr">
        <is>
          <t>Föryngringsavverkning</t>
        </is>
      </c>
      <c r="D336" s="1" t="n">
        <v>44516</v>
      </c>
      <c r="E336" s="1" t="n">
        <v>46216</v>
      </c>
      <c r="F336" t="inlineStr">
        <is>
          <t>BLEKINGE LÄN</t>
        </is>
      </c>
      <c r="G336" t="inlineStr">
        <is>
          <t>KARLSKRONA</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54020-2021</t>
        </is>
      </c>
      <c r="B337" t="inlineStr">
        <is>
          <t>avverkningsanmälan</t>
        </is>
      </c>
      <c r="C337" t="inlineStr">
        <is>
          <t>Föryngringsavverkning</t>
        </is>
      </c>
      <c r="D337" s="1" t="n">
        <v>44470</v>
      </c>
      <c r="E337" s="1" t="n">
        <v>46216</v>
      </c>
      <c r="F337" t="inlineStr">
        <is>
          <t>BLEKINGE LÄN</t>
        </is>
      </c>
      <c r="G337" t="inlineStr">
        <is>
          <t>KARLSHAMN</t>
        </is>
      </c>
      <c r="I337" t="n">
        <v>1.6</v>
      </c>
      <c r="J337" t="n">
        <v>0</v>
      </c>
      <c r="K337" t="n">
        <v>0</v>
      </c>
      <c r="L337" t="n">
        <v>0</v>
      </c>
      <c r="M337" t="n">
        <v>0</v>
      </c>
      <c r="N337" t="n">
        <v>0</v>
      </c>
      <c r="O337" t="n">
        <v>0</v>
      </c>
      <c r="P337" t="n">
        <v>0</v>
      </c>
      <c r="Q337" t="n">
        <v>0</v>
      </c>
      <c r="R337" t="n">
        <v>0</v>
      </c>
      <c r="S337" t="n">
        <v>0</v>
      </c>
      <c r="T337" t="n">
        <v>0</v>
      </c>
      <c r="U337" s="2" t="inlineStr"/>
    </row>
    <row r="338" ht="15" customHeight="1">
      <c r="A338" t="inlineStr">
        <is>
          <t>A 10338-2022</t>
        </is>
      </c>
      <c r="B338" t="inlineStr">
        <is>
          <t>avverkningsanmälan</t>
        </is>
      </c>
      <c r="C338" t="inlineStr">
        <is>
          <t>Avverkning för annat ändamål</t>
        </is>
      </c>
      <c r="D338" s="1" t="n">
        <v>44623</v>
      </c>
      <c r="E338" s="1" t="n">
        <v>46216</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s="2" t="inlineStr"/>
    </row>
    <row r="339" ht="15" customHeight="1">
      <c r="A339" t="inlineStr">
        <is>
          <t>A 8792-2022</t>
        </is>
      </c>
      <c r="B339" t="inlineStr">
        <is>
          <t>avverkningsanmälan</t>
        </is>
      </c>
      <c r="C339" t="inlineStr">
        <is>
          <t>Föryngringsavverkning</t>
        </is>
      </c>
      <c r="D339" s="1" t="n">
        <v>44613</v>
      </c>
      <c r="E339" s="1" t="n">
        <v>46216</v>
      </c>
      <c r="F339" t="inlineStr">
        <is>
          <t>BLEKINGE LÄN</t>
        </is>
      </c>
      <c r="G339" t="inlineStr">
        <is>
          <t>OLOFSTRÖM</t>
        </is>
      </c>
      <c r="I339" t="n">
        <v>0.7</v>
      </c>
      <c r="J339" t="n">
        <v>0</v>
      </c>
      <c r="K339" t="n">
        <v>0</v>
      </c>
      <c r="L339" t="n">
        <v>0</v>
      </c>
      <c r="M339" t="n">
        <v>0</v>
      </c>
      <c r="N339" t="n">
        <v>0</v>
      </c>
      <c r="O339" t="n">
        <v>0</v>
      </c>
      <c r="P339" t="n">
        <v>0</v>
      </c>
      <c r="Q339" t="n">
        <v>0</v>
      </c>
      <c r="R339" t="n">
        <v>0</v>
      </c>
      <c r="S339" t="n">
        <v>0</v>
      </c>
      <c r="T339" t="n">
        <v>0</v>
      </c>
      <c r="U339" s="2" t="inlineStr"/>
    </row>
    <row r="340" ht="15" customHeight="1">
      <c r="A340" t="inlineStr">
        <is>
          <t>A 2077-2022</t>
        </is>
      </c>
      <c r="B340" t="inlineStr">
        <is>
          <t>avverkningsanmälan</t>
        </is>
      </c>
      <c r="C340" t="inlineStr">
        <is>
          <t>Föryngringsavverkning</t>
        </is>
      </c>
      <c r="D340" s="1" t="n">
        <v>44576</v>
      </c>
      <c r="E340" s="1" t="n">
        <v>46216</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875-2022</t>
        </is>
      </c>
      <c r="B341" t="inlineStr">
        <is>
          <t>avverkningsanmälan</t>
        </is>
      </c>
      <c r="C341" t="inlineStr">
        <is>
          <t>Föryngringsavverkning</t>
        </is>
      </c>
      <c r="D341" s="1" t="n">
        <v>44567</v>
      </c>
      <c r="E341" s="1" t="n">
        <v>46216</v>
      </c>
      <c r="F341" t="inlineStr">
        <is>
          <t>BLEKINGE LÄN</t>
        </is>
      </c>
      <c r="G341" t="inlineStr">
        <is>
          <t>OLOFSTRÖM</t>
        </is>
      </c>
      <c r="I341" t="n">
        <v>0.6</v>
      </c>
      <c r="J341" t="n">
        <v>0</v>
      </c>
      <c r="K341" t="n">
        <v>0</v>
      </c>
      <c r="L341" t="n">
        <v>0</v>
      </c>
      <c r="M341" t="n">
        <v>0</v>
      </c>
      <c r="N341" t="n">
        <v>0</v>
      </c>
      <c r="O341" t="n">
        <v>0</v>
      </c>
      <c r="P341" t="n">
        <v>0</v>
      </c>
      <c r="Q341" t="n">
        <v>0</v>
      </c>
      <c r="R341" t="n">
        <v>0</v>
      </c>
      <c r="S341" t="n">
        <v>0</v>
      </c>
      <c r="T341" t="n">
        <v>0</v>
      </c>
      <c r="U341" s="2" t="inlineStr"/>
    </row>
    <row r="342" ht="15" customHeight="1">
      <c r="A342" t="inlineStr">
        <is>
          <t>A 73436-2021</t>
        </is>
      </c>
      <c r="B342" t="inlineStr">
        <is>
          <t>avverkningsanmälan</t>
        </is>
      </c>
      <c r="C342" t="inlineStr">
        <is>
          <t>Föryngringsavverkning</t>
        </is>
      </c>
      <c r="D342" s="1" t="n">
        <v>44551</v>
      </c>
      <c r="E342" s="1" t="n">
        <v>46216</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23661-2022</t>
        </is>
      </c>
      <c r="B343" t="inlineStr">
        <is>
          <t>avverkningsanmälan</t>
        </is>
      </c>
      <c r="C343" t="inlineStr">
        <is>
          <t>Föryngringsavverkning</t>
        </is>
      </c>
      <c r="D343" s="1" t="n">
        <v>44721</v>
      </c>
      <c r="E343" s="1" t="n">
        <v>46216</v>
      </c>
      <c r="F343" t="inlineStr">
        <is>
          <t>BLEKINGE LÄN</t>
        </is>
      </c>
      <c r="G343" t="inlineStr">
        <is>
          <t>RONNEBY</t>
        </is>
      </c>
      <c r="I343" t="n">
        <v>0.6</v>
      </c>
      <c r="J343" t="n">
        <v>0</v>
      </c>
      <c r="K343" t="n">
        <v>0</v>
      </c>
      <c r="L343" t="n">
        <v>0</v>
      </c>
      <c r="M343" t="n">
        <v>0</v>
      </c>
      <c r="N343" t="n">
        <v>0</v>
      </c>
      <c r="O343" t="n">
        <v>0</v>
      </c>
      <c r="P343" t="n">
        <v>0</v>
      </c>
      <c r="Q343" t="n">
        <v>0</v>
      </c>
      <c r="R343" t="n">
        <v>0</v>
      </c>
      <c r="S343" t="n">
        <v>0</v>
      </c>
      <c r="T343" t="n">
        <v>0</v>
      </c>
      <c r="U343" s="2" t="inlineStr"/>
    </row>
    <row r="344" ht="15" customHeight="1">
      <c r="A344" t="inlineStr">
        <is>
          <t>A 50420-2022</t>
        </is>
      </c>
      <c r="B344" t="inlineStr">
        <is>
          <t>avverkningsanmälan</t>
        </is>
      </c>
      <c r="C344" t="inlineStr">
        <is>
          <t>Föryngringsavverkning</t>
        </is>
      </c>
      <c r="D344" s="1" t="n">
        <v>44866</v>
      </c>
      <c r="E344" s="1" t="n">
        <v>46216</v>
      </c>
      <c r="F344" t="inlineStr">
        <is>
          <t>BLEKINGE LÄN</t>
        </is>
      </c>
      <c r="G344" t="inlineStr">
        <is>
          <t>OLOFSTRÖM</t>
        </is>
      </c>
      <c r="I344" t="n">
        <v>4.2</v>
      </c>
      <c r="J344" t="n">
        <v>0</v>
      </c>
      <c r="K344" t="n">
        <v>0</v>
      </c>
      <c r="L344" t="n">
        <v>0</v>
      </c>
      <c r="M344" t="n">
        <v>0</v>
      </c>
      <c r="N344" t="n">
        <v>0</v>
      </c>
      <c r="O344" t="n">
        <v>0</v>
      </c>
      <c r="P344" t="n">
        <v>0</v>
      </c>
      <c r="Q344" t="n">
        <v>0</v>
      </c>
      <c r="R344" t="n">
        <v>0</v>
      </c>
      <c r="S344" t="n">
        <v>0</v>
      </c>
      <c r="T344" t="n">
        <v>0</v>
      </c>
      <c r="U344" s="2" t="inlineStr"/>
    </row>
    <row r="345" ht="15" customHeight="1">
      <c r="A345" t="inlineStr">
        <is>
          <t>A 13742-2022</t>
        </is>
      </c>
      <c r="B345" t="inlineStr">
        <is>
          <t>avverkningsanmälan</t>
        </is>
      </c>
      <c r="C345" t="inlineStr">
        <is>
          <t>Föryngringsavverkning</t>
        </is>
      </c>
      <c r="D345" s="1" t="n">
        <v>44649</v>
      </c>
      <c r="E345" s="1" t="n">
        <v>46216</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s="2" t="inlineStr"/>
    </row>
    <row r="346" ht="15" customHeight="1">
      <c r="A346" t="inlineStr">
        <is>
          <t>A 13747-2022</t>
        </is>
      </c>
      <c r="B346" t="inlineStr">
        <is>
          <t>avverkningsanmälan</t>
        </is>
      </c>
      <c r="C346" t="inlineStr">
        <is>
          <t>Föryngringsavverkning</t>
        </is>
      </c>
      <c r="D346" s="1" t="n">
        <v>44649</v>
      </c>
      <c r="E346" s="1" t="n">
        <v>46216</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s="2" t="inlineStr"/>
    </row>
    <row r="347" ht="15" customHeight="1">
      <c r="A347" t="inlineStr">
        <is>
          <t>A 50974-2021</t>
        </is>
      </c>
      <c r="B347" t="inlineStr">
        <is>
          <t>avverkningsanmälan</t>
        </is>
      </c>
      <c r="C347" t="inlineStr">
        <is>
          <t>Föryngringsavverkning</t>
        </is>
      </c>
      <c r="D347" s="1" t="n">
        <v>44460</v>
      </c>
      <c r="E347" s="1" t="n">
        <v>46216</v>
      </c>
      <c r="F347" t="inlineStr">
        <is>
          <t>BLEKINGE LÄN</t>
        </is>
      </c>
      <c r="G347" t="inlineStr">
        <is>
          <t>KARLSKRONA</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57730-2021</t>
        </is>
      </c>
      <c r="B348" t="inlineStr">
        <is>
          <t>avverkningsanmälan</t>
        </is>
      </c>
      <c r="C348" t="inlineStr">
        <is>
          <t>Föryngringsavverkning</t>
        </is>
      </c>
      <c r="D348" s="1" t="n">
        <v>44484</v>
      </c>
      <c r="E348" s="1" t="n">
        <v>46216</v>
      </c>
      <c r="F348" t="inlineStr">
        <is>
          <t>BLEKINGE LÄN</t>
        </is>
      </c>
      <c r="G348" t="inlineStr">
        <is>
          <t>KARLSKRONA</t>
        </is>
      </c>
      <c r="I348" t="n">
        <v>1.5</v>
      </c>
      <c r="J348" t="n">
        <v>0</v>
      </c>
      <c r="K348" t="n">
        <v>0</v>
      </c>
      <c r="L348" t="n">
        <v>0</v>
      </c>
      <c r="M348" t="n">
        <v>0</v>
      </c>
      <c r="N348" t="n">
        <v>0</v>
      </c>
      <c r="O348" t="n">
        <v>0</v>
      </c>
      <c r="P348" t="n">
        <v>0</v>
      </c>
      <c r="Q348" t="n">
        <v>0</v>
      </c>
      <c r="R348" t="n">
        <v>0</v>
      </c>
      <c r="S348" t="n">
        <v>0</v>
      </c>
      <c r="T348" t="n">
        <v>0</v>
      </c>
      <c r="U348" s="2" t="inlineStr"/>
    </row>
    <row r="349" ht="15" customHeight="1">
      <c r="A349" t="inlineStr">
        <is>
          <t>A 31662-2022</t>
        </is>
      </c>
      <c r="B349" t="inlineStr">
        <is>
          <t>avverkningsanmälan</t>
        </is>
      </c>
      <c r="C349" t="inlineStr">
        <is>
          <t>Föryngringsavverkning</t>
        </is>
      </c>
      <c r="D349" s="1" t="n">
        <v>44776</v>
      </c>
      <c r="E349" s="1" t="n">
        <v>46216</v>
      </c>
      <c r="F349" t="inlineStr">
        <is>
          <t>BLEKINGE LÄN</t>
        </is>
      </c>
      <c r="G349" t="inlineStr">
        <is>
          <t>KARLSHAMN</t>
        </is>
      </c>
      <c r="I349" t="n">
        <v>2.2</v>
      </c>
      <c r="J349" t="n">
        <v>0</v>
      </c>
      <c r="K349" t="n">
        <v>0</v>
      </c>
      <c r="L349" t="n">
        <v>0</v>
      </c>
      <c r="M349" t="n">
        <v>0</v>
      </c>
      <c r="N349" t="n">
        <v>0</v>
      </c>
      <c r="O349" t="n">
        <v>0</v>
      </c>
      <c r="P349" t="n">
        <v>0</v>
      </c>
      <c r="Q349" t="n">
        <v>0</v>
      </c>
      <c r="R349" t="n">
        <v>0</v>
      </c>
      <c r="S349" t="n">
        <v>0</v>
      </c>
      <c r="T349" t="n">
        <v>0</v>
      </c>
      <c r="U349" s="2" t="inlineStr"/>
    </row>
    <row r="350" ht="15" customHeight="1">
      <c r="A350" t="inlineStr">
        <is>
          <t>A 31666-2022</t>
        </is>
      </c>
      <c r="B350" t="inlineStr">
        <is>
          <t>avverkningsanmälan</t>
        </is>
      </c>
      <c r="C350" t="inlineStr">
        <is>
          <t>Föryngringsavverkning</t>
        </is>
      </c>
      <c r="D350" s="1" t="n">
        <v>44776</v>
      </c>
      <c r="E350" s="1" t="n">
        <v>46216</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s="2" t="inlineStr"/>
    </row>
    <row r="351" ht="15" customHeight="1">
      <c r="A351" t="inlineStr">
        <is>
          <t>A 58837-2021</t>
        </is>
      </c>
      <c r="B351" t="inlineStr">
        <is>
          <t>avverkningsanmälan</t>
        </is>
      </c>
      <c r="C351" t="inlineStr">
        <is>
          <t>Föryngringsavverkning</t>
        </is>
      </c>
      <c r="D351" s="1" t="n">
        <v>44489</v>
      </c>
      <c r="E351" s="1" t="n">
        <v>46216</v>
      </c>
      <c r="F351" t="inlineStr">
        <is>
          <t>BLEKINGE LÄN</t>
        </is>
      </c>
      <c r="G351" t="inlineStr">
        <is>
          <t>KARLSHAMN</t>
        </is>
      </c>
      <c r="I351" t="n">
        <v>1.3</v>
      </c>
      <c r="J351" t="n">
        <v>0</v>
      </c>
      <c r="K351" t="n">
        <v>0</v>
      </c>
      <c r="L351" t="n">
        <v>0</v>
      </c>
      <c r="M351" t="n">
        <v>0</v>
      </c>
      <c r="N351" t="n">
        <v>0</v>
      </c>
      <c r="O351" t="n">
        <v>0</v>
      </c>
      <c r="P351" t="n">
        <v>0</v>
      </c>
      <c r="Q351" t="n">
        <v>0</v>
      </c>
      <c r="R351" t="n">
        <v>0</v>
      </c>
      <c r="S351" t="n">
        <v>0</v>
      </c>
      <c r="T351" t="n">
        <v>0</v>
      </c>
      <c r="U351" s="2" t="inlineStr"/>
    </row>
    <row r="352" ht="15" customHeight="1">
      <c r="A352" t="inlineStr">
        <is>
          <t>A 65691-2021</t>
        </is>
      </c>
      <c r="B352" t="inlineStr">
        <is>
          <t>avverkningsanmälan</t>
        </is>
      </c>
      <c r="C352" t="inlineStr">
        <is>
          <t>Föryngringsavverkning</t>
        </is>
      </c>
      <c r="D352" s="1" t="n">
        <v>44516</v>
      </c>
      <c r="E352" s="1" t="n">
        <v>46216</v>
      </c>
      <c r="F352" t="inlineStr">
        <is>
          <t>BLEKINGE LÄN</t>
        </is>
      </c>
      <c r="G352" t="inlineStr">
        <is>
          <t>OLOFSTRÖM</t>
        </is>
      </c>
      <c r="I352" t="n">
        <v>2.9</v>
      </c>
      <c r="J352" t="n">
        <v>0</v>
      </c>
      <c r="K352" t="n">
        <v>0</v>
      </c>
      <c r="L352" t="n">
        <v>0</v>
      </c>
      <c r="M352" t="n">
        <v>0</v>
      </c>
      <c r="N352" t="n">
        <v>0</v>
      </c>
      <c r="O352" t="n">
        <v>0</v>
      </c>
      <c r="P352" t="n">
        <v>0</v>
      </c>
      <c r="Q352" t="n">
        <v>0</v>
      </c>
      <c r="R352" t="n">
        <v>0</v>
      </c>
      <c r="S352" t="n">
        <v>0</v>
      </c>
      <c r="T352" t="n">
        <v>0</v>
      </c>
      <c r="U352" s="2" t="inlineStr"/>
    </row>
    <row r="353" ht="15" customHeight="1">
      <c r="A353" t="inlineStr">
        <is>
          <t>A 23154-2022</t>
        </is>
      </c>
      <c r="B353" t="inlineStr">
        <is>
          <t>avverkningsanmälan</t>
        </is>
      </c>
      <c r="C353" t="inlineStr">
        <is>
          <t>Föryngringsavverkning</t>
        </is>
      </c>
      <c r="D353" s="1" t="n">
        <v>44719</v>
      </c>
      <c r="E353" s="1" t="n">
        <v>46216</v>
      </c>
      <c r="F353" t="inlineStr">
        <is>
          <t>BLEKINGE LÄN</t>
        </is>
      </c>
      <c r="G353" t="inlineStr">
        <is>
          <t>KARLSKRONA</t>
        </is>
      </c>
      <c r="I353" t="n">
        <v>5.9</v>
      </c>
      <c r="J353" t="n">
        <v>0</v>
      </c>
      <c r="K353" t="n">
        <v>0</v>
      </c>
      <c r="L353" t="n">
        <v>0</v>
      </c>
      <c r="M353" t="n">
        <v>0</v>
      </c>
      <c r="N353" t="n">
        <v>0</v>
      </c>
      <c r="O353" t="n">
        <v>0</v>
      </c>
      <c r="P353" t="n">
        <v>0</v>
      </c>
      <c r="Q353" t="n">
        <v>0</v>
      </c>
      <c r="R353" t="n">
        <v>0</v>
      </c>
      <c r="S353" t="n">
        <v>0</v>
      </c>
      <c r="T353" t="n">
        <v>0</v>
      </c>
      <c r="U353" s="2" t="inlineStr"/>
    </row>
    <row r="354" ht="15" customHeight="1">
      <c r="A354" t="inlineStr">
        <is>
          <t>A 30533-2022</t>
        </is>
      </c>
      <c r="B354" t="inlineStr">
        <is>
          <t>avverkningsanmälan</t>
        </is>
      </c>
      <c r="C354" t="inlineStr">
        <is>
          <t>Föryngringsavverkning</t>
        </is>
      </c>
      <c r="D354" s="1" t="n">
        <v>44762</v>
      </c>
      <c r="E354" s="1" t="n">
        <v>46216</v>
      </c>
      <c r="F354" t="inlineStr">
        <is>
          <t>BLEKINGE LÄN</t>
        </is>
      </c>
      <c r="G354" t="inlineStr">
        <is>
          <t>RONNEBY</t>
        </is>
      </c>
      <c r="H354" t="inlineStr">
        <is>
          <t>Övriga Aktiebolag</t>
        </is>
      </c>
      <c r="I354" t="n">
        <v>1.9</v>
      </c>
      <c r="J354" t="n">
        <v>0</v>
      </c>
      <c r="K354" t="n">
        <v>0</v>
      </c>
      <c r="L354" t="n">
        <v>0</v>
      </c>
      <c r="M354" t="n">
        <v>0</v>
      </c>
      <c r="N354" t="n">
        <v>0</v>
      </c>
      <c r="O354" t="n">
        <v>0</v>
      </c>
      <c r="P354" t="n">
        <v>0</v>
      </c>
      <c r="Q354" t="n">
        <v>0</v>
      </c>
      <c r="R354" t="n">
        <v>0</v>
      </c>
      <c r="S354" t="n">
        <v>0</v>
      </c>
      <c r="T354" t="n">
        <v>0</v>
      </c>
      <c r="U354" s="2" t="inlineStr"/>
    </row>
    <row r="355" ht="15" customHeight="1">
      <c r="A355" t="inlineStr">
        <is>
          <t>A 30536-2022</t>
        </is>
      </c>
      <c r="B355" t="inlineStr">
        <is>
          <t>avverkningsanmälan</t>
        </is>
      </c>
      <c r="C355" t="inlineStr">
        <is>
          <t>Föryngringsavverkning</t>
        </is>
      </c>
      <c r="D355" s="1" t="n">
        <v>44762</v>
      </c>
      <c r="E355" s="1" t="n">
        <v>46216</v>
      </c>
      <c r="F355" t="inlineStr">
        <is>
          <t>BLEKINGE LÄN</t>
        </is>
      </c>
      <c r="G355" t="inlineStr">
        <is>
          <t>RONNEBY</t>
        </is>
      </c>
      <c r="H355" t="inlineStr">
        <is>
          <t>Övriga Aktiebolag</t>
        </is>
      </c>
      <c r="I355" t="n">
        <v>9.800000000000001</v>
      </c>
      <c r="J355" t="n">
        <v>0</v>
      </c>
      <c r="K355" t="n">
        <v>0</v>
      </c>
      <c r="L355" t="n">
        <v>0</v>
      </c>
      <c r="M355" t="n">
        <v>0</v>
      </c>
      <c r="N355" t="n">
        <v>0</v>
      </c>
      <c r="O355" t="n">
        <v>0</v>
      </c>
      <c r="P355" t="n">
        <v>0</v>
      </c>
      <c r="Q355" t="n">
        <v>0</v>
      </c>
      <c r="R355" t="n">
        <v>0</v>
      </c>
      <c r="S355" t="n">
        <v>0</v>
      </c>
      <c r="T355" t="n">
        <v>0</v>
      </c>
      <c r="U355" s="2" t="inlineStr"/>
    </row>
    <row r="356" ht="15" customHeight="1">
      <c r="A356" t="inlineStr">
        <is>
          <t>A 54534-2022</t>
        </is>
      </c>
      <c r="B356" t="inlineStr">
        <is>
          <t>avverkningsanmälan</t>
        </is>
      </c>
      <c r="C356" t="inlineStr">
        <is>
          <t>Föryngringsavverkning</t>
        </is>
      </c>
      <c r="D356" s="1" t="n">
        <v>44882</v>
      </c>
      <c r="E356" s="1" t="n">
        <v>46216</v>
      </c>
      <c r="F356" t="inlineStr">
        <is>
          <t>BLEKINGE LÄN</t>
        </is>
      </c>
      <c r="G356" t="inlineStr">
        <is>
          <t>RONNEBY</t>
        </is>
      </c>
      <c r="I356" t="n">
        <v>0.4</v>
      </c>
      <c r="J356" t="n">
        <v>0</v>
      </c>
      <c r="K356" t="n">
        <v>0</v>
      </c>
      <c r="L356" t="n">
        <v>0</v>
      </c>
      <c r="M356" t="n">
        <v>0</v>
      </c>
      <c r="N356" t="n">
        <v>0</v>
      </c>
      <c r="O356" t="n">
        <v>0</v>
      </c>
      <c r="P356" t="n">
        <v>0</v>
      </c>
      <c r="Q356" t="n">
        <v>0</v>
      </c>
      <c r="R356" t="n">
        <v>0</v>
      </c>
      <c r="S356" t="n">
        <v>0</v>
      </c>
      <c r="T356" t="n">
        <v>0</v>
      </c>
      <c r="U356" s="2" t="inlineStr"/>
    </row>
    <row r="357" ht="15" customHeight="1">
      <c r="A357" t="inlineStr">
        <is>
          <t>A 40518-2021</t>
        </is>
      </c>
      <c r="B357" t="inlineStr">
        <is>
          <t>avverkningsanmälan</t>
        </is>
      </c>
      <c r="C357" t="inlineStr">
        <is>
          <t>Föryngringsavverkning</t>
        </is>
      </c>
      <c r="D357" s="1" t="n">
        <v>44420</v>
      </c>
      <c r="E357" s="1" t="n">
        <v>46216</v>
      </c>
      <c r="F357" t="inlineStr">
        <is>
          <t>BLEKINGE LÄN</t>
        </is>
      </c>
      <c r="G357" t="inlineStr">
        <is>
          <t>RONNEBY</t>
        </is>
      </c>
      <c r="I357" t="n">
        <v>2.4</v>
      </c>
      <c r="J357" t="n">
        <v>0</v>
      </c>
      <c r="K357" t="n">
        <v>0</v>
      </c>
      <c r="L357" t="n">
        <v>0</v>
      </c>
      <c r="M357" t="n">
        <v>0</v>
      </c>
      <c r="N357" t="n">
        <v>0</v>
      </c>
      <c r="O357" t="n">
        <v>0</v>
      </c>
      <c r="P357" t="n">
        <v>0</v>
      </c>
      <c r="Q357" t="n">
        <v>0</v>
      </c>
      <c r="R357" t="n">
        <v>0</v>
      </c>
      <c r="S357" t="n">
        <v>0</v>
      </c>
      <c r="T357" t="n">
        <v>0</v>
      </c>
      <c r="U357" s="2" t="inlineStr"/>
    </row>
    <row r="358" ht="15" customHeight="1">
      <c r="A358" t="inlineStr">
        <is>
          <t>A 40526-2021</t>
        </is>
      </c>
      <c r="B358" t="inlineStr">
        <is>
          <t>avverkningsanmälan</t>
        </is>
      </c>
      <c r="C358" t="inlineStr">
        <is>
          <t>Föryngringsavverkning</t>
        </is>
      </c>
      <c r="D358" s="1" t="n">
        <v>44420</v>
      </c>
      <c r="E358" s="1" t="n">
        <v>46216</v>
      </c>
      <c r="F358" t="inlineStr">
        <is>
          <t>BLEKINGE LÄN</t>
        </is>
      </c>
      <c r="G358" t="inlineStr">
        <is>
          <t>RONNEBY</t>
        </is>
      </c>
      <c r="I358" t="n">
        <v>1</v>
      </c>
      <c r="J358" t="n">
        <v>0</v>
      </c>
      <c r="K358" t="n">
        <v>0</v>
      </c>
      <c r="L358" t="n">
        <v>0</v>
      </c>
      <c r="M358" t="n">
        <v>0</v>
      </c>
      <c r="N358" t="n">
        <v>0</v>
      </c>
      <c r="O358" t="n">
        <v>0</v>
      </c>
      <c r="P358" t="n">
        <v>0</v>
      </c>
      <c r="Q358" t="n">
        <v>0</v>
      </c>
      <c r="R358" t="n">
        <v>0</v>
      </c>
      <c r="S358" t="n">
        <v>0</v>
      </c>
      <c r="T358" t="n">
        <v>0</v>
      </c>
      <c r="U358" s="2" t="inlineStr"/>
    </row>
    <row r="359" ht="15" customHeight="1">
      <c r="A359" t="inlineStr">
        <is>
          <t>A 40528-2021</t>
        </is>
      </c>
      <c r="B359" t="inlineStr">
        <is>
          <t>avverkningsanmälan</t>
        </is>
      </c>
      <c r="C359" t="inlineStr">
        <is>
          <t>Föryngringsavverkning</t>
        </is>
      </c>
      <c r="D359" s="1" t="n">
        <v>44420</v>
      </c>
      <c r="E359" s="1" t="n">
        <v>46216</v>
      </c>
      <c r="F359" t="inlineStr">
        <is>
          <t>BLEKINGE LÄN</t>
        </is>
      </c>
      <c r="G359" t="inlineStr">
        <is>
          <t>RONNEBY</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69574-2021</t>
        </is>
      </c>
      <c r="B360" t="inlineStr">
        <is>
          <t>avverkningsanmälan</t>
        </is>
      </c>
      <c r="C360" t="inlineStr">
        <is>
          <t>Föryngringsavverkning</t>
        </is>
      </c>
      <c r="D360" s="1" t="n">
        <v>44532</v>
      </c>
      <c r="E360" s="1" t="n">
        <v>46216</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s="2" t="inlineStr"/>
    </row>
    <row r="361" ht="15" customHeight="1">
      <c r="A361" t="inlineStr">
        <is>
          <t>A 41200-2022</t>
        </is>
      </c>
      <c r="B361" t="inlineStr">
        <is>
          <t>avverkningsanmälan</t>
        </is>
      </c>
      <c r="C361" t="inlineStr">
        <is>
          <t>Föryngringsavverkning</t>
        </is>
      </c>
      <c r="D361" s="1" t="n">
        <v>44825</v>
      </c>
      <c r="E361" s="1" t="n">
        <v>46216</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10922-2022</t>
        </is>
      </c>
      <c r="B362" t="inlineStr">
        <is>
          <t>avverkningsanmälan</t>
        </is>
      </c>
      <c r="C362" t="inlineStr">
        <is>
          <t>Föryngringsavverkning</t>
        </is>
      </c>
      <c r="D362" s="1" t="n">
        <v>44627</v>
      </c>
      <c r="E362" s="1" t="n">
        <v>46216</v>
      </c>
      <c r="F362" t="inlineStr">
        <is>
          <t>BLEKINGE LÄN</t>
        </is>
      </c>
      <c r="G362" t="inlineStr">
        <is>
          <t>KARLSKRONA</t>
        </is>
      </c>
      <c r="I362" t="n">
        <v>1.8</v>
      </c>
      <c r="J362" t="n">
        <v>0</v>
      </c>
      <c r="K362" t="n">
        <v>0</v>
      </c>
      <c r="L362" t="n">
        <v>0</v>
      </c>
      <c r="M362" t="n">
        <v>0</v>
      </c>
      <c r="N362" t="n">
        <v>0</v>
      </c>
      <c r="O362" t="n">
        <v>0</v>
      </c>
      <c r="P362" t="n">
        <v>0</v>
      </c>
      <c r="Q362" t="n">
        <v>0</v>
      </c>
      <c r="R362" t="n">
        <v>0</v>
      </c>
      <c r="S362" t="n">
        <v>0</v>
      </c>
      <c r="T362" t="n">
        <v>0</v>
      </c>
      <c r="U362" s="2" t="inlineStr"/>
    </row>
    <row r="363" ht="15" customHeight="1">
      <c r="A363" t="inlineStr">
        <is>
          <t>A 11761-2022</t>
        </is>
      </c>
      <c r="B363" t="inlineStr">
        <is>
          <t>avverkningsanmälan</t>
        </is>
      </c>
      <c r="C363" t="inlineStr">
        <is>
          <t>Föryngringsavverkning</t>
        </is>
      </c>
      <c r="D363" s="1" t="n">
        <v>44634</v>
      </c>
      <c r="E363" s="1" t="n">
        <v>46216</v>
      </c>
      <c r="F363" t="inlineStr">
        <is>
          <t>BLEKINGE LÄN</t>
        </is>
      </c>
      <c r="G363" t="inlineStr">
        <is>
          <t>KARLSKRONA</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2659-2022</t>
        </is>
      </c>
      <c r="B364" t="inlineStr">
        <is>
          <t>avverkningsanmälan</t>
        </is>
      </c>
      <c r="C364" t="inlineStr">
        <is>
          <t>Föryngringsavverkning</t>
        </is>
      </c>
      <c r="D364" s="1" t="n">
        <v>44580</v>
      </c>
      <c r="E364" s="1" t="n">
        <v>46216</v>
      </c>
      <c r="F364" t="inlineStr">
        <is>
          <t>BLEKINGE LÄN</t>
        </is>
      </c>
      <c r="G364" t="inlineStr">
        <is>
          <t>KARLSHAMN</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42554-2021</t>
        </is>
      </c>
      <c r="B365" t="inlineStr">
        <is>
          <t>avverkningsanmälan</t>
        </is>
      </c>
      <c r="C365" t="inlineStr">
        <is>
          <t>Föryngringsavverkning</t>
        </is>
      </c>
      <c r="D365" s="1" t="n">
        <v>44427</v>
      </c>
      <c r="E365" s="1" t="n">
        <v>46216</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s="2" t="inlineStr"/>
    </row>
    <row r="366" ht="15" customHeight="1">
      <c r="A366" t="inlineStr">
        <is>
          <t>A 8761-2022</t>
        </is>
      </c>
      <c r="B366" t="inlineStr">
        <is>
          <t>avverkningsanmälan</t>
        </is>
      </c>
      <c r="C366" t="inlineStr">
        <is>
          <t>Föryngringsavverkning</t>
        </is>
      </c>
      <c r="D366" s="1" t="n">
        <v>44613</v>
      </c>
      <c r="E366" s="1" t="n">
        <v>46216</v>
      </c>
      <c r="F366" t="inlineStr">
        <is>
          <t>BLEKINGE LÄN</t>
        </is>
      </c>
      <c r="G366" t="inlineStr">
        <is>
          <t>OLOFSTRÖM</t>
        </is>
      </c>
      <c r="I366" t="n">
        <v>2</v>
      </c>
      <c r="J366" t="n">
        <v>0</v>
      </c>
      <c r="K366" t="n">
        <v>0</v>
      </c>
      <c r="L366" t="n">
        <v>0</v>
      </c>
      <c r="M366" t="n">
        <v>0</v>
      </c>
      <c r="N366" t="n">
        <v>0</v>
      </c>
      <c r="O366" t="n">
        <v>0</v>
      </c>
      <c r="P366" t="n">
        <v>0</v>
      </c>
      <c r="Q366" t="n">
        <v>0</v>
      </c>
      <c r="R366" t="n">
        <v>0</v>
      </c>
      <c r="S366" t="n">
        <v>0</v>
      </c>
      <c r="T366" t="n">
        <v>0</v>
      </c>
      <c r="U366" s="2" t="inlineStr"/>
    </row>
    <row r="367" ht="15" customHeight="1">
      <c r="A367" t="inlineStr">
        <is>
          <t>A 8772-2022</t>
        </is>
      </c>
      <c r="B367" t="inlineStr">
        <is>
          <t>avverkningsanmälan</t>
        </is>
      </c>
      <c r="C367" t="inlineStr">
        <is>
          <t>Föryngringsavverkning</t>
        </is>
      </c>
      <c r="D367" s="1" t="n">
        <v>44613</v>
      </c>
      <c r="E367" s="1" t="n">
        <v>46216</v>
      </c>
      <c r="F367" t="inlineStr">
        <is>
          <t>BLEKINGE LÄN</t>
        </is>
      </c>
      <c r="G367" t="inlineStr">
        <is>
          <t>OLOFSTRÖM</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8799-2022</t>
        </is>
      </c>
      <c r="B368" t="inlineStr">
        <is>
          <t>avverkningsanmälan</t>
        </is>
      </c>
      <c r="C368" t="inlineStr">
        <is>
          <t>Föryngringsavverkning</t>
        </is>
      </c>
      <c r="D368" s="1" t="n">
        <v>44613</v>
      </c>
      <c r="E368" s="1" t="n">
        <v>46216</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46435-2022</t>
        </is>
      </c>
      <c r="B369" t="inlineStr">
        <is>
          <t>avverkningsanmälan</t>
        </is>
      </c>
      <c r="C369" t="inlineStr">
        <is>
          <t>Föryngringsavverkning</t>
        </is>
      </c>
      <c r="D369" s="1" t="n">
        <v>44847</v>
      </c>
      <c r="E369" s="1" t="n">
        <v>46216</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38707-2021</t>
        </is>
      </c>
      <c r="B370" t="inlineStr">
        <is>
          <t>avverkningsanmälan</t>
        </is>
      </c>
      <c r="C370" t="inlineStr">
        <is>
          <t>Föryngringsavverkning</t>
        </is>
      </c>
      <c r="D370" s="1" t="n">
        <v>44410</v>
      </c>
      <c r="E370" s="1" t="n">
        <v>46216</v>
      </c>
      <c r="F370" t="inlineStr">
        <is>
          <t>BLEKINGE LÄN</t>
        </is>
      </c>
      <c r="G370" t="inlineStr">
        <is>
          <t>OLOFSTRÖM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43923-2021</t>
        </is>
      </c>
      <c r="B371" t="inlineStr">
        <is>
          <t>avverkningsanmälan</t>
        </is>
      </c>
      <c r="C371" t="inlineStr">
        <is>
          <t>Föryngringsavverkning</t>
        </is>
      </c>
      <c r="D371" s="1" t="n">
        <v>44434</v>
      </c>
      <c r="E371" s="1" t="n">
        <v>46216</v>
      </c>
      <c r="F371" t="inlineStr">
        <is>
          <t>BLEKINGE LÄN</t>
        </is>
      </c>
      <c r="G371" t="inlineStr">
        <is>
          <t>RONNEBY</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71518-2021</t>
        </is>
      </c>
      <c r="B372" t="inlineStr">
        <is>
          <t>avverkningsanmälan</t>
        </is>
      </c>
      <c r="C372" t="inlineStr">
        <is>
          <t>Föryngringsavverkning</t>
        </is>
      </c>
      <c r="D372" s="1" t="n">
        <v>44540</v>
      </c>
      <c r="E372" s="1" t="n">
        <v>46216</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59947-2021</t>
        </is>
      </c>
      <c r="B373" t="inlineStr">
        <is>
          <t>avverkningsanmälan</t>
        </is>
      </c>
      <c r="C373" t="inlineStr">
        <is>
          <t>Föryngringsavverkning</t>
        </is>
      </c>
      <c r="D373" s="1" t="n">
        <v>44494</v>
      </c>
      <c r="E373" s="1" t="n">
        <v>46216</v>
      </c>
      <c r="F373" t="inlineStr">
        <is>
          <t>BLEKINGE LÄN</t>
        </is>
      </c>
      <c r="G373" t="inlineStr">
        <is>
          <t>RONNEBY</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20469-2022</t>
        </is>
      </c>
      <c r="B374" t="inlineStr">
        <is>
          <t>avverkningsanmälan</t>
        </is>
      </c>
      <c r="C374" t="inlineStr">
        <is>
          <t>Föryngringsavverkning</t>
        </is>
      </c>
      <c r="D374" s="1" t="n">
        <v>44699</v>
      </c>
      <c r="E374" s="1" t="n">
        <v>46216</v>
      </c>
      <c r="F374" t="inlineStr">
        <is>
          <t>BLEKINGE LÄN</t>
        </is>
      </c>
      <c r="G374" t="inlineStr">
        <is>
          <t>OLOFSTRÖM</t>
        </is>
      </c>
      <c r="I374" t="n">
        <v>4.5</v>
      </c>
      <c r="J374" t="n">
        <v>0</v>
      </c>
      <c r="K374" t="n">
        <v>0</v>
      </c>
      <c r="L374" t="n">
        <v>0</v>
      </c>
      <c r="M374" t="n">
        <v>0</v>
      </c>
      <c r="N374" t="n">
        <v>0</v>
      </c>
      <c r="O374" t="n">
        <v>0</v>
      </c>
      <c r="P374" t="n">
        <v>0</v>
      </c>
      <c r="Q374" t="n">
        <v>0</v>
      </c>
      <c r="R374" t="n">
        <v>0</v>
      </c>
      <c r="S374" t="n">
        <v>0</v>
      </c>
      <c r="T374" t="n">
        <v>0</v>
      </c>
      <c r="U374" s="2" t="inlineStr"/>
    </row>
    <row r="375" ht="15" customHeight="1">
      <c r="A375" t="inlineStr">
        <is>
          <t>A 73441-2021</t>
        </is>
      </c>
      <c r="B375" t="inlineStr">
        <is>
          <t>avverkningsanmälan</t>
        </is>
      </c>
      <c r="C375" t="inlineStr">
        <is>
          <t>Föryngringsavverkning</t>
        </is>
      </c>
      <c r="D375" s="1" t="n">
        <v>44551</v>
      </c>
      <c r="E375" s="1" t="n">
        <v>46216</v>
      </c>
      <c r="F375" t="inlineStr">
        <is>
          <t>BLEKINGE LÄN</t>
        </is>
      </c>
      <c r="G375" t="inlineStr">
        <is>
          <t>OLOFSTRÖM</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73441-2021</t>
        </is>
      </c>
      <c r="B376" t="inlineStr">
        <is>
          <t>avverkningsanmälan</t>
        </is>
      </c>
      <c r="C376" t="inlineStr">
        <is>
          <t>Föryngringsavverkning</t>
        </is>
      </c>
      <c r="D376" s="1" t="n">
        <v>44551</v>
      </c>
      <c r="E376" s="1" t="n">
        <v>46216</v>
      </c>
      <c r="F376" t="inlineStr">
        <is>
          <t>BLEKINGE LÄN</t>
        </is>
      </c>
      <c r="G376" t="inlineStr">
        <is>
          <t>OLOFSTRÖM</t>
        </is>
      </c>
      <c r="I376" t="n">
        <v>0.8</v>
      </c>
      <c r="J376" t="n">
        <v>0</v>
      </c>
      <c r="K376" t="n">
        <v>0</v>
      </c>
      <c r="L376" t="n">
        <v>0</v>
      </c>
      <c r="M376" t="n">
        <v>0</v>
      </c>
      <c r="N376" t="n">
        <v>0</v>
      </c>
      <c r="O376" t="n">
        <v>0</v>
      </c>
      <c r="P376" t="n">
        <v>0</v>
      </c>
      <c r="Q376" t="n">
        <v>0</v>
      </c>
      <c r="R376" t="n">
        <v>0</v>
      </c>
      <c r="S376" t="n">
        <v>0</v>
      </c>
      <c r="T376" t="n">
        <v>0</v>
      </c>
      <c r="U376" s="2" t="inlineStr"/>
    </row>
    <row r="377" ht="15" customHeight="1">
      <c r="A377" t="inlineStr">
        <is>
          <t>A 55190-2021</t>
        </is>
      </c>
      <c r="B377" t="inlineStr">
        <is>
          <t>avverkningsanmälan</t>
        </is>
      </c>
      <c r="C377" t="inlineStr">
        <is>
          <t>Föryngringsavverkning</t>
        </is>
      </c>
      <c r="D377" s="1" t="n">
        <v>44475</v>
      </c>
      <c r="E377" s="1" t="n">
        <v>46216</v>
      </c>
      <c r="F377" t="inlineStr">
        <is>
          <t>BLEKINGE LÄN</t>
        </is>
      </c>
      <c r="G377" t="inlineStr">
        <is>
          <t>KARLSKRONA</t>
        </is>
      </c>
      <c r="I377" t="n">
        <v>4.7</v>
      </c>
      <c r="J377" t="n">
        <v>0</v>
      </c>
      <c r="K377" t="n">
        <v>0</v>
      </c>
      <c r="L377" t="n">
        <v>0</v>
      </c>
      <c r="M377" t="n">
        <v>0</v>
      </c>
      <c r="N377" t="n">
        <v>0</v>
      </c>
      <c r="O377" t="n">
        <v>0</v>
      </c>
      <c r="P377" t="n">
        <v>0</v>
      </c>
      <c r="Q377" t="n">
        <v>0</v>
      </c>
      <c r="R377" t="n">
        <v>0</v>
      </c>
      <c r="S377" t="n">
        <v>0</v>
      </c>
      <c r="T377" t="n">
        <v>0</v>
      </c>
      <c r="U377" s="2" t="inlineStr"/>
    </row>
    <row r="378" ht="15" customHeight="1">
      <c r="A378" t="inlineStr">
        <is>
          <t>A 67540-2021</t>
        </is>
      </c>
      <c r="B378" t="inlineStr">
        <is>
          <t>avverkningsanmälan</t>
        </is>
      </c>
      <c r="C378" t="inlineStr">
        <is>
          <t>Föryngringsavverkning</t>
        </is>
      </c>
      <c r="D378" s="1" t="n">
        <v>44524</v>
      </c>
      <c r="E378" s="1" t="n">
        <v>46216</v>
      </c>
      <c r="F378" t="inlineStr">
        <is>
          <t>BLEKINGE LÄN</t>
        </is>
      </c>
      <c r="G378" t="inlineStr">
        <is>
          <t>KARLSKRONA</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37505-2022</t>
        </is>
      </c>
      <c r="B379" t="inlineStr">
        <is>
          <t>avverkningsanmälan</t>
        </is>
      </c>
      <c r="C379" t="inlineStr">
        <is>
          <t>Föryngringsavverkning</t>
        </is>
      </c>
      <c r="D379" s="1" t="n">
        <v>44809</v>
      </c>
      <c r="E379" s="1" t="n">
        <v>46216</v>
      </c>
      <c r="F379" t="inlineStr">
        <is>
          <t>BLEKINGE LÄN</t>
        </is>
      </c>
      <c r="G379" t="inlineStr">
        <is>
          <t>KARLSKRONA</t>
        </is>
      </c>
      <c r="H379" t="inlineStr">
        <is>
          <t>Kommuner</t>
        </is>
      </c>
      <c r="I379" t="n">
        <v>4.9</v>
      </c>
      <c r="J379" t="n">
        <v>0</v>
      </c>
      <c r="K379" t="n">
        <v>0</v>
      </c>
      <c r="L379" t="n">
        <v>0</v>
      </c>
      <c r="M379" t="n">
        <v>0</v>
      </c>
      <c r="N379" t="n">
        <v>0</v>
      </c>
      <c r="O379" t="n">
        <v>0</v>
      </c>
      <c r="P379" t="n">
        <v>0</v>
      </c>
      <c r="Q379" t="n">
        <v>0</v>
      </c>
      <c r="R379" t="n">
        <v>0</v>
      </c>
      <c r="S379" t="n">
        <v>0</v>
      </c>
      <c r="T379" t="n">
        <v>0</v>
      </c>
      <c r="U379" s="2" t="inlineStr"/>
    </row>
    <row r="380" ht="15" customHeight="1">
      <c r="A380" t="inlineStr">
        <is>
          <t>A 39386-2021</t>
        </is>
      </c>
      <c r="B380" t="inlineStr">
        <is>
          <t>avverkningsanmälan</t>
        </is>
      </c>
      <c r="C380" t="inlineStr">
        <is>
          <t>Föryngringsavverkning</t>
        </is>
      </c>
      <c r="D380" s="1" t="n">
        <v>44414</v>
      </c>
      <c r="E380" s="1" t="n">
        <v>46216</v>
      </c>
      <c r="F380" t="inlineStr">
        <is>
          <t>BLEKINGE LÄN</t>
        </is>
      </c>
      <c r="G380" t="inlineStr">
        <is>
          <t>RONNEBY</t>
        </is>
      </c>
      <c r="I380" t="n">
        <v>3.6</v>
      </c>
      <c r="J380" t="n">
        <v>0</v>
      </c>
      <c r="K380" t="n">
        <v>0</v>
      </c>
      <c r="L380" t="n">
        <v>0</v>
      </c>
      <c r="M380" t="n">
        <v>0</v>
      </c>
      <c r="N380" t="n">
        <v>0</v>
      </c>
      <c r="O380" t="n">
        <v>0</v>
      </c>
      <c r="P380" t="n">
        <v>0</v>
      </c>
      <c r="Q380" t="n">
        <v>0</v>
      </c>
      <c r="R380" t="n">
        <v>0</v>
      </c>
      <c r="S380" t="n">
        <v>0</v>
      </c>
      <c r="T380" t="n">
        <v>0</v>
      </c>
      <c r="U380" s="2" t="inlineStr"/>
    </row>
    <row r="381" ht="15" customHeight="1">
      <c r="A381" t="inlineStr">
        <is>
          <t>A 37184-2022</t>
        </is>
      </c>
      <c r="B381" t="inlineStr">
        <is>
          <t>avverkningsanmälan</t>
        </is>
      </c>
      <c r="C381" t="inlineStr">
        <is>
          <t>Föryngringsavverkning</t>
        </is>
      </c>
      <c r="D381" s="1" t="n">
        <v>44806</v>
      </c>
      <c r="E381" s="1" t="n">
        <v>46216</v>
      </c>
      <c r="F381" t="inlineStr">
        <is>
          <t>BLEKINGE LÄN</t>
        </is>
      </c>
      <c r="G381" t="inlineStr">
        <is>
          <t>RONNEBY</t>
        </is>
      </c>
      <c r="I381" t="n">
        <v>0.6</v>
      </c>
      <c r="J381" t="n">
        <v>0</v>
      </c>
      <c r="K381" t="n">
        <v>0</v>
      </c>
      <c r="L381" t="n">
        <v>0</v>
      </c>
      <c r="M381" t="n">
        <v>0</v>
      </c>
      <c r="N381" t="n">
        <v>0</v>
      </c>
      <c r="O381" t="n">
        <v>0</v>
      </c>
      <c r="P381" t="n">
        <v>0</v>
      </c>
      <c r="Q381" t="n">
        <v>0</v>
      </c>
      <c r="R381" t="n">
        <v>0</v>
      </c>
      <c r="S381" t="n">
        <v>0</v>
      </c>
      <c r="T381" t="n">
        <v>0</v>
      </c>
      <c r="U381" s="2" t="inlineStr"/>
    </row>
    <row r="382" ht="15" customHeight="1">
      <c r="A382" t="inlineStr">
        <is>
          <t>A 66288-2021</t>
        </is>
      </c>
      <c r="B382" t="inlineStr">
        <is>
          <t>avverkningsanmälan</t>
        </is>
      </c>
      <c r="C382" t="inlineStr">
        <is>
          <t>Föryngringsavverkning</t>
        </is>
      </c>
      <c r="D382" s="1" t="n">
        <v>44518</v>
      </c>
      <c r="E382" s="1" t="n">
        <v>46216</v>
      </c>
      <c r="F382" t="inlineStr">
        <is>
          <t>BLEKINGE LÄN</t>
        </is>
      </c>
      <c r="G382" t="inlineStr">
        <is>
          <t>RONNEBY</t>
        </is>
      </c>
      <c r="I382" t="n">
        <v>0.5</v>
      </c>
      <c r="J382" t="n">
        <v>0</v>
      </c>
      <c r="K382" t="n">
        <v>0</v>
      </c>
      <c r="L382" t="n">
        <v>0</v>
      </c>
      <c r="M382" t="n">
        <v>0</v>
      </c>
      <c r="N382" t="n">
        <v>0</v>
      </c>
      <c r="O382" t="n">
        <v>0</v>
      </c>
      <c r="P382" t="n">
        <v>0</v>
      </c>
      <c r="Q382" t="n">
        <v>0</v>
      </c>
      <c r="R382" t="n">
        <v>0</v>
      </c>
      <c r="S382" t="n">
        <v>0</v>
      </c>
      <c r="T382" t="n">
        <v>0</v>
      </c>
      <c r="U382" s="2" t="inlineStr"/>
    </row>
    <row r="383" ht="15" customHeight="1">
      <c r="A383" t="inlineStr">
        <is>
          <t>A 61657-2021</t>
        </is>
      </c>
      <c r="B383" t="inlineStr">
        <is>
          <t>avverkningsanmälan</t>
        </is>
      </c>
      <c r="C383" t="inlineStr">
        <is>
          <t>Föryngringsavverkning</t>
        </is>
      </c>
      <c r="D383" s="1" t="n">
        <v>44501</v>
      </c>
      <c r="E383" s="1" t="n">
        <v>46216</v>
      </c>
      <c r="F383" t="inlineStr">
        <is>
          <t>BLEKINGE LÄN</t>
        </is>
      </c>
      <c r="G383" t="inlineStr">
        <is>
          <t>RONNEBY</t>
        </is>
      </c>
      <c r="I383" t="n">
        <v>0.4</v>
      </c>
      <c r="J383" t="n">
        <v>0</v>
      </c>
      <c r="K383" t="n">
        <v>0</v>
      </c>
      <c r="L383" t="n">
        <v>0</v>
      </c>
      <c r="M383" t="n">
        <v>0</v>
      </c>
      <c r="N383" t="n">
        <v>0</v>
      </c>
      <c r="O383" t="n">
        <v>0</v>
      </c>
      <c r="P383" t="n">
        <v>0</v>
      </c>
      <c r="Q383" t="n">
        <v>0</v>
      </c>
      <c r="R383" t="n">
        <v>0</v>
      </c>
      <c r="S383" t="n">
        <v>0</v>
      </c>
      <c r="T383" t="n">
        <v>0</v>
      </c>
      <c r="U383" s="2" t="inlineStr"/>
    </row>
    <row r="384" ht="15" customHeight="1">
      <c r="A384" t="inlineStr">
        <is>
          <t>A 20152-2022</t>
        </is>
      </c>
      <c r="B384" t="inlineStr">
        <is>
          <t>avverkningsanmälan</t>
        </is>
      </c>
      <c r="C384" t="inlineStr">
        <is>
          <t>Föryngringsavverkning</t>
        </is>
      </c>
      <c r="D384" s="1" t="n">
        <v>44698</v>
      </c>
      <c r="E384" s="1" t="n">
        <v>46216</v>
      </c>
      <c r="F384" t="inlineStr">
        <is>
          <t>BLEKINGE LÄN</t>
        </is>
      </c>
      <c r="G384" t="inlineStr">
        <is>
          <t>KARLSKRONA</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45522-2022</t>
        </is>
      </c>
      <c r="B385" t="inlineStr">
        <is>
          <t>avverkningsanmälan</t>
        </is>
      </c>
      <c r="C385" t="inlineStr">
        <is>
          <t>Föryngringsavverkning</t>
        </is>
      </c>
      <c r="D385" s="1" t="n">
        <v>44845</v>
      </c>
      <c r="E385" s="1" t="n">
        <v>46216</v>
      </c>
      <c r="F385" t="inlineStr">
        <is>
          <t>BLEKINGE LÄN</t>
        </is>
      </c>
      <c r="G385" t="inlineStr">
        <is>
          <t>RONNEBY</t>
        </is>
      </c>
      <c r="I385" t="n">
        <v>0.5</v>
      </c>
      <c r="J385" t="n">
        <v>0</v>
      </c>
      <c r="K385" t="n">
        <v>0</v>
      </c>
      <c r="L385" t="n">
        <v>0</v>
      </c>
      <c r="M385" t="n">
        <v>0</v>
      </c>
      <c r="N385" t="n">
        <v>0</v>
      </c>
      <c r="O385" t="n">
        <v>0</v>
      </c>
      <c r="P385" t="n">
        <v>0</v>
      </c>
      <c r="Q385" t="n">
        <v>0</v>
      </c>
      <c r="R385" t="n">
        <v>0</v>
      </c>
      <c r="S385" t="n">
        <v>0</v>
      </c>
      <c r="T385" t="n">
        <v>0</v>
      </c>
      <c r="U385" s="2" t="inlineStr"/>
    </row>
    <row r="386" ht="15" customHeight="1">
      <c r="A386" t="inlineStr">
        <is>
          <t>A 53764-2021</t>
        </is>
      </c>
      <c r="B386" t="inlineStr">
        <is>
          <t>avverkningsanmälan</t>
        </is>
      </c>
      <c r="C386" t="inlineStr">
        <is>
          <t>Föryngringsavverkning</t>
        </is>
      </c>
      <c r="D386" s="1" t="n">
        <v>44469</v>
      </c>
      <c r="E386" s="1" t="n">
        <v>46216</v>
      </c>
      <c r="F386" t="inlineStr">
        <is>
          <t>BLEKINGE LÄN</t>
        </is>
      </c>
      <c r="G386" t="inlineStr">
        <is>
          <t>OLOFSTRÖM</t>
        </is>
      </c>
      <c r="H386" t="inlineStr">
        <is>
          <t>Övriga Aktiebolag</t>
        </is>
      </c>
      <c r="I386" t="n">
        <v>1.9</v>
      </c>
      <c r="J386" t="n">
        <v>0</v>
      </c>
      <c r="K386" t="n">
        <v>0</v>
      </c>
      <c r="L386" t="n">
        <v>0</v>
      </c>
      <c r="M386" t="n">
        <v>0</v>
      </c>
      <c r="N386" t="n">
        <v>0</v>
      </c>
      <c r="O386" t="n">
        <v>0</v>
      </c>
      <c r="P386" t="n">
        <v>0</v>
      </c>
      <c r="Q386" t="n">
        <v>0</v>
      </c>
      <c r="R386" t="n">
        <v>0</v>
      </c>
      <c r="S386" t="n">
        <v>0</v>
      </c>
      <c r="T386" t="n">
        <v>0</v>
      </c>
      <c r="U386" s="2" t="inlineStr"/>
    </row>
    <row r="387" ht="15" customHeight="1">
      <c r="A387" t="inlineStr">
        <is>
          <t>A 51660-2022</t>
        </is>
      </c>
      <c r="B387" t="inlineStr">
        <is>
          <t>avverkningsanmälan</t>
        </is>
      </c>
      <c r="C387" t="inlineStr">
        <is>
          <t>Föryngringsavverkning</t>
        </is>
      </c>
      <c r="D387" s="1" t="n">
        <v>44872</v>
      </c>
      <c r="E387" s="1" t="n">
        <v>46216</v>
      </c>
      <c r="F387" t="inlineStr">
        <is>
          <t>BLEKINGE LÄN</t>
        </is>
      </c>
      <c r="G387" t="inlineStr">
        <is>
          <t>RONNEBY</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9966-2022</t>
        </is>
      </c>
      <c r="B388" t="inlineStr">
        <is>
          <t>avverkningsanmälan</t>
        </is>
      </c>
      <c r="C388" t="inlineStr">
        <is>
          <t>Föryngringsavverkning</t>
        </is>
      </c>
      <c r="D388" s="1" t="n">
        <v>44621</v>
      </c>
      <c r="E388" s="1" t="n">
        <v>46216</v>
      </c>
      <c r="F388" t="inlineStr">
        <is>
          <t>BLEKINGE LÄN</t>
        </is>
      </c>
      <c r="G388" t="inlineStr">
        <is>
          <t>KARLSKRONA</t>
        </is>
      </c>
      <c r="I388" t="n">
        <v>4.9</v>
      </c>
      <c r="J388" t="n">
        <v>0</v>
      </c>
      <c r="K388" t="n">
        <v>0</v>
      </c>
      <c r="L388" t="n">
        <v>0</v>
      </c>
      <c r="M388" t="n">
        <v>0</v>
      </c>
      <c r="N388" t="n">
        <v>0</v>
      </c>
      <c r="O388" t="n">
        <v>0</v>
      </c>
      <c r="P388" t="n">
        <v>0</v>
      </c>
      <c r="Q388" t="n">
        <v>0</v>
      </c>
      <c r="R388" t="n">
        <v>0</v>
      </c>
      <c r="S388" t="n">
        <v>0</v>
      </c>
      <c r="T388" t="n">
        <v>0</v>
      </c>
      <c r="U388" s="2" t="inlineStr"/>
    </row>
    <row r="389" ht="15" customHeight="1">
      <c r="A389" t="inlineStr">
        <is>
          <t>A 48703-2022</t>
        </is>
      </c>
      <c r="B389" t="inlineStr">
        <is>
          <t>avverkningsanmälan</t>
        </is>
      </c>
      <c r="C389" t="inlineStr">
        <is>
          <t>Föryngringsavverkning</t>
        </is>
      </c>
      <c r="D389" s="1" t="n">
        <v>44859</v>
      </c>
      <c r="E389" s="1" t="n">
        <v>46216</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s="2" t="inlineStr"/>
    </row>
    <row r="390" ht="15" customHeight="1">
      <c r="A390" t="inlineStr">
        <is>
          <t>A 55126-2022</t>
        </is>
      </c>
      <c r="B390" t="inlineStr">
        <is>
          <t>avverkningsanmälan</t>
        </is>
      </c>
      <c r="C390" t="inlineStr">
        <is>
          <t>Föryngringsavverkning</t>
        </is>
      </c>
      <c r="D390" s="1" t="n">
        <v>44886</v>
      </c>
      <c r="E390" s="1" t="n">
        <v>46216</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s="2" t="inlineStr"/>
    </row>
    <row r="391" ht="15" customHeight="1">
      <c r="A391" t="inlineStr">
        <is>
          <t>A 11461-2022</t>
        </is>
      </c>
      <c r="B391" t="inlineStr">
        <is>
          <t>avverkningsanmälan</t>
        </is>
      </c>
      <c r="C391" t="inlineStr">
        <is>
          <t>Föryngringsavverkning</t>
        </is>
      </c>
      <c r="D391" s="1" t="n">
        <v>44630</v>
      </c>
      <c r="E391" s="1" t="n">
        <v>46216</v>
      </c>
      <c r="F391" t="inlineStr">
        <is>
          <t>BLEKINGE LÄN</t>
        </is>
      </c>
      <c r="G391" t="inlineStr">
        <is>
          <t>RONNEBY</t>
        </is>
      </c>
      <c r="I391" t="n">
        <v>0.7</v>
      </c>
      <c r="J391" t="n">
        <v>0</v>
      </c>
      <c r="K391" t="n">
        <v>0</v>
      </c>
      <c r="L391" t="n">
        <v>0</v>
      </c>
      <c r="M391" t="n">
        <v>0</v>
      </c>
      <c r="N391" t="n">
        <v>0</v>
      </c>
      <c r="O391" t="n">
        <v>0</v>
      </c>
      <c r="P391" t="n">
        <v>0</v>
      </c>
      <c r="Q391" t="n">
        <v>0</v>
      </c>
      <c r="R391" t="n">
        <v>0</v>
      </c>
      <c r="S391" t="n">
        <v>0</v>
      </c>
      <c r="T391" t="n">
        <v>0</v>
      </c>
      <c r="U391" s="2" t="inlineStr"/>
    </row>
    <row r="392" ht="15" customHeight="1">
      <c r="A392" t="inlineStr">
        <is>
          <t>A 50414-2022</t>
        </is>
      </c>
      <c r="B392" t="inlineStr">
        <is>
          <t>avverkningsanmälan</t>
        </is>
      </c>
      <c r="C392" t="inlineStr">
        <is>
          <t>Föryngringsavverkning</t>
        </is>
      </c>
      <c r="D392" s="1" t="n">
        <v>44866</v>
      </c>
      <c r="E392" s="1" t="n">
        <v>46216</v>
      </c>
      <c r="F392" t="inlineStr">
        <is>
          <t>BLEKINGE LÄN</t>
        </is>
      </c>
      <c r="G392" t="inlineStr">
        <is>
          <t>OLOFSTRÖM</t>
        </is>
      </c>
      <c r="I392" t="n">
        <v>0.8</v>
      </c>
      <c r="J392" t="n">
        <v>0</v>
      </c>
      <c r="K392" t="n">
        <v>0</v>
      </c>
      <c r="L392" t="n">
        <v>0</v>
      </c>
      <c r="M392" t="n">
        <v>0</v>
      </c>
      <c r="N392" t="n">
        <v>0</v>
      </c>
      <c r="O392" t="n">
        <v>0</v>
      </c>
      <c r="P392" t="n">
        <v>0</v>
      </c>
      <c r="Q392" t="n">
        <v>0</v>
      </c>
      <c r="R392" t="n">
        <v>0</v>
      </c>
      <c r="S392" t="n">
        <v>0</v>
      </c>
      <c r="T392" t="n">
        <v>0</v>
      </c>
      <c r="U392" s="2" t="inlineStr"/>
    </row>
    <row r="393" ht="15" customHeight="1">
      <c r="A393" t="inlineStr">
        <is>
          <t>A 27474-2022</t>
        </is>
      </c>
      <c r="B393" t="inlineStr">
        <is>
          <t>avverkningsanmälan</t>
        </is>
      </c>
      <c r="C393" t="inlineStr">
        <is>
          <t>Föryngringsavverkning</t>
        </is>
      </c>
      <c r="D393" s="1" t="n">
        <v>44742</v>
      </c>
      <c r="E393" s="1" t="n">
        <v>46216</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s="2" t="inlineStr"/>
    </row>
    <row r="394" ht="15" customHeight="1">
      <c r="A394" t="inlineStr">
        <is>
          <t>A 27842-2022</t>
        </is>
      </c>
      <c r="B394" t="inlineStr">
        <is>
          <t>avverkningsanmälan</t>
        </is>
      </c>
      <c r="C394" t="inlineStr">
        <is>
          <t>Föryngringsavverkning</t>
        </is>
      </c>
      <c r="D394" s="1" t="n">
        <v>44743</v>
      </c>
      <c r="E394" s="1" t="n">
        <v>46216</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s="2" t="inlineStr"/>
    </row>
    <row r="395" ht="15" customHeight="1">
      <c r="A395" t="inlineStr">
        <is>
          <t>A 19615-2022</t>
        </is>
      </c>
      <c r="B395" t="inlineStr">
        <is>
          <t>avverkningsanmälan</t>
        </is>
      </c>
      <c r="C395" t="inlineStr">
        <is>
          <t>Föryngringsavverkning</t>
        </is>
      </c>
      <c r="D395" s="1" t="n">
        <v>44694</v>
      </c>
      <c r="E395" s="1" t="n">
        <v>46216</v>
      </c>
      <c r="F395" t="inlineStr">
        <is>
          <t>BLEKINGE LÄN</t>
        </is>
      </c>
      <c r="G395" t="inlineStr">
        <is>
          <t>RONNEBY</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35052-2022</t>
        </is>
      </c>
      <c r="B396" t="inlineStr">
        <is>
          <t>avverkningsanmälan</t>
        </is>
      </c>
      <c r="C396" t="inlineStr">
        <is>
          <t>Föryngringsavverkning</t>
        </is>
      </c>
      <c r="D396" s="1" t="n">
        <v>44796</v>
      </c>
      <c r="E396" s="1" t="n">
        <v>46216</v>
      </c>
      <c r="F396" t="inlineStr">
        <is>
          <t>BLEKINGE LÄN</t>
        </is>
      </c>
      <c r="G396" t="inlineStr">
        <is>
          <t>KARLSHAMN</t>
        </is>
      </c>
      <c r="I396" t="n">
        <v>3.9</v>
      </c>
      <c r="J396" t="n">
        <v>0</v>
      </c>
      <c r="K396" t="n">
        <v>0</v>
      </c>
      <c r="L396" t="n">
        <v>0</v>
      </c>
      <c r="M396" t="n">
        <v>0</v>
      </c>
      <c r="N396" t="n">
        <v>0</v>
      </c>
      <c r="O396" t="n">
        <v>0</v>
      </c>
      <c r="P396" t="n">
        <v>0</v>
      </c>
      <c r="Q396" t="n">
        <v>0</v>
      </c>
      <c r="R396" t="n">
        <v>0</v>
      </c>
      <c r="S396" t="n">
        <v>0</v>
      </c>
      <c r="T396" t="n">
        <v>0</v>
      </c>
      <c r="U396" s="2" t="inlineStr"/>
    </row>
    <row r="397" ht="15" customHeight="1">
      <c r="A397" t="inlineStr">
        <is>
          <t>A 73438-2021</t>
        </is>
      </c>
      <c r="B397" t="inlineStr">
        <is>
          <t>avverkningsanmälan</t>
        </is>
      </c>
      <c r="C397" t="inlineStr">
        <is>
          <t>Föryngringsavverkning</t>
        </is>
      </c>
      <c r="D397" s="1" t="n">
        <v>44551</v>
      </c>
      <c r="E397" s="1" t="n">
        <v>46216</v>
      </c>
      <c r="F397" t="inlineStr">
        <is>
          <t>BLEKINGE LÄN</t>
        </is>
      </c>
      <c r="G397" t="inlineStr">
        <is>
          <t>OLOFSTRÖM</t>
        </is>
      </c>
      <c r="I397" t="n">
        <v>1.2</v>
      </c>
      <c r="J397" t="n">
        <v>0</v>
      </c>
      <c r="K397" t="n">
        <v>0</v>
      </c>
      <c r="L397" t="n">
        <v>0</v>
      </c>
      <c r="M397" t="n">
        <v>0</v>
      </c>
      <c r="N397" t="n">
        <v>0</v>
      </c>
      <c r="O397" t="n">
        <v>0</v>
      </c>
      <c r="P397" t="n">
        <v>0</v>
      </c>
      <c r="Q397" t="n">
        <v>0</v>
      </c>
      <c r="R397" t="n">
        <v>0</v>
      </c>
      <c r="S397" t="n">
        <v>0</v>
      </c>
      <c r="T397" t="n">
        <v>0</v>
      </c>
      <c r="U397" s="2" t="inlineStr"/>
    </row>
    <row r="398" ht="15" customHeight="1">
      <c r="A398" t="inlineStr">
        <is>
          <t>A 66838-2021</t>
        </is>
      </c>
      <c r="B398" t="inlineStr">
        <is>
          <t>avverkningsanmälan</t>
        </is>
      </c>
      <c r="C398" t="inlineStr">
        <is>
          <t>Föryngringsavverkning</t>
        </is>
      </c>
      <c r="D398" s="1" t="n">
        <v>44522</v>
      </c>
      <c r="E398" s="1" t="n">
        <v>46216</v>
      </c>
      <c r="F398" t="inlineStr">
        <is>
          <t>BLEKINGE LÄN</t>
        </is>
      </c>
      <c r="G398" t="inlineStr">
        <is>
          <t>KARLSHAMN</t>
        </is>
      </c>
      <c r="I398" t="n">
        <v>0.6</v>
      </c>
      <c r="J398" t="n">
        <v>0</v>
      </c>
      <c r="K398" t="n">
        <v>0</v>
      </c>
      <c r="L398" t="n">
        <v>0</v>
      </c>
      <c r="M398" t="n">
        <v>0</v>
      </c>
      <c r="N398" t="n">
        <v>0</v>
      </c>
      <c r="O398" t="n">
        <v>0</v>
      </c>
      <c r="P398" t="n">
        <v>0</v>
      </c>
      <c r="Q398" t="n">
        <v>0</v>
      </c>
      <c r="R398" t="n">
        <v>0</v>
      </c>
      <c r="S398" t="n">
        <v>0</v>
      </c>
      <c r="T398" t="n">
        <v>0</v>
      </c>
      <c r="U398" s="2" t="inlineStr"/>
    </row>
    <row r="399" ht="15" customHeight="1">
      <c r="A399" t="inlineStr">
        <is>
          <t>A 73443-2021</t>
        </is>
      </c>
      <c r="B399" t="inlineStr">
        <is>
          <t>avverkningsanmälan</t>
        </is>
      </c>
      <c r="C399" t="inlineStr">
        <is>
          <t>Föryngringsavverkning</t>
        </is>
      </c>
      <c r="D399" s="1" t="n">
        <v>44551</v>
      </c>
      <c r="E399" s="1" t="n">
        <v>46216</v>
      </c>
      <c r="F399" t="inlineStr">
        <is>
          <t>BLEKINGE LÄN</t>
        </is>
      </c>
      <c r="G399" t="inlineStr">
        <is>
          <t>OLOFSTRÖM</t>
        </is>
      </c>
      <c r="I399" t="n">
        <v>2</v>
      </c>
      <c r="J399" t="n">
        <v>0</v>
      </c>
      <c r="K399" t="n">
        <v>0</v>
      </c>
      <c r="L399" t="n">
        <v>0</v>
      </c>
      <c r="M399" t="n">
        <v>0</v>
      </c>
      <c r="N399" t="n">
        <v>0</v>
      </c>
      <c r="O399" t="n">
        <v>0</v>
      </c>
      <c r="P399" t="n">
        <v>0</v>
      </c>
      <c r="Q399" t="n">
        <v>0</v>
      </c>
      <c r="R399" t="n">
        <v>0</v>
      </c>
      <c r="S399" t="n">
        <v>0</v>
      </c>
      <c r="T399" t="n">
        <v>0</v>
      </c>
      <c r="U399" s="2" t="inlineStr"/>
    </row>
    <row r="400" ht="15" customHeight="1">
      <c r="A400" t="inlineStr">
        <is>
          <t>A 73443-2021</t>
        </is>
      </c>
      <c r="B400" t="inlineStr">
        <is>
          <t>avverkningsanmälan</t>
        </is>
      </c>
      <c r="C400" t="inlineStr">
        <is>
          <t>Föryngringsavverkning</t>
        </is>
      </c>
      <c r="D400" s="1" t="n">
        <v>44551</v>
      </c>
      <c r="E400" s="1" t="n">
        <v>46216</v>
      </c>
      <c r="F400" t="inlineStr">
        <is>
          <t>BLEKINGE LÄN</t>
        </is>
      </c>
      <c r="G400" t="inlineStr">
        <is>
          <t>OLOFSTRÖM</t>
        </is>
      </c>
      <c r="I400" t="n">
        <v>0.6</v>
      </c>
      <c r="J400" t="n">
        <v>0</v>
      </c>
      <c r="K400" t="n">
        <v>0</v>
      </c>
      <c r="L400" t="n">
        <v>0</v>
      </c>
      <c r="M400" t="n">
        <v>0</v>
      </c>
      <c r="N400" t="n">
        <v>0</v>
      </c>
      <c r="O400" t="n">
        <v>0</v>
      </c>
      <c r="P400" t="n">
        <v>0</v>
      </c>
      <c r="Q400" t="n">
        <v>0</v>
      </c>
      <c r="R400" t="n">
        <v>0</v>
      </c>
      <c r="S400" t="n">
        <v>0</v>
      </c>
      <c r="T400" t="n">
        <v>0</v>
      </c>
      <c r="U400" s="2" t="inlineStr"/>
    </row>
    <row r="401" ht="15" customHeight="1">
      <c r="A401" t="inlineStr">
        <is>
          <t>A 62711-2021</t>
        </is>
      </c>
      <c r="B401" t="inlineStr">
        <is>
          <t>avverkningsanmälan</t>
        </is>
      </c>
      <c r="C401" t="inlineStr">
        <is>
          <t>Föryngringsavverkning</t>
        </is>
      </c>
      <c r="D401" s="1" t="n">
        <v>44504</v>
      </c>
      <c r="E401" s="1" t="n">
        <v>46216</v>
      </c>
      <c r="F401" t="inlineStr">
        <is>
          <t>BLEKINGE LÄN</t>
        </is>
      </c>
      <c r="G401" t="inlineStr">
        <is>
          <t>RONNEBY</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A 56442-2021</t>
        </is>
      </c>
      <c r="B402" t="inlineStr">
        <is>
          <t>avverkningsanmälan</t>
        </is>
      </c>
      <c r="C402" t="inlineStr">
        <is>
          <t>Föryngringsavverkning</t>
        </is>
      </c>
      <c r="D402" s="1" t="n">
        <v>44480</v>
      </c>
      <c r="E402" s="1" t="n">
        <v>46216</v>
      </c>
      <c r="F402" t="inlineStr">
        <is>
          <t>BLEKINGE LÄN</t>
        </is>
      </c>
      <c r="G402" t="inlineStr">
        <is>
          <t>KARLSKRONA</t>
        </is>
      </c>
      <c r="I402" t="n">
        <v>0.3</v>
      </c>
      <c r="J402" t="n">
        <v>0</v>
      </c>
      <c r="K402" t="n">
        <v>0</v>
      </c>
      <c r="L402" t="n">
        <v>0</v>
      </c>
      <c r="M402" t="n">
        <v>0</v>
      </c>
      <c r="N402" t="n">
        <v>0</v>
      </c>
      <c r="O402" t="n">
        <v>0</v>
      </c>
      <c r="P402" t="n">
        <v>0</v>
      </c>
      <c r="Q402" t="n">
        <v>0</v>
      </c>
      <c r="R402" t="n">
        <v>0</v>
      </c>
      <c r="S402" t="n">
        <v>0</v>
      </c>
      <c r="T402" t="n">
        <v>0</v>
      </c>
      <c r="U402" s="2" t="inlineStr"/>
    </row>
    <row r="403" ht="15" customHeight="1">
      <c r="A403" t="inlineStr">
        <is>
          <t>A 47481-2022</t>
        </is>
      </c>
      <c r="B403" t="inlineStr">
        <is>
          <t>avverkningsanmälan</t>
        </is>
      </c>
      <c r="C403" t="inlineStr">
        <is>
          <t>Föryngringsavverkning</t>
        </is>
      </c>
      <c r="D403" s="1" t="n">
        <v>44853</v>
      </c>
      <c r="E403" s="1" t="n">
        <v>46216</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39133-2022</t>
        </is>
      </c>
      <c r="B404" t="inlineStr">
        <is>
          <t>avverkningsanmälan</t>
        </is>
      </c>
      <c r="C404" t="inlineStr">
        <is>
          <t>Föryngringsavverkning</t>
        </is>
      </c>
      <c r="D404" s="1" t="n">
        <v>44817</v>
      </c>
      <c r="E404" s="1" t="n">
        <v>46216</v>
      </c>
      <c r="F404" t="inlineStr">
        <is>
          <t>BLEKINGE LÄN</t>
        </is>
      </c>
      <c r="G404" t="inlineStr">
        <is>
          <t>RONNEBY</t>
        </is>
      </c>
      <c r="I404" t="n">
        <v>3.6</v>
      </c>
      <c r="J404" t="n">
        <v>0</v>
      </c>
      <c r="K404" t="n">
        <v>0</v>
      </c>
      <c r="L404" t="n">
        <v>0</v>
      </c>
      <c r="M404" t="n">
        <v>0</v>
      </c>
      <c r="N404" t="n">
        <v>0</v>
      </c>
      <c r="O404" t="n">
        <v>0</v>
      </c>
      <c r="P404" t="n">
        <v>0</v>
      </c>
      <c r="Q404" t="n">
        <v>0</v>
      </c>
      <c r="R404" t="n">
        <v>0</v>
      </c>
      <c r="S404" t="n">
        <v>0</v>
      </c>
      <c r="T404" t="n">
        <v>0</v>
      </c>
      <c r="U404" s="2" t="inlineStr"/>
    </row>
    <row r="405" ht="15" customHeight="1">
      <c r="A405" t="inlineStr">
        <is>
          <t>A 45605-2021</t>
        </is>
      </c>
      <c r="B405" t="inlineStr">
        <is>
          <t>avverkningsanmälan</t>
        </is>
      </c>
      <c r="C405" t="inlineStr">
        <is>
          <t>Föryngringsavverkning</t>
        </is>
      </c>
      <c r="D405" s="1" t="n">
        <v>44440</v>
      </c>
      <c r="E405" s="1" t="n">
        <v>46216</v>
      </c>
      <c r="F405" t="inlineStr">
        <is>
          <t>BLEKINGE LÄN</t>
        </is>
      </c>
      <c r="G405" t="inlineStr">
        <is>
          <t>KARLSKRONA</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41618-2021</t>
        </is>
      </c>
      <c r="B406" t="inlineStr">
        <is>
          <t>avverkningsanmälan</t>
        </is>
      </c>
      <c r="C406" t="inlineStr">
        <is>
          <t>Föryngringsavverkning</t>
        </is>
      </c>
      <c r="D406" s="1" t="n">
        <v>44425</v>
      </c>
      <c r="E406" s="1" t="n">
        <v>46216</v>
      </c>
      <c r="F406" t="inlineStr">
        <is>
          <t>BLEKINGE LÄN</t>
        </is>
      </c>
      <c r="G406" t="inlineStr">
        <is>
          <t>KARLSKRONA</t>
        </is>
      </c>
      <c r="I406" t="n">
        <v>8.6</v>
      </c>
      <c r="J406" t="n">
        <v>0</v>
      </c>
      <c r="K406" t="n">
        <v>0</v>
      </c>
      <c r="L406" t="n">
        <v>0</v>
      </c>
      <c r="M406" t="n">
        <v>0</v>
      </c>
      <c r="N406" t="n">
        <v>0</v>
      </c>
      <c r="O406" t="n">
        <v>0</v>
      </c>
      <c r="P406" t="n">
        <v>0</v>
      </c>
      <c r="Q406" t="n">
        <v>0</v>
      </c>
      <c r="R406" t="n">
        <v>0</v>
      </c>
      <c r="S406" t="n">
        <v>0</v>
      </c>
      <c r="T406" t="n">
        <v>0</v>
      </c>
      <c r="U406" s="2" t="inlineStr"/>
    </row>
    <row r="407" ht="15" customHeight="1">
      <c r="A407" t="inlineStr">
        <is>
          <t>A 12433-2022</t>
        </is>
      </c>
      <c r="B407" t="inlineStr">
        <is>
          <t>avverkningsanmälan</t>
        </is>
      </c>
      <c r="C407" t="inlineStr">
        <is>
          <t>Föryngringsavverkning</t>
        </is>
      </c>
      <c r="D407" s="1" t="n">
        <v>44638</v>
      </c>
      <c r="E407" s="1" t="n">
        <v>46216</v>
      </c>
      <c r="F407" t="inlineStr">
        <is>
          <t>BLEKINGE LÄN</t>
        </is>
      </c>
      <c r="G407" t="inlineStr">
        <is>
          <t>RONNEBY</t>
        </is>
      </c>
      <c r="I407" t="n">
        <v>0.6</v>
      </c>
      <c r="J407" t="n">
        <v>0</v>
      </c>
      <c r="K407" t="n">
        <v>0</v>
      </c>
      <c r="L407" t="n">
        <v>0</v>
      </c>
      <c r="M407" t="n">
        <v>0</v>
      </c>
      <c r="N407" t="n">
        <v>0</v>
      </c>
      <c r="O407" t="n">
        <v>0</v>
      </c>
      <c r="P407" t="n">
        <v>0</v>
      </c>
      <c r="Q407" t="n">
        <v>0</v>
      </c>
      <c r="R407" t="n">
        <v>0</v>
      </c>
      <c r="S407" t="n">
        <v>0</v>
      </c>
      <c r="T407" t="n">
        <v>0</v>
      </c>
      <c r="U407" s="2" t="inlineStr"/>
    </row>
    <row r="408" ht="15" customHeight="1">
      <c r="A408" t="inlineStr">
        <is>
          <t>A 52695-2021</t>
        </is>
      </c>
      <c r="B408" t="inlineStr">
        <is>
          <t>avverkningsanmälan</t>
        </is>
      </c>
      <c r="C408" t="inlineStr">
        <is>
          <t>Föryngringsavverkning</t>
        </is>
      </c>
      <c r="D408" s="1" t="n">
        <v>44466</v>
      </c>
      <c r="E408" s="1" t="n">
        <v>46216</v>
      </c>
      <c r="F408" t="inlineStr">
        <is>
          <t>BLEKINGE LÄN</t>
        </is>
      </c>
      <c r="G408" t="inlineStr">
        <is>
          <t>KARLSKRONA</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43570-2022</t>
        </is>
      </c>
      <c r="B409" t="inlineStr">
        <is>
          <t>avverkningsanmälan</t>
        </is>
      </c>
      <c r="C409" t="inlineStr">
        <is>
          <t>Föryngringsavverkning</t>
        </is>
      </c>
      <c r="D409" s="1" t="n">
        <v>44837</v>
      </c>
      <c r="E409" s="1" t="n">
        <v>46216</v>
      </c>
      <c r="F409" t="inlineStr">
        <is>
          <t>BLEKINGE LÄN</t>
        </is>
      </c>
      <c r="G409" t="inlineStr">
        <is>
          <t>KARLSKRONA</t>
        </is>
      </c>
      <c r="I409" t="n">
        <v>0.9</v>
      </c>
      <c r="J409" t="n">
        <v>0</v>
      </c>
      <c r="K409" t="n">
        <v>0</v>
      </c>
      <c r="L409" t="n">
        <v>0</v>
      </c>
      <c r="M409" t="n">
        <v>0</v>
      </c>
      <c r="N409" t="n">
        <v>0</v>
      </c>
      <c r="O409" t="n">
        <v>0</v>
      </c>
      <c r="P409" t="n">
        <v>0</v>
      </c>
      <c r="Q409" t="n">
        <v>0</v>
      </c>
      <c r="R409" t="n">
        <v>0</v>
      </c>
      <c r="S409" t="n">
        <v>0</v>
      </c>
      <c r="T409" t="n">
        <v>0</v>
      </c>
      <c r="U409" s="2" t="inlineStr"/>
    </row>
    <row r="410" ht="15" customHeight="1">
      <c r="A410" t="inlineStr">
        <is>
          <t>A 58816-2021</t>
        </is>
      </c>
      <c r="B410" t="inlineStr">
        <is>
          <t>avverkningsanmälan</t>
        </is>
      </c>
      <c r="C410" t="inlineStr">
        <is>
          <t>Föryngringsavverkning</t>
        </is>
      </c>
      <c r="D410" s="1" t="n">
        <v>44489</v>
      </c>
      <c r="E410" s="1" t="n">
        <v>46216</v>
      </c>
      <c r="F410" t="inlineStr">
        <is>
          <t>BLEKINGE LÄN</t>
        </is>
      </c>
      <c r="G410" t="inlineStr">
        <is>
          <t>KARLSHAMN</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21484-2022</t>
        </is>
      </c>
      <c r="B411" t="inlineStr">
        <is>
          <t>avverkningsanmälan</t>
        </is>
      </c>
      <c r="C411" t="inlineStr">
        <is>
          <t>Föryngringsavverkning</t>
        </is>
      </c>
      <c r="D411" s="1" t="n">
        <v>44706</v>
      </c>
      <c r="E411" s="1" t="n">
        <v>46216</v>
      </c>
      <c r="F411" t="inlineStr">
        <is>
          <t>BLEKINGE LÄN</t>
        </is>
      </c>
      <c r="G411" t="inlineStr">
        <is>
          <t>KARLSKRONA</t>
        </is>
      </c>
      <c r="I411" t="n">
        <v>4.1</v>
      </c>
      <c r="J411" t="n">
        <v>0</v>
      </c>
      <c r="K411" t="n">
        <v>0</v>
      </c>
      <c r="L411" t="n">
        <v>0</v>
      </c>
      <c r="M411" t="n">
        <v>0</v>
      </c>
      <c r="N411" t="n">
        <v>0</v>
      </c>
      <c r="O411" t="n">
        <v>0</v>
      </c>
      <c r="P411" t="n">
        <v>0</v>
      </c>
      <c r="Q411" t="n">
        <v>0</v>
      </c>
      <c r="R411" t="n">
        <v>0</v>
      </c>
      <c r="S411" t="n">
        <v>0</v>
      </c>
      <c r="T411" t="n">
        <v>0</v>
      </c>
      <c r="U411" s="2" t="inlineStr"/>
    </row>
    <row r="412" ht="15" customHeight="1">
      <c r="A412" t="inlineStr">
        <is>
          <t>A 7874-2022</t>
        </is>
      </c>
      <c r="B412" t="inlineStr">
        <is>
          <t>avverkningsanmälan</t>
        </is>
      </c>
      <c r="C412" t="inlineStr">
        <is>
          <t>Föryngringsavverkning</t>
        </is>
      </c>
      <c r="D412" s="1" t="n">
        <v>44608</v>
      </c>
      <c r="E412" s="1" t="n">
        <v>46216</v>
      </c>
      <c r="F412" t="inlineStr">
        <is>
          <t>BLEKINGE LÄN</t>
        </is>
      </c>
      <c r="G412" t="inlineStr">
        <is>
          <t>KARLSKRONA</t>
        </is>
      </c>
      <c r="I412" t="n">
        <v>1.7</v>
      </c>
      <c r="J412" t="n">
        <v>0</v>
      </c>
      <c r="K412" t="n">
        <v>0</v>
      </c>
      <c r="L412" t="n">
        <v>0</v>
      </c>
      <c r="M412" t="n">
        <v>0</v>
      </c>
      <c r="N412" t="n">
        <v>0</v>
      </c>
      <c r="O412" t="n">
        <v>0</v>
      </c>
      <c r="P412" t="n">
        <v>0</v>
      </c>
      <c r="Q412" t="n">
        <v>0</v>
      </c>
      <c r="R412" t="n">
        <v>0</v>
      </c>
      <c r="S412" t="n">
        <v>0</v>
      </c>
      <c r="T412" t="n">
        <v>0</v>
      </c>
      <c r="U412" s="2" t="inlineStr"/>
    </row>
    <row r="413" ht="15" customHeight="1">
      <c r="A413" t="inlineStr">
        <is>
          <t>A 2391-2022</t>
        </is>
      </c>
      <c r="B413" t="inlineStr">
        <is>
          <t>avverkningsanmälan</t>
        </is>
      </c>
      <c r="C413" t="inlineStr">
        <is>
          <t>Föryngringsavverkning</t>
        </is>
      </c>
      <c r="D413" s="1" t="n">
        <v>44579</v>
      </c>
      <c r="E413" s="1" t="n">
        <v>46216</v>
      </c>
      <c r="F413" t="inlineStr">
        <is>
          <t>BLEKINGE LÄN</t>
        </is>
      </c>
      <c r="G413" t="inlineStr">
        <is>
          <t>KARLSKRONA</t>
        </is>
      </c>
      <c r="I413" t="n">
        <v>1.5</v>
      </c>
      <c r="J413" t="n">
        <v>0</v>
      </c>
      <c r="K413" t="n">
        <v>0</v>
      </c>
      <c r="L413" t="n">
        <v>0</v>
      </c>
      <c r="M413" t="n">
        <v>0</v>
      </c>
      <c r="N413" t="n">
        <v>0</v>
      </c>
      <c r="O413" t="n">
        <v>0</v>
      </c>
      <c r="P413" t="n">
        <v>0</v>
      </c>
      <c r="Q413" t="n">
        <v>0</v>
      </c>
      <c r="R413" t="n">
        <v>0</v>
      </c>
      <c r="S413" t="n">
        <v>0</v>
      </c>
      <c r="T413" t="n">
        <v>0</v>
      </c>
      <c r="U413" s="2" t="inlineStr"/>
    </row>
    <row r="414" ht="15" customHeight="1">
      <c r="A414" t="inlineStr">
        <is>
          <t>A 38401-2022</t>
        </is>
      </c>
      <c r="B414" t="inlineStr">
        <is>
          <t>avverkningsanmälan</t>
        </is>
      </c>
      <c r="C414" t="inlineStr">
        <is>
          <t>Föryngringsavverkning</t>
        </is>
      </c>
      <c r="D414" s="1" t="n">
        <v>44812</v>
      </c>
      <c r="E414" s="1" t="n">
        <v>46216</v>
      </c>
      <c r="F414" t="inlineStr">
        <is>
          <t>BLEKINGE LÄN</t>
        </is>
      </c>
      <c r="G414" t="inlineStr">
        <is>
          <t>RONNEBY</t>
        </is>
      </c>
      <c r="I414" t="n">
        <v>0.4</v>
      </c>
      <c r="J414" t="n">
        <v>0</v>
      </c>
      <c r="K414" t="n">
        <v>0</v>
      </c>
      <c r="L414" t="n">
        <v>0</v>
      </c>
      <c r="M414" t="n">
        <v>0</v>
      </c>
      <c r="N414" t="n">
        <v>0</v>
      </c>
      <c r="O414" t="n">
        <v>0</v>
      </c>
      <c r="P414" t="n">
        <v>0</v>
      </c>
      <c r="Q414" t="n">
        <v>0</v>
      </c>
      <c r="R414" t="n">
        <v>0</v>
      </c>
      <c r="S414" t="n">
        <v>0</v>
      </c>
      <c r="T414" t="n">
        <v>0</v>
      </c>
      <c r="U414" s="2" t="inlineStr"/>
    </row>
    <row r="415" ht="15" customHeight="1">
      <c r="A415" t="inlineStr">
        <is>
          <t>A 28338-2022</t>
        </is>
      </c>
      <c r="B415" t="inlineStr">
        <is>
          <t>avverkningsanmälan</t>
        </is>
      </c>
      <c r="C415" t="inlineStr">
        <is>
          <t>Föryngringsavverkning</t>
        </is>
      </c>
      <c r="D415" s="1" t="n">
        <v>44747</v>
      </c>
      <c r="E415" s="1" t="n">
        <v>46216</v>
      </c>
      <c r="F415" t="inlineStr">
        <is>
          <t>BLEKINGE LÄN</t>
        </is>
      </c>
      <c r="G415" t="inlineStr">
        <is>
          <t>OLOFSTRÖM</t>
        </is>
      </c>
      <c r="I415" t="n">
        <v>0.3</v>
      </c>
      <c r="J415" t="n">
        <v>0</v>
      </c>
      <c r="K415" t="n">
        <v>0</v>
      </c>
      <c r="L415" t="n">
        <v>0</v>
      </c>
      <c r="M415" t="n">
        <v>0</v>
      </c>
      <c r="N415" t="n">
        <v>0</v>
      </c>
      <c r="O415" t="n">
        <v>0</v>
      </c>
      <c r="P415" t="n">
        <v>0</v>
      </c>
      <c r="Q415" t="n">
        <v>0</v>
      </c>
      <c r="R415" t="n">
        <v>0</v>
      </c>
      <c r="S415" t="n">
        <v>0</v>
      </c>
      <c r="T415" t="n">
        <v>0</v>
      </c>
      <c r="U415" s="2" t="inlineStr"/>
    </row>
    <row r="416" ht="15" customHeight="1">
      <c r="A416" t="inlineStr">
        <is>
          <t>A 59839-2021</t>
        </is>
      </c>
      <c r="B416" t="inlineStr">
        <is>
          <t>avverkningsanmälan</t>
        </is>
      </c>
      <c r="C416" t="inlineStr">
        <is>
          <t>Föryngringsavverkning</t>
        </is>
      </c>
      <c r="D416" s="1" t="n">
        <v>44494</v>
      </c>
      <c r="E416" s="1" t="n">
        <v>46216</v>
      </c>
      <c r="F416" t="inlineStr">
        <is>
          <t>BLEKINGE LÄN</t>
        </is>
      </c>
      <c r="G416" t="inlineStr">
        <is>
          <t>KARLSKRONA</t>
        </is>
      </c>
      <c r="I416" t="n">
        <v>1.3</v>
      </c>
      <c r="J416" t="n">
        <v>0</v>
      </c>
      <c r="K416" t="n">
        <v>0</v>
      </c>
      <c r="L416" t="n">
        <v>0</v>
      </c>
      <c r="M416" t="n">
        <v>0</v>
      </c>
      <c r="N416" t="n">
        <v>0</v>
      </c>
      <c r="O416" t="n">
        <v>0</v>
      </c>
      <c r="P416" t="n">
        <v>0</v>
      </c>
      <c r="Q416" t="n">
        <v>0</v>
      </c>
      <c r="R416" t="n">
        <v>0</v>
      </c>
      <c r="S416" t="n">
        <v>0</v>
      </c>
      <c r="T416" t="n">
        <v>0</v>
      </c>
      <c r="U416" s="2" t="inlineStr"/>
    </row>
    <row r="417" ht="15" customHeight="1">
      <c r="A417" t="inlineStr">
        <is>
          <t>A 9520-2022</t>
        </is>
      </c>
      <c r="B417" t="inlineStr">
        <is>
          <t>avverkningsanmälan</t>
        </is>
      </c>
      <c r="C417" t="inlineStr">
        <is>
          <t>Föryngringsavverkning</t>
        </is>
      </c>
      <c r="D417" s="1" t="n">
        <v>44616</v>
      </c>
      <c r="E417" s="1" t="n">
        <v>46216</v>
      </c>
      <c r="F417" t="inlineStr">
        <is>
          <t>BLEKINGE LÄN</t>
        </is>
      </c>
      <c r="G417" t="inlineStr">
        <is>
          <t>SÖLVESBORG</t>
        </is>
      </c>
      <c r="I417" t="n">
        <v>7</v>
      </c>
      <c r="J417" t="n">
        <v>0</v>
      </c>
      <c r="K417" t="n">
        <v>0</v>
      </c>
      <c r="L417" t="n">
        <v>0</v>
      </c>
      <c r="M417" t="n">
        <v>0</v>
      </c>
      <c r="N417" t="n">
        <v>0</v>
      </c>
      <c r="O417" t="n">
        <v>0</v>
      </c>
      <c r="P417" t="n">
        <v>0</v>
      </c>
      <c r="Q417" t="n">
        <v>0</v>
      </c>
      <c r="R417" t="n">
        <v>0</v>
      </c>
      <c r="S417" t="n">
        <v>0</v>
      </c>
      <c r="T417" t="n">
        <v>0</v>
      </c>
      <c r="U417" s="2" t="inlineStr"/>
    </row>
    <row r="418" ht="15" customHeight="1">
      <c r="A418" t="inlineStr">
        <is>
          <t>A 18656-2022</t>
        </is>
      </c>
      <c r="B418" t="inlineStr">
        <is>
          <t>avverkningsanmälan</t>
        </is>
      </c>
      <c r="C418" t="inlineStr">
        <is>
          <t>Avverkning för annat ändamål</t>
        </is>
      </c>
      <c r="D418" s="1" t="n">
        <v>44687</v>
      </c>
      <c r="E418" s="1" t="n">
        <v>46216</v>
      </c>
      <c r="F418" t="inlineStr">
        <is>
          <t>BLEKINGE LÄN</t>
        </is>
      </c>
      <c r="G418" t="inlineStr">
        <is>
          <t>KARLSKRONA</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A 52697-2021</t>
        </is>
      </c>
      <c r="B419" t="inlineStr">
        <is>
          <t>avverkningsanmälan</t>
        </is>
      </c>
      <c r="C419" t="inlineStr">
        <is>
          <t>Föryngringsavverkning</t>
        </is>
      </c>
      <c r="D419" s="1" t="n">
        <v>44466</v>
      </c>
      <c r="E419" s="1" t="n">
        <v>46216</v>
      </c>
      <c r="F419" t="inlineStr">
        <is>
          <t>BLEKINGE LÄN</t>
        </is>
      </c>
      <c r="G419" t="inlineStr">
        <is>
          <t>KARLSKRONA</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58830-2021</t>
        </is>
      </c>
      <c r="B420" t="inlineStr">
        <is>
          <t>avverkningsanmälan</t>
        </is>
      </c>
      <c r="C420" t="inlineStr">
        <is>
          <t>Föryngringsavverkning</t>
        </is>
      </c>
      <c r="D420" s="1" t="n">
        <v>44489</v>
      </c>
      <c r="E420" s="1" t="n">
        <v>46216</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67973-2021</t>
        </is>
      </c>
      <c r="B421" t="inlineStr">
        <is>
          <t>avverkningsanmälan</t>
        </is>
      </c>
      <c r="C421" t="inlineStr">
        <is>
          <t>Föryngringsavverkning</t>
        </is>
      </c>
      <c r="D421" s="1" t="n">
        <v>44525</v>
      </c>
      <c r="E421" s="1" t="n">
        <v>46216</v>
      </c>
      <c r="F421" t="inlineStr">
        <is>
          <t>BLEKINGE LÄN</t>
        </is>
      </c>
      <c r="G421" t="inlineStr">
        <is>
          <t>KARLSHAMN</t>
        </is>
      </c>
      <c r="I421" t="n">
        <v>1.5</v>
      </c>
      <c r="J421" t="n">
        <v>0</v>
      </c>
      <c r="K421" t="n">
        <v>0</v>
      </c>
      <c r="L421" t="n">
        <v>0</v>
      </c>
      <c r="M421" t="n">
        <v>0</v>
      </c>
      <c r="N421" t="n">
        <v>0</v>
      </c>
      <c r="O421" t="n">
        <v>0</v>
      </c>
      <c r="P421" t="n">
        <v>0</v>
      </c>
      <c r="Q421" t="n">
        <v>0</v>
      </c>
      <c r="R421" t="n">
        <v>0</v>
      </c>
      <c r="S421" t="n">
        <v>0</v>
      </c>
      <c r="T421" t="n">
        <v>0</v>
      </c>
      <c r="U421" s="2" t="inlineStr"/>
    </row>
    <row r="422" ht="15" customHeight="1">
      <c r="A422" t="inlineStr">
        <is>
          <t>A 68165-2021</t>
        </is>
      </c>
      <c r="B422" t="inlineStr">
        <is>
          <t>avverkningsanmälan</t>
        </is>
      </c>
      <c r="C422" t="inlineStr">
        <is>
          <t>Föryngringsavverkning</t>
        </is>
      </c>
      <c r="D422" s="1" t="n">
        <v>44526</v>
      </c>
      <c r="E422" s="1" t="n">
        <v>46216</v>
      </c>
      <c r="F422" t="inlineStr">
        <is>
          <t>BLEKINGE LÄN</t>
        </is>
      </c>
      <c r="G422" t="inlineStr">
        <is>
          <t>KARLSHAMN</t>
        </is>
      </c>
      <c r="I422" t="n">
        <v>0.7</v>
      </c>
      <c r="J422" t="n">
        <v>0</v>
      </c>
      <c r="K422" t="n">
        <v>0</v>
      </c>
      <c r="L422" t="n">
        <v>0</v>
      </c>
      <c r="M422" t="n">
        <v>0</v>
      </c>
      <c r="N422" t="n">
        <v>0</v>
      </c>
      <c r="O422" t="n">
        <v>0</v>
      </c>
      <c r="P422" t="n">
        <v>0</v>
      </c>
      <c r="Q422" t="n">
        <v>0</v>
      </c>
      <c r="R422" t="n">
        <v>0</v>
      </c>
      <c r="S422" t="n">
        <v>0</v>
      </c>
      <c r="T422" t="n">
        <v>0</v>
      </c>
      <c r="U422" s="2" t="inlineStr"/>
    </row>
    <row r="423" ht="15" customHeight="1">
      <c r="A423" t="inlineStr">
        <is>
          <t>A 12281-2022</t>
        </is>
      </c>
      <c r="B423" t="inlineStr">
        <is>
          <t>avverkningsanmälan</t>
        </is>
      </c>
      <c r="C423" t="inlineStr">
        <is>
          <t>Föryngringsavverkning</t>
        </is>
      </c>
      <c r="D423" s="1" t="n">
        <v>44637</v>
      </c>
      <c r="E423" s="1" t="n">
        <v>46216</v>
      </c>
      <c r="F423" t="inlineStr">
        <is>
          <t>BLEKINGE LÄN</t>
        </is>
      </c>
      <c r="G423" t="inlineStr">
        <is>
          <t>RONNEBY</t>
        </is>
      </c>
      <c r="I423" t="n">
        <v>2.3</v>
      </c>
      <c r="J423" t="n">
        <v>0</v>
      </c>
      <c r="K423" t="n">
        <v>0</v>
      </c>
      <c r="L423" t="n">
        <v>0</v>
      </c>
      <c r="M423" t="n">
        <v>0</v>
      </c>
      <c r="N423" t="n">
        <v>0</v>
      </c>
      <c r="O423" t="n">
        <v>0</v>
      </c>
      <c r="P423" t="n">
        <v>0</v>
      </c>
      <c r="Q423" t="n">
        <v>0</v>
      </c>
      <c r="R423" t="n">
        <v>0</v>
      </c>
      <c r="S423" t="n">
        <v>0</v>
      </c>
      <c r="T423" t="n">
        <v>0</v>
      </c>
      <c r="U423" s="2" t="inlineStr"/>
    </row>
    <row r="424" ht="15" customHeight="1">
      <c r="A424" t="inlineStr">
        <is>
          <t>A 5714-2022</t>
        </is>
      </c>
      <c r="B424" t="inlineStr">
        <is>
          <t>avverkningsanmälan</t>
        </is>
      </c>
      <c r="C424" t="inlineStr">
        <is>
          <t>Föryngringsavverkning</t>
        </is>
      </c>
      <c r="D424" s="1" t="n">
        <v>44596</v>
      </c>
      <c r="E424" s="1" t="n">
        <v>46216</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45212-2021</t>
        </is>
      </c>
      <c r="B425" t="inlineStr">
        <is>
          <t>avverkningsanmälan</t>
        </is>
      </c>
      <c r="C425" t="inlineStr">
        <is>
          <t>Föryngringsavverkning</t>
        </is>
      </c>
      <c r="D425" s="1" t="n">
        <v>44439</v>
      </c>
      <c r="E425" s="1" t="n">
        <v>46216</v>
      </c>
      <c r="F425" t="inlineStr">
        <is>
          <t>BLEKINGE LÄN</t>
        </is>
      </c>
      <c r="G425" t="inlineStr">
        <is>
          <t>KARLSKRONA</t>
        </is>
      </c>
      <c r="I425" t="n">
        <v>3.6</v>
      </c>
      <c r="J425" t="n">
        <v>0</v>
      </c>
      <c r="K425" t="n">
        <v>0</v>
      </c>
      <c r="L425" t="n">
        <v>0</v>
      </c>
      <c r="M425" t="n">
        <v>0</v>
      </c>
      <c r="N425" t="n">
        <v>0</v>
      </c>
      <c r="O425" t="n">
        <v>0</v>
      </c>
      <c r="P425" t="n">
        <v>0</v>
      </c>
      <c r="Q425" t="n">
        <v>0</v>
      </c>
      <c r="R425" t="n">
        <v>0</v>
      </c>
      <c r="S425" t="n">
        <v>0</v>
      </c>
      <c r="T425" t="n">
        <v>0</v>
      </c>
      <c r="U425" s="2" t="inlineStr"/>
    </row>
    <row r="426" ht="15" customHeight="1">
      <c r="A426" t="inlineStr">
        <is>
          <t>A 37577-2021</t>
        </is>
      </c>
      <c r="B426" t="inlineStr">
        <is>
          <t>avverkningsanmälan</t>
        </is>
      </c>
      <c r="C426" t="inlineStr">
        <is>
          <t>Föryngringsavverkning</t>
        </is>
      </c>
      <c r="D426" s="1" t="n">
        <v>44399</v>
      </c>
      <c r="E426" s="1" t="n">
        <v>46216</v>
      </c>
      <c r="F426" t="inlineStr">
        <is>
          <t>BLEKINGE LÄN</t>
        </is>
      </c>
      <c r="G426" t="inlineStr">
        <is>
          <t>KARLSKRONA</t>
        </is>
      </c>
      <c r="I426" t="n">
        <v>1.5</v>
      </c>
      <c r="J426" t="n">
        <v>0</v>
      </c>
      <c r="K426" t="n">
        <v>0</v>
      </c>
      <c r="L426" t="n">
        <v>0</v>
      </c>
      <c r="M426" t="n">
        <v>0</v>
      </c>
      <c r="N426" t="n">
        <v>0</v>
      </c>
      <c r="O426" t="n">
        <v>0</v>
      </c>
      <c r="P426" t="n">
        <v>0</v>
      </c>
      <c r="Q426" t="n">
        <v>0</v>
      </c>
      <c r="R426" t="n">
        <v>0</v>
      </c>
      <c r="S426" t="n">
        <v>0</v>
      </c>
      <c r="T426" t="n">
        <v>0</v>
      </c>
      <c r="U426" s="2" t="inlineStr"/>
    </row>
    <row r="427" ht="15" customHeight="1">
      <c r="A427" t="inlineStr">
        <is>
          <t>A 46461-2021</t>
        </is>
      </c>
      <c r="B427" t="inlineStr">
        <is>
          <t>avverkningsanmälan</t>
        </is>
      </c>
      <c r="C427" t="inlineStr">
        <is>
          <t>Föryngringsavverkning</t>
        </is>
      </c>
      <c r="D427" s="1" t="n">
        <v>44445</v>
      </c>
      <c r="E427" s="1" t="n">
        <v>46216</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57796-2021</t>
        </is>
      </c>
      <c r="B428" t="inlineStr">
        <is>
          <t>avverkningsanmälan</t>
        </is>
      </c>
      <c r="C428" t="inlineStr">
        <is>
          <t>Föryngringsavverkning</t>
        </is>
      </c>
      <c r="D428" s="1" t="n">
        <v>44484</v>
      </c>
      <c r="E428" s="1" t="n">
        <v>46216</v>
      </c>
      <c r="F428" t="inlineStr">
        <is>
          <t>BLEKINGE LÄN</t>
        </is>
      </c>
      <c r="G428" t="inlineStr">
        <is>
          <t>KARLSHAMN</t>
        </is>
      </c>
      <c r="I428" t="n">
        <v>1.9</v>
      </c>
      <c r="J428" t="n">
        <v>0</v>
      </c>
      <c r="K428" t="n">
        <v>0</v>
      </c>
      <c r="L428" t="n">
        <v>0</v>
      </c>
      <c r="M428" t="n">
        <v>0</v>
      </c>
      <c r="N428" t="n">
        <v>0</v>
      </c>
      <c r="O428" t="n">
        <v>0</v>
      </c>
      <c r="P428" t="n">
        <v>0</v>
      </c>
      <c r="Q428" t="n">
        <v>0</v>
      </c>
      <c r="R428" t="n">
        <v>0</v>
      </c>
      <c r="S428" t="n">
        <v>0</v>
      </c>
      <c r="T428" t="n">
        <v>0</v>
      </c>
      <c r="U428" s="2" t="inlineStr"/>
    </row>
    <row r="429" ht="15" customHeight="1">
      <c r="A429" t="inlineStr">
        <is>
          <t>A 41178-2021</t>
        </is>
      </c>
      <c r="B429" t="inlineStr">
        <is>
          <t>avverkningsanmälan</t>
        </is>
      </c>
      <c r="C429" t="inlineStr">
        <is>
          <t>Föryngringsavverkning</t>
        </is>
      </c>
      <c r="D429" s="1" t="n">
        <v>44421</v>
      </c>
      <c r="E429" s="1" t="n">
        <v>46216</v>
      </c>
      <c r="F429" t="inlineStr">
        <is>
          <t>BLEKINGE LÄN</t>
        </is>
      </c>
      <c r="G429" t="inlineStr">
        <is>
          <t>OLOFSTRÖM</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12683-2022</t>
        </is>
      </c>
      <c r="B430" t="inlineStr">
        <is>
          <t>avverkningsanmälan</t>
        </is>
      </c>
      <c r="C430" t="inlineStr">
        <is>
          <t>Föryngringsavverkning</t>
        </is>
      </c>
      <c r="D430" s="1" t="n">
        <v>44641</v>
      </c>
      <c r="E430" s="1" t="n">
        <v>46216</v>
      </c>
      <c r="F430" t="inlineStr">
        <is>
          <t>BLEKINGE LÄN</t>
        </is>
      </c>
      <c r="G430" t="inlineStr">
        <is>
          <t>SÖLVESBORG</t>
        </is>
      </c>
      <c r="I430" t="n">
        <v>2.7</v>
      </c>
      <c r="J430" t="n">
        <v>0</v>
      </c>
      <c r="K430" t="n">
        <v>0</v>
      </c>
      <c r="L430" t="n">
        <v>0</v>
      </c>
      <c r="M430" t="n">
        <v>0</v>
      </c>
      <c r="N430" t="n">
        <v>0</v>
      </c>
      <c r="O430" t="n">
        <v>0</v>
      </c>
      <c r="P430" t="n">
        <v>0</v>
      </c>
      <c r="Q430" t="n">
        <v>0</v>
      </c>
      <c r="R430" t="n">
        <v>0</v>
      </c>
      <c r="S430" t="n">
        <v>0</v>
      </c>
      <c r="T430" t="n">
        <v>0</v>
      </c>
      <c r="U430" s="2" t="inlineStr"/>
    </row>
    <row r="431" ht="15" customHeight="1">
      <c r="A431" t="inlineStr">
        <is>
          <t>A 71769-2021</t>
        </is>
      </c>
      <c r="B431" t="inlineStr">
        <is>
          <t>avverkningsanmälan</t>
        </is>
      </c>
      <c r="C431" t="inlineStr">
        <is>
          <t>Föryngringsavverkning</t>
        </is>
      </c>
      <c r="D431" s="1" t="n">
        <v>44539</v>
      </c>
      <c r="E431" s="1" t="n">
        <v>46216</v>
      </c>
      <c r="F431" t="inlineStr">
        <is>
          <t>BLEKINGE LÄN</t>
        </is>
      </c>
      <c r="G431" t="inlineStr">
        <is>
          <t>RONNEBY</t>
        </is>
      </c>
      <c r="I431" t="n">
        <v>3.1</v>
      </c>
      <c r="J431" t="n">
        <v>0</v>
      </c>
      <c r="K431" t="n">
        <v>0</v>
      </c>
      <c r="L431" t="n">
        <v>0</v>
      </c>
      <c r="M431" t="n">
        <v>0</v>
      </c>
      <c r="N431" t="n">
        <v>0</v>
      </c>
      <c r="O431" t="n">
        <v>0</v>
      </c>
      <c r="P431" t="n">
        <v>0</v>
      </c>
      <c r="Q431" t="n">
        <v>0</v>
      </c>
      <c r="R431" t="n">
        <v>0</v>
      </c>
      <c r="S431" t="n">
        <v>0</v>
      </c>
      <c r="T431" t="n">
        <v>0</v>
      </c>
      <c r="U431" s="2" t="inlineStr"/>
    </row>
    <row r="432" ht="15" customHeight="1">
      <c r="A432" t="inlineStr">
        <is>
          <t>A 45587-2021</t>
        </is>
      </c>
      <c r="B432" t="inlineStr">
        <is>
          <t>avverkningsanmälan</t>
        </is>
      </c>
      <c r="C432" t="inlineStr">
        <is>
          <t>Föryngringsavverkning</t>
        </is>
      </c>
      <c r="D432" s="1" t="n">
        <v>44440</v>
      </c>
      <c r="E432" s="1" t="n">
        <v>46216</v>
      </c>
      <c r="F432" t="inlineStr">
        <is>
          <t>BLEKINGE LÄN</t>
        </is>
      </c>
      <c r="G432" t="inlineStr">
        <is>
          <t>KARLSHAMN</t>
        </is>
      </c>
      <c r="I432" t="n">
        <v>0.8</v>
      </c>
      <c r="J432" t="n">
        <v>0</v>
      </c>
      <c r="K432" t="n">
        <v>0</v>
      </c>
      <c r="L432" t="n">
        <v>0</v>
      </c>
      <c r="M432" t="n">
        <v>0</v>
      </c>
      <c r="N432" t="n">
        <v>0</v>
      </c>
      <c r="O432" t="n">
        <v>0</v>
      </c>
      <c r="P432" t="n">
        <v>0</v>
      </c>
      <c r="Q432" t="n">
        <v>0</v>
      </c>
      <c r="R432" t="n">
        <v>0</v>
      </c>
      <c r="S432" t="n">
        <v>0</v>
      </c>
      <c r="T432" t="n">
        <v>0</v>
      </c>
      <c r="U432" s="2" t="inlineStr"/>
    </row>
    <row r="433" ht="15" customHeight="1">
      <c r="A433" t="inlineStr">
        <is>
          <t>A 45594-2021</t>
        </is>
      </c>
      <c r="B433" t="inlineStr">
        <is>
          <t>avverkningsanmälan</t>
        </is>
      </c>
      <c r="C433" t="inlineStr">
        <is>
          <t>Föryngringsavverkning</t>
        </is>
      </c>
      <c r="D433" s="1" t="n">
        <v>44440</v>
      </c>
      <c r="E433" s="1" t="n">
        <v>46216</v>
      </c>
      <c r="F433" t="inlineStr">
        <is>
          <t>BLEKINGE LÄN</t>
        </is>
      </c>
      <c r="G433" t="inlineStr">
        <is>
          <t>OLOFSTRÖM</t>
        </is>
      </c>
      <c r="H433" t="inlineStr">
        <is>
          <t>Övriga Aktiebolag</t>
        </is>
      </c>
      <c r="I433" t="n">
        <v>3.2</v>
      </c>
      <c r="J433" t="n">
        <v>0</v>
      </c>
      <c r="K433" t="n">
        <v>0</v>
      </c>
      <c r="L433" t="n">
        <v>0</v>
      </c>
      <c r="M433" t="n">
        <v>0</v>
      </c>
      <c r="N433" t="n">
        <v>0</v>
      </c>
      <c r="O433" t="n">
        <v>0</v>
      </c>
      <c r="P433" t="n">
        <v>0</v>
      </c>
      <c r="Q433" t="n">
        <v>0</v>
      </c>
      <c r="R433" t="n">
        <v>0</v>
      </c>
      <c r="S433" t="n">
        <v>0</v>
      </c>
      <c r="T433" t="n">
        <v>0</v>
      </c>
      <c r="U433" s="2" t="inlineStr"/>
    </row>
    <row r="434" ht="15" customHeight="1">
      <c r="A434" t="inlineStr">
        <is>
          <t>A 49740-2021</t>
        </is>
      </c>
      <c r="B434" t="inlineStr">
        <is>
          <t>avverkningsanmälan</t>
        </is>
      </c>
      <c r="C434" t="inlineStr">
        <is>
          <t>Föryngringsavverkning</t>
        </is>
      </c>
      <c r="D434" s="1" t="n">
        <v>44455</v>
      </c>
      <c r="E434" s="1" t="n">
        <v>46216</v>
      </c>
      <c r="F434" t="inlineStr">
        <is>
          <t>BLEKINGE LÄN</t>
        </is>
      </c>
      <c r="G434" t="inlineStr">
        <is>
          <t>RONNEBY</t>
        </is>
      </c>
      <c r="I434" t="n">
        <v>0.5</v>
      </c>
      <c r="J434" t="n">
        <v>0</v>
      </c>
      <c r="K434" t="n">
        <v>0</v>
      </c>
      <c r="L434" t="n">
        <v>0</v>
      </c>
      <c r="M434" t="n">
        <v>0</v>
      </c>
      <c r="N434" t="n">
        <v>0</v>
      </c>
      <c r="O434" t="n">
        <v>0</v>
      </c>
      <c r="P434" t="n">
        <v>0</v>
      </c>
      <c r="Q434" t="n">
        <v>0</v>
      </c>
      <c r="R434" t="n">
        <v>0</v>
      </c>
      <c r="S434" t="n">
        <v>0</v>
      </c>
      <c r="T434" t="n">
        <v>0</v>
      </c>
      <c r="U434" s="2" t="inlineStr"/>
    </row>
    <row r="435" ht="15" customHeight="1">
      <c r="A435" t="inlineStr">
        <is>
          <t>A 53045-2021</t>
        </is>
      </c>
      <c r="B435" t="inlineStr">
        <is>
          <t>avverkningsanmälan</t>
        </is>
      </c>
      <c r="C435" t="inlineStr">
        <is>
          <t>Föryngringsavverkning</t>
        </is>
      </c>
      <c r="D435" s="1" t="n">
        <v>44467</v>
      </c>
      <c r="E435" s="1" t="n">
        <v>46216</v>
      </c>
      <c r="F435" t="inlineStr">
        <is>
          <t>BLEKINGE LÄN</t>
        </is>
      </c>
      <c r="G435" t="inlineStr">
        <is>
          <t>KARLSKRONA</t>
        </is>
      </c>
      <c r="I435" t="n">
        <v>4.8</v>
      </c>
      <c r="J435" t="n">
        <v>0</v>
      </c>
      <c r="K435" t="n">
        <v>0</v>
      </c>
      <c r="L435" t="n">
        <v>0</v>
      </c>
      <c r="M435" t="n">
        <v>0</v>
      </c>
      <c r="N435" t="n">
        <v>0</v>
      </c>
      <c r="O435" t="n">
        <v>0</v>
      </c>
      <c r="P435" t="n">
        <v>0</v>
      </c>
      <c r="Q435" t="n">
        <v>0</v>
      </c>
      <c r="R435" t="n">
        <v>0</v>
      </c>
      <c r="S435" t="n">
        <v>0</v>
      </c>
      <c r="T435" t="n">
        <v>0</v>
      </c>
      <c r="U435" s="2" t="inlineStr"/>
    </row>
    <row r="436" ht="15" customHeight="1">
      <c r="A436" t="inlineStr">
        <is>
          <t>A 3650-2022</t>
        </is>
      </c>
      <c r="B436" t="inlineStr">
        <is>
          <t>avverkningsanmälan</t>
        </is>
      </c>
      <c r="C436" t="inlineStr">
        <is>
          <t>Föryngringsavverkning</t>
        </is>
      </c>
      <c r="D436" s="1" t="n">
        <v>44586</v>
      </c>
      <c r="E436" s="1" t="n">
        <v>46216</v>
      </c>
      <c r="F436" t="inlineStr">
        <is>
          <t>BLEKINGE LÄN</t>
        </is>
      </c>
      <c r="G436" t="inlineStr">
        <is>
          <t>RONNEBY</t>
        </is>
      </c>
      <c r="I436" t="n">
        <v>1.1</v>
      </c>
      <c r="J436" t="n">
        <v>0</v>
      </c>
      <c r="K436" t="n">
        <v>0</v>
      </c>
      <c r="L436" t="n">
        <v>0</v>
      </c>
      <c r="M436" t="n">
        <v>0</v>
      </c>
      <c r="N436" t="n">
        <v>0</v>
      </c>
      <c r="O436" t="n">
        <v>0</v>
      </c>
      <c r="P436" t="n">
        <v>0</v>
      </c>
      <c r="Q436" t="n">
        <v>0</v>
      </c>
      <c r="R436" t="n">
        <v>0</v>
      </c>
      <c r="S436" t="n">
        <v>0</v>
      </c>
      <c r="T436" t="n">
        <v>0</v>
      </c>
      <c r="U436" s="2" t="inlineStr"/>
    </row>
    <row r="437" ht="15" customHeight="1">
      <c r="A437" t="inlineStr">
        <is>
          <t>A 60644-2021</t>
        </is>
      </c>
      <c r="B437" t="inlineStr">
        <is>
          <t>avverkningsanmälan</t>
        </is>
      </c>
      <c r="C437" t="inlineStr">
        <is>
          <t>Föryngringsavverkning</t>
        </is>
      </c>
      <c r="D437" s="1" t="n">
        <v>44496</v>
      </c>
      <c r="E437" s="1" t="n">
        <v>46216</v>
      </c>
      <c r="F437" t="inlineStr">
        <is>
          <t>BLEKINGE LÄN</t>
        </is>
      </c>
      <c r="G437" t="inlineStr">
        <is>
          <t>OLOFSTRÖM</t>
        </is>
      </c>
      <c r="I437" t="n">
        <v>2.9</v>
      </c>
      <c r="J437" t="n">
        <v>0</v>
      </c>
      <c r="K437" t="n">
        <v>0</v>
      </c>
      <c r="L437" t="n">
        <v>0</v>
      </c>
      <c r="M437" t="n">
        <v>0</v>
      </c>
      <c r="N437" t="n">
        <v>0</v>
      </c>
      <c r="O437" t="n">
        <v>0</v>
      </c>
      <c r="P437" t="n">
        <v>0</v>
      </c>
      <c r="Q437" t="n">
        <v>0</v>
      </c>
      <c r="R437" t="n">
        <v>0</v>
      </c>
      <c r="S437" t="n">
        <v>0</v>
      </c>
      <c r="T437" t="n">
        <v>0</v>
      </c>
      <c r="U437" s="2" t="inlineStr"/>
    </row>
    <row r="438" ht="15" customHeight="1">
      <c r="A438" t="inlineStr">
        <is>
          <t>A 4806-2022</t>
        </is>
      </c>
      <c r="B438" t="inlineStr">
        <is>
          <t>avverkningsanmälan</t>
        </is>
      </c>
      <c r="C438" t="inlineStr">
        <is>
          <t>Föryngringsavverkning</t>
        </is>
      </c>
      <c r="D438" s="1" t="n">
        <v>44592</v>
      </c>
      <c r="E438" s="1" t="n">
        <v>46216</v>
      </c>
      <c r="F438" t="inlineStr">
        <is>
          <t>BLEKINGE LÄN</t>
        </is>
      </c>
      <c r="G438" t="inlineStr">
        <is>
          <t>KARLSKRONA</t>
        </is>
      </c>
      <c r="H438" t="inlineStr">
        <is>
          <t>Kommuner</t>
        </is>
      </c>
      <c r="I438" t="n">
        <v>0.7</v>
      </c>
      <c r="J438" t="n">
        <v>0</v>
      </c>
      <c r="K438" t="n">
        <v>0</v>
      </c>
      <c r="L438" t="n">
        <v>0</v>
      </c>
      <c r="M438" t="n">
        <v>0</v>
      </c>
      <c r="N438" t="n">
        <v>0</v>
      </c>
      <c r="O438" t="n">
        <v>0</v>
      </c>
      <c r="P438" t="n">
        <v>0</v>
      </c>
      <c r="Q438" t="n">
        <v>0</v>
      </c>
      <c r="R438" t="n">
        <v>0</v>
      </c>
      <c r="S438" t="n">
        <v>0</v>
      </c>
      <c r="T438" t="n">
        <v>0</v>
      </c>
      <c r="U438" s="2" t="inlineStr"/>
    </row>
    <row r="439" ht="15" customHeight="1">
      <c r="A439" t="inlineStr">
        <is>
          <t>A 22540-2022</t>
        </is>
      </c>
      <c r="B439" t="inlineStr">
        <is>
          <t>avverkningsanmälan</t>
        </is>
      </c>
      <c r="C439" t="inlineStr">
        <is>
          <t>Föryngringsavverkning</t>
        </is>
      </c>
      <c r="D439" s="1" t="n">
        <v>44713</v>
      </c>
      <c r="E439" s="1" t="n">
        <v>46216</v>
      </c>
      <c r="F439" t="inlineStr">
        <is>
          <t>BLEKINGE LÄN</t>
        </is>
      </c>
      <c r="G439" t="inlineStr">
        <is>
          <t>RONNEBY</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49653-2021</t>
        </is>
      </c>
      <c r="B440" t="inlineStr">
        <is>
          <t>avverkningsanmälan</t>
        </is>
      </c>
      <c r="C440" t="inlineStr">
        <is>
          <t>Föryngringsavverkning</t>
        </is>
      </c>
      <c r="D440" s="1" t="n">
        <v>44455</v>
      </c>
      <c r="E440" s="1" t="n">
        <v>46216</v>
      </c>
      <c r="F440" t="inlineStr">
        <is>
          <t>BLEKINGE LÄN</t>
        </is>
      </c>
      <c r="G440" t="inlineStr">
        <is>
          <t>RONNEBY</t>
        </is>
      </c>
      <c r="H440" t="inlineStr">
        <is>
          <t>Kommuner</t>
        </is>
      </c>
      <c r="I440" t="n">
        <v>0.6</v>
      </c>
      <c r="J440" t="n">
        <v>0</v>
      </c>
      <c r="K440" t="n">
        <v>0</v>
      </c>
      <c r="L440" t="n">
        <v>0</v>
      </c>
      <c r="M440" t="n">
        <v>0</v>
      </c>
      <c r="N440" t="n">
        <v>0</v>
      </c>
      <c r="O440" t="n">
        <v>0</v>
      </c>
      <c r="P440" t="n">
        <v>0</v>
      </c>
      <c r="Q440" t="n">
        <v>0</v>
      </c>
      <c r="R440" t="n">
        <v>0</v>
      </c>
      <c r="S440" t="n">
        <v>0</v>
      </c>
      <c r="T440" t="n">
        <v>0</v>
      </c>
      <c r="U440" s="2" t="inlineStr"/>
    </row>
    <row r="441" ht="15" customHeight="1">
      <c r="A441" t="inlineStr">
        <is>
          <t>A 7875-2022</t>
        </is>
      </c>
      <c r="B441" t="inlineStr">
        <is>
          <t>avverkningsanmälan</t>
        </is>
      </c>
      <c r="C441" t="inlineStr">
        <is>
          <t>Föryngringsavverkning</t>
        </is>
      </c>
      <c r="D441" s="1" t="n">
        <v>44608</v>
      </c>
      <c r="E441" s="1" t="n">
        <v>46216</v>
      </c>
      <c r="F441" t="inlineStr">
        <is>
          <t>BLEKINGE LÄN</t>
        </is>
      </c>
      <c r="G441" t="inlineStr">
        <is>
          <t>KARLSKRONA</t>
        </is>
      </c>
      <c r="I441" t="n">
        <v>0.6</v>
      </c>
      <c r="J441" t="n">
        <v>0</v>
      </c>
      <c r="K441" t="n">
        <v>0</v>
      </c>
      <c r="L441" t="n">
        <v>0</v>
      </c>
      <c r="M441" t="n">
        <v>0</v>
      </c>
      <c r="N441" t="n">
        <v>0</v>
      </c>
      <c r="O441" t="n">
        <v>0</v>
      </c>
      <c r="P441" t="n">
        <v>0</v>
      </c>
      <c r="Q441" t="n">
        <v>0</v>
      </c>
      <c r="R441" t="n">
        <v>0</v>
      </c>
      <c r="S441" t="n">
        <v>0</v>
      </c>
      <c r="T441" t="n">
        <v>0</v>
      </c>
      <c r="U441" s="2" t="inlineStr"/>
    </row>
    <row r="442" ht="15" customHeight="1">
      <c r="A442" t="inlineStr">
        <is>
          <t>A 8321-2022</t>
        </is>
      </c>
      <c r="B442" t="inlineStr">
        <is>
          <t>avverkningsanmälan</t>
        </is>
      </c>
      <c r="C442" t="inlineStr">
        <is>
          <t>Föryngringsavverkning</t>
        </is>
      </c>
      <c r="D442" s="1" t="n">
        <v>44610</v>
      </c>
      <c r="E442" s="1" t="n">
        <v>46216</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s="2" t="inlineStr"/>
    </row>
    <row r="443" ht="15" customHeight="1">
      <c r="A443" t="inlineStr">
        <is>
          <t>A 62512-2021</t>
        </is>
      </c>
      <c r="B443" t="inlineStr">
        <is>
          <t>avverkningsanmälan</t>
        </is>
      </c>
      <c r="C443" t="inlineStr">
        <is>
          <t>Föryngringsavverkning</t>
        </is>
      </c>
      <c r="D443" s="1" t="n">
        <v>44503</v>
      </c>
      <c r="E443" s="1" t="n">
        <v>46216</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s="2" t="inlineStr"/>
    </row>
    <row r="444" ht="15" customHeight="1">
      <c r="A444" t="inlineStr">
        <is>
          <t>A 30525-2022</t>
        </is>
      </c>
      <c r="B444" t="inlineStr">
        <is>
          <t>avverkningsanmälan</t>
        </is>
      </c>
      <c r="C444" t="inlineStr">
        <is>
          <t>Föryngringsavverkning</t>
        </is>
      </c>
      <c r="D444" s="1" t="n">
        <v>44762</v>
      </c>
      <c r="E444" s="1" t="n">
        <v>46216</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s="2" t="inlineStr"/>
    </row>
    <row r="445" ht="15" customHeight="1">
      <c r="A445" t="inlineStr">
        <is>
          <t>A 22012-2022</t>
        </is>
      </c>
      <c r="B445" t="inlineStr">
        <is>
          <t>avverkningsanmälan</t>
        </is>
      </c>
      <c r="C445" t="inlineStr">
        <is>
          <t>Föryngringsavverkning</t>
        </is>
      </c>
      <c r="D445" s="1" t="n">
        <v>44711</v>
      </c>
      <c r="E445" s="1" t="n">
        <v>46216</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s="2" t="inlineStr"/>
    </row>
    <row r="446" ht="15" customHeight="1">
      <c r="A446" t="inlineStr">
        <is>
          <t>A 49706-2021</t>
        </is>
      </c>
      <c r="B446" t="inlineStr">
        <is>
          <t>avverkningsanmälan</t>
        </is>
      </c>
      <c r="C446" t="inlineStr">
        <is>
          <t>Föryngringsavverkning</t>
        </is>
      </c>
      <c r="D446" s="1" t="n">
        <v>44455</v>
      </c>
      <c r="E446" s="1" t="n">
        <v>46216</v>
      </c>
      <c r="F446" t="inlineStr">
        <is>
          <t>BLEKINGE LÄN</t>
        </is>
      </c>
      <c r="G446" t="inlineStr">
        <is>
          <t>OLOFSTRÖM</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57995-2021</t>
        </is>
      </c>
      <c r="B447" t="inlineStr">
        <is>
          <t>avverkningsanmälan</t>
        </is>
      </c>
      <c r="C447" t="inlineStr">
        <is>
          <t>Föryngringsavverkning</t>
        </is>
      </c>
      <c r="D447" s="1" t="n">
        <v>44487</v>
      </c>
      <c r="E447" s="1" t="n">
        <v>46216</v>
      </c>
      <c r="F447" t="inlineStr">
        <is>
          <t>BLEKINGE LÄN</t>
        </is>
      </c>
      <c r="G447" t="inlineStr">
        <is>
          <t>KARLSHAMN</t>
        </is>
      </c>
      <c r="I447" t="n">
        <v>6.8</v>
      </c>
      <c r="J447" t="n">
        <v>0</v>
      </c>
      <c r="K447" t="n">
        <v>0</v>
      </c>
      <c r="L447" t="n">
        <v>0</v>
      </c>
      <c r="M447" t="n">
        <v>0</v>
      </c>
      <c r="N447" t="n">
        <v>0</v>
      </c>
      <c r="O447" t="n">
        <v>0</v>
      </c>
      <c r="P447" t="n">
        <v>0</v>
      </c>
      <c r="Q447" t="n">
        <v>0</v>
      </c>
      <c r="R447" t="n">
        <v>0</v>
      </c>
      <c r="S447" t="n">
        <v>0</v>
      </c>
      <c r="T447" t="n">
        <v>0</v>
      </c>
      <c r="U447" s="2" t="inlineStr"/>
    </row>
    <row r="448" ht="15" customHeight="1">
      <c r="A448" t="inlineStr">
        <is>
          <t>A 18492-2022</t>
        </is>
      </c>
      <c r="B448" t="inlineStr">
        <is>
          <t>avverkningsanmälan</t>
        </is>
      </c>
      <c r="C448" t="inlineStr">
        <is>
          <t>Avverkning för att bevara och utveckla /försöksver</t>
        </is>
      </c>
      <c r="D448" s="1" t="n">
        <v>44686</v>
      </c>
      <c r="E448" s="1" t="n">
        <v>46216</v>
      </c>
      <c r="F448" t="inlineStr">
        <is>
          <t>BLEKINGE LÄN</t>
        </is>
      </c>
      <c r="G448" t="inlineStr">
        <is>
          <t>OLOFSTRÖM</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4735-2022</t>
        </is>
      </c>
      <c r="B449" t="inlineStr">
        <is>
          <t>avverkningsanmälan</t>
        </is>
      </c>
      <c r="C449" t="inlineStr">
        <is>
          <t>Föryngringsavverkning</t>
        </is>
      </c>
      <c r="D449" s="1" t="n">
        <v>44592</v>
      </c>
      <c r="E449" s="1" t="n">
        <v>46216</v>
      </c>
      <c r="F449" t="inlineStr">
        <is>
          <t>BLEKINGE LÄN</t>
        </is>
      </c>
      <c r="G449" t="inlineStr">
        <is>
          <t>OLOFSTRÖM</t>
        </is>
      </c>
      <c r="I449" t="n">
        <v>1.1</v>
      </c>
      <c r="J449" t="n">
        <v>0</v>
      </c>
      <c r="K449" t="n">
        <v>0</v>
      </c>
      <c r="L449" t="n">
        <v>0</v>
      </c>
      <c r="M449" t="n">
        <v>0</v>
      </c>
      <c r="N449" t="n">
        <v>0</v>
      </c>
      <c r="O449" t="n">
        <v>0</v>
      </c>
      <c r="P449" t="n">
        <v>0</v>
      </c>
      <c r="Q449" t="n">
        <v>0</v>
      </c>
      <c r="R449" t="n">
        <v>0</v>
      </c>
      <c r="S449" t="n">
        <v>0</v>
      </c>
      <c r="T449" t="n">
        <v>0</v>
      </c>
      <c r="U449" s="2" t="inlineStr"/>
    </row>
    <row r="450" ht="15" customHeight="1">
      <c r="A450" t="inlineStr">
        <is>
          <t>A 36667-2022</t>
        </is>
      </c>
      <c r="B450" t="inlineStr">
        <is>
          <t>avverkningsanmälan</t>
        </is>
      </c>
      <c r="C450" t="inlineStr">
        <is>
          <t>Föryngringsavverkning</t>
        </is>
      </c>
      <c r="D450" s="1" t="n">
        <v>44804</v>
      </c>
      <c r="E450" s="1" t="n">
        <v>46216</v>
      </c>
      <c r="F450" t="inlineStr">
        <is>
          <t>BLEKINGE LÄN</t>
        </is>
      </c>
      <c r="G450" t="inlineStr">
        <is>
          <t>KARLSKRONA</t>
        </is>
      </c>
      <c r="I450" t="n">
        <v>0.1</v>
      </c>
      <c r="J450" t="n">
        <v>0</v>
      </c>
      <c r="K450" t="n">
        <v>0</v>
      </c>
      <c r="L450" t="n">
        <v>0</v>
      </c>
      <c r="M450" t="n">
        <v>0</v>
      </c>
      <c r="N450" t="n">
        <v>0</v>
      </c>
      <c r="O450" t="n">
        <v>0</v>
      </c>
      <c r="P450" t="n">
        <v>0</v>
      </c>
      <c r="Q450" t="n">
        <v>0</v>
      </c>
      <c r="R450" t="n">
        <v>0</v>
      </c>
      <c r="S450" t="n">
        <v>0</v>
      </c>
      <c r="T450" t="n">
        <v>0</v>
      </c>
      <c r="U450" s="2" t="inlineStr"/>
    </row>
    <row r="451" ht="15" customHeight="1">
      <c r="A451" t="inlineStr">
        <is>
          <t>A 38212-2022</t>
        </is>
      </c>
      <c r="B451" t="inlineStr">
        <is>
          <t>avverkningsanmälan</t>
        </is>
      </c>
      <c r="C451" t="inlineStr">
        <is>
          <t>Föryngringsavverkning</t>
        </is>
      </c>
      <c r="D451" s="1" t="n">
        <v>44812</v>
      </c>
      <c r="E451" s="1" t="n">
        <v>46216</v>
      </c>
      <c r="F451" t="inlineStr">
        <is>
          <t>BLEKINGE LÄN</t>
        </is>
      </c>
      <c r="G451" t="inlineStr">
        <is>
          <t>KARLSHAMN</t>
        </is>
      </c>
      <c r="I451" t="n">
        <v>0.7</v>
      </c>
      <c r="J451" t="n">
        <v>0</v>
      </c>
      <c r="K451" t="n">
        <v>0</v>
      </c>
      <c r="L451" t="n">
        <v>0</v>
      </c>
      <c r="M451" t="n">
        <v>0</v>
      </c>
      <c r="N451" t="n">
        <v>0</v>
      </c>
      <c r="O451" t="n">
        <v>0</v>
      </c>
      <c r="P451" t="n">
        <v>0</v>
      </c>
      <c r="Q451" t="n">
        <v>0</v>
      </c>
      <c r="R451" t="n">
        <v>0</v>
      </c>
      <c r="S451" t="n">
        <v>0</v>
      </c>
      <c r="T451" t="n">
        <v>0</v>
      </c>
      <c r="U451" s="2" t="inlineStr"/>
    </row>
    <row r="452" ht="15" customHeight="1">
      <c r="A452" t="inlineStr">
        <is>
          <t>A 8834-2022</t>
        </is>
      </c>
      <c r="B452" t="inlineStr">
        <is>
          <t>avverkningsanmälan</t>
        </is>
      </c>
      <c r="C452" t="inlineStr">
        <is>
          <t>Föryngringsavverkning</t>
        </is>
      </c>
      <c r="D452" s="1" t="n">
        <v>44614</v>
      </c>
      <c r="E452" s="1" t="n">
        <v>46216</v>
      </c>
      <c r="F452" t="inlineStr">
        <is>
          <t>BLEKINGE LÄN</t>
        </is>
      </c>
      <c r="G452" t="inlineStr">
        <is>
          <t>KARLSKRONA</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14954-2022</t>
        </is>
      </c>
      <c r="B453" t="inlineStr">
        <is>
          <t>avverkningsanmälan</t>
        </is>
      </c>
      <c r="C453" t="inlineStr">
        <is>
          <t>Föryngringsavverkning</t>
        </is>
      </c>
      <c r="D453" s="1" t="n">
        <v>44657</v>
      </c>
      <c r="E453" s="1" t="n">
        <v>46216</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49388-2022</t>
        </is>
      </c>
      <c r="B454" t="inlineStr">
        <is>
          <t>avverkningsanmälan</t>
        </is>
      </c>
      <c r="C454" t="inlineStr">
        <is>
          <t>Föryngringsavverkning</t>
        </is>
      </c>
      <c r="D454" s="1" t="n">
        <v>44858</v>
      </c>
      <c r="E454" s="1" t="n">
        <v>46216</v>
      </c>
      <c r="F454" t="inlineStr">
        <is>
          <t>BLEKINGE LÄN</t>
        </is>
      </c>
      <c r="G454" t="inlineStr">
        <is>
          <t>KARLSKRONA</t>
        </is>
      </c>
      <c r="I454" t="n">
        <v>2</v>
      </c>
      <c r="J454" t="n">
        <v>0</v>
      </c>
      <c r="K454" t="n">
        <v>0</v>
      </c>
      <c r="L454" t="n">
        <v>0</v>
      </c>
      <c r="M454" t="n">
        <v>0</v>
      </c>
      <c r="N454" t="n">
        <v>0</v>
      </c>
      <c r="O454" t="n">
        <v>0</v>
      </c>
      <c r="P454" t="n">
        <v>0</v>
      </c>
      <c r="Q454" t="n">
        <v>0</v>
      </c>
      <c r="R454" t="n">
        <v>0</v>
      </c>
      <c r="S454" t="n">
        <v>0</v>
      </c>
      <c r="T454" t="n">
        <v>0</v>
      </c>
      <c r="U454" s="2" t="inlineStr"/>
    </row>
    <row r="455" ht="15" customHeight="1">
      <c r="A455" t="inlineStr">
        <is>
          <t>A 11729-2022</t>
        </is>
      </c>
      <c r="B455" t="inlineStr">
        <is>
          <t>avverkningsanmälan</t>
        </is>
      </c>
      <c r="C455" t="inlineStr">
        <is>
          <t>Föryngringsavverkning</t>
        </is>
      </c>
      <c r="D455" s="1" t="n">
        <v>44634</v>
      </c>
      <c r="E455" s="1" t="n">
        <v>46216</v>
      </c>
      <c r="F455" t="inlineStr">
        <is>
          <t>BLEKINGE LÄN</t>
        </is>
      </c>
      <c r="G455" t="inlineStr">
        <is>
          <t>OLOFSTRÖM</t>
        </is>
      </c>
      <c r="I455" t="n">
        <v>3</v>
      </c>
      <c r="J455" t="n">
        <v>0</v>
      </c>
      <c r="K455" t="n">
        <v>0</v>
      </c>
      <c r="L455" t="n">
        <v>0</v>
      </c>
      <c r="M455" t="n">
        <v>0</v>
      </c>
      <c r="N455" t="n">
        <v>0</v>
      </c>
      <c r="O455" t="n">
        <v>0</v>
      </c>
      <c r="P455" t="n">
        <v>0</v>
      </c>
      <c r="Q455" t="n">
        <v>0</v>
      </c>
      <c r="R455" t="n">
        <v>0</v>
      </c>
      <c r="S455" t="n">
        <v>0</v>
      </c>
      <c r="T455" t="n">
        <v>0</v>
      </c>
      <c r="U455" s="2" t="inlineStr"/>
    </row>
    <row r="456" ht="15" customHeight="1">
      <c r="A456" t="inlineStr">
        <is>
          <t>A 10737-2022</t>
        </is>
      </c>
      <c r="B456" t="inlineStr">
        <is>
          <t>avverkningsanmälan</t>
        </is>
      </c>
      <c r="C456" t="inlineStr">
        <is>
          <t>Föryngringsavverkning</t>
        </is>
      </c>
      <c r="D456" s="1" t="n">
        <v>44627</v>
      </c>
      <c r="E456" s="1" t="n">
        <v>46216</v>
      </c>
      <c r="F456" t="inlineStr">
        <is>
          <t>BLEKINGE LÄN</t>
        </is>
      </c>
      <c r="G456" t="inlineStr">
        <is>
          <t>RONNEBY</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11331-2022</t>
        </is>
      </c>
      <c r="B457" t="inlineStr">
        <is>
          <t>avverkningsanmälan</t>
        </is>
      </c>
      <c r="C457" t="inlineStr">
        <is>
          <t>Föryngringsavverkning</t>
        </is>
      </c>
      <c r="D457" s="1" t="n">
        <v>44630</v>
      </c>
      <c r="E457" s="1" t="n">
        <v>46216</v>
      </c>
      <c r="F457" t="inlineStr">
        <is>
          <t>BLEKINGE LÄN</t>
        </is>
      </c>
      <c r="G457" t="inlineStr">
        <is>
          <t>RONNEBY</t>
        </is>
      </c>
      <c r="I457" t="n">
        <v>0.5</v>
      </c>
      <c r="J457" t="n">
        <v>0</v>
      </c>
      <c r="K457" t="n">
        <v>0</v>
      </c>
      <c r="L457" t="n">
        <v>0</v>
      </c>
      <c r="M457" t="n">
        <v>0</v>
      </c>
      <c r="N457" t="n">
        <v>0</v>
      </c>
      <c r="O457" t="n">
        <v>0</v>
      </c>
      <c r="P457" t="n">
        <v>0</v>
      </c>
      <c r="Q457" t="n">
        <v>0</v>
      </c>
      <c r="R457" t="n">
        <v>0</v>
      </c>
      <c r="S457" t="n">
        <v>0</v>
      </c>
      <c r="T457" t="n">
        <v>0</v>
      </c>
      <c r="U457" s="2" t="inlineStr"/>
    </row>
    <row r="458" ht="15" customHeight="1">
      <c r="A458" t="inlineStr">
        <is>
          <t>A 52832-2022</t>
        </is>
      </c>
      <c r="B458" t="inlineStr">
        <is>
          <t>avverkningsanmälan</t>
        </is>
      </c>
      <c r="C458" t="inlineStr">
        <is>
          <t>Föryngringsavverkning</t>
        </is>
      </c>
      <c r="D458" s="1" t="n">
        <v>44875</v>
      </c>
      <c r="E458" s="1" t="n">
        <v>46216</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15360-2024</t>
        </is>
      </c>
      <c r="B459" t="inlineStr">
        <is>
          <t>avverkningsanmälan</t>
        </is>
      </c>
      <c r="C459" t="inlineStr">
        <is>
          <t>Föryngringsavverkning</t>
        </is>
      </c>
      <c r="D459" s="1" t="n">
        <v>45400</v>
      </c>
      <c r="E459" s="1" t="n">
        <v>46216</v>
      </c>
      <c r="F459" t="inlineStr">
        <is>
          <t>BLEKINGE LÄN</t>
        </is>
      </c>
      <c r="G459" t="inlineStr">
        <is>
          <t>KARLSKRONA</t>
        </is>
      </c>
      <c r="I459" t="n">
        <v>1.5</v>
      </c>
      <c r="J459" t="n">
        <v>0</v>
      </c>
      <c r="K459" t="n">
        <v>0</v>
      </c>
      <c r="L459" t="n">
        <v>0</v>
      </c>
      <c r="M459" t="n">
        <v>0</v>
      </c>
      <c r="N459" t="n">
        <v>0</v>
      </c>
      <c r="O459" t="n">
        <v>0</v>
      </c>
      <c r="P459" t="n">
        <v>0</v>
      </c>
      <c r="Q459" t="n">
        <v>0</v>
      </c>
      <c r="R459" t="n">
        <v>0</v>
      </c>
      <c r="S459" t="n">
        <v>0</v>
      </c>
      <c r="T459" t="n">
        <v>0</v>
      </c>
      <c r="U459" s="2" t="inlineStr"/>
    </row>
    <row r="460" ht="15" customHeight="1">
      <c r="A460" t="inlineStr">
        <is>
          <t>A 27698-2022</t>
        </is>
      </c>
      <c r="B460" t="inlineStr">
        <is>
          <t>avverkningsanmälan</t>
        </is>
      </c>
      <c r="C460" t="inlineStr">
        <is>
          <t>Föryngringsavverkning</t>
        </is>
      </c>
      <c r="D460" s="1" t="n">
        <v>44743</v>
      </c>
      <c r="E460" s="1" t="n">
        <v>46216</v>
      </c>
      <c r="F460" t="inlineStr">
        <is>
          <t>BLEKINGE LÄN</t>
        </is>
      </c>
      <c r="G460" t="inlineStr">
        <is>
          <t>KARLSHAMN</t>
        </is>
      </c>
      <c r="H460" t="inlineStr">
        <is>
          <t>Kommuner</t>
        </is>
      </c>
      <c r="I460" t="n">
        <v>0.8</v>
      </c>
      <c r="J460" t="n">
        <v>0</v>
      </c>
      <c r="K460" t="n">
        <v>0</v>
      </c>
      <c r="L460" t="n">
        <v>0</v>
      </c>
      <c r="M460" t="n">
        <v>0</v>
      </c>
      <c r="N460" t="n">
        <v>0</v>
      </c>
      <c r="O460" t="n">
        <v>0</v>
      </c>
      <c r="P460" t="n">
        <v>0</v>
      </c>
      <c r="Q460" t="n">
        <v>0</v>
      </c>
      <c r="R460" t="n">
        <v>0</v>
      </c>
      <c r="S460" t="n">
        <v>0</v>
      </c>
      <c r="T460" t="n">
        <v>0</v>
      </c>
      <c r="U460" s="2" t="inlineStr"/>
    </row>
    <row r="461" ht="15" customHeight="1">
      <c r="A461" t="inlineStr">
        <is>
          <t>A 7725-2025</t>
        </is>
      </c>
      <c r="B461" t="inlineStr">
        <is>
          <t>avverkningsanmälan</t>
        </is>
      </c>
      <c r="C461" t="inlineStr">
        <is>
          <t>Föryngringsavverkning</t>
        </is>
      </c>
      <c r="D461" s="1" t="n">
        <v>45706</v>
      </c>
      <c r="E461" s="1" t="n">
        <v>46216</v>
      </c>
      <c r="F461" t="inlineStr">
        <is>
          <t>BLEKINGE LÄN</t>
        </is>
      </c>
      <c r="G461" t="inlineStr">
        <is>
          <t>RONNEBY</t>
        </is>
      </c>
      <c r="I461" t="n">
        <v>5.4</v>
      </c>
      <c r="J461" t="n">
        <v>0</v>
      </c>
      <c r="K461" t="n">
        <v>0</v>
      </c>
      <c r="L461" t="n">
        <v>0</v>
      </c>
      <c r="M461" t="n">
        <v>0</v>
      </c>
      <c r="N461" t="n">
        <v>0</v>
      </c>
      <c r="O461" t="n">
        <v>0</v>
      </c>
      <c r="P461" t="n">
        <v>0</v>
      </c>
      <c r="Q461" t="n">
        <v>0</v>
      </c>
      <c r="R461" t="n">
        <v>0</v>
      </c>
      <c r="S461" t="n">
        <v>0</v>
      </c>
      <c r="T461" t="n">
        <v>0</v>
      </c>
      <c r="U461" s="2" t="inlineStr"/>
    </row>
    <row r="462" ht="15" customHeight="1">
      <c r="A462" t="inlineStr">
        <is>
          <t>A 59946-2021</t>
        </is>
      </c>
      <c r="B462" t="inlineStr">
        <is>
          <t>avverkningsanmälan</t>
        </is>
      </c>
      <c r="C462" t="inlineStr">
        <is>
          <t>Föryngringsavverkning</t>
        </is>
      </c>
      <c r="D462" s="1" t="n">
        <v>44494</v>
      </c>
      <c r="E462" s="1" t="n">
        <v>46216</v>
      </c>
      <c r="F462" t="inlineStr">
        <is>
          <t>BLEKINGE LÄN</t>
        </is>
      </c>
      <c r="G462" t="inlineStr">
        <is>
          <t>RONNEBY</t>
        </is>
      </c>
      <c r="I462" t="n">
        <v>2.3</v>
      </c>
      <c r="J462" t="n">
        <v>0</v>
      </c>
      <c r="K462" t="n">
        <v>0</v>
      </c>
      <c r="L462" t="n">
        <v>0</v>
      </c>
      <c r="M462" t="n">
        <v>0</v>
      </c>
      <c r="N462" t="n">
        <v>0</v>
      </c>
      <c r="O462" t="n">
        <v>0</v>
      </c>
      <c r="P462" t="n">
        <v>0</v>
      </c>
      <c r="Q462" t="n">
        <v>0</v>
      </c>
      <c r="R462" t="n">
        <v>0</v>
      </c>
      <c r="S462" t="n">
        <v>0</v>
      </c>
      <c r="T462" t="n">
        <v>0</v>
      </c>
      <c r="U462" s="2" t="inlineStr"/>
    </row>
    <row r="463" ht="15" customHeight="1">
      <c r="A463" t="inlineStr">
        <is>
          <t>A 2413-2025</t>
        </is>
      </c>
      <c r="B463" t="inlineStr">
        <is>
          <t>avverkningsanmälan</t>
        </is>
      </c>
      <c r="C463" t="inlineStr">
        <is>
          <t>Föryngringsavverkning</t>
        </is>
      </c>
      <c r="D463" s="1" t="n">
        <v>45674</v>
      </c>
      <c r="E463" s="1" t="n">
        <v>46216</v>
      </c>
      <c r="F463" t="inlineStr">
        <is>
          <t>BLEKINGE LÄN</t>
        </is>
      </c>
      <c r="G463" t="inlineStr">
        <is>
          <t>KARLSKRONA</t>
        </is>
      </c>
      <c r="I463" t="n">
        <v>1.8</v>
      </c>
      <c r="J463" t="n">
        <v>0</v>
      </c>
      <c r="K463" t="n">
        <v>0</v>
      </c>
      <c r="L463" t="n">
        <v>0</v>
      </c>
      <c r="M463" t="n">
        <v>0</v>
      </c>
      <c r="N463" t="n">
        <v>0</v>
      </c>
      <c r="O463" t="n">
        <v>0</v>
      </c>
      <c r="P463" t="n">
        <v>0</v>
      </c>
      <c r="Q463" t="n">
        <v>0</v>
      </c>
      <c r="R463" t="n">
        <v>0</v>
      </c>
      <c r="S463" t="n">
        <v>0</v>
      </c>
      <c r="T463" t="n">
        <v>0</v>
      </c>
      <c r="U463" s="2" t="inlineStr"/>
    </row>
    <row r="464" ht="15" customHeight="1">
      <c r="A464" t="inlineStr">
        <is>
          <t>A 3013-2024</t>
        </is>
      </c>
      <c r="B464" t="inlineStr">
        <is>
          <t>avverkningsanmälan</t>
        </is>
      </c>
      <c r="C464" t="inlineStr">
        <is>
          <t>Föryngringsavverkning</t>
        </is>
      </c>
      <c r="D464" s="1" t="n">
        <v>45315</v>
      </c>
      <c r="E464" s="1" t="n">
        <v>46216</v>
      </c>
      <c r="F464" t="inlineStr">
        <is>
          <t>BLEKINGE LÄN</t>
        </is>
      </c>
      <c r="G464" t="inlineStr">
        <is>
          <t>KARLSKRONA</t>
        </is>
      </c>
      <c r="I464" t="n">
        <v>3.5</v>
      </c>
      <c r="J464" t="n">
        <v>0</v>
      </c>
      <c r="K464" t="n">
        <v>0</v>
      </c>
      <c r="L464" t="n">
        <v>0</v>
      </c>
      <c r="M464" t="n">
        <v>0</v>
      </c>
      <c r="N464" t="n">
        <v>0</v>
      </c>
      <c r="O464" t="n">
        <v>0</v>
      </c>
      <c r="P464" t="n">
        <v>0</v>
      </c>
      <c r="Q464" t="n">
        <v>0</v>
      </c>
      <c r="R464" t="n">
        <v>0</v>
      </c>
      <c r="S464" t="n">
        <v>0</v>
      </c>
      <c r="T464" t="n">
        <v>0</v>
      </c>
      <c r="U464" s="2" t="inlineStr"/>
    </row>
    <row r="465" ht="15" customHeight="1">
      <c r="A465" t="inlineStr">
        <is>
          <t>A 19827-2024</t>
        </is>
      </c>
      <c r="B465" t="inlineStr">
        <is>
          <t>avverkningsanmälan</t>
        </is>
      </c>
      <c r="C465" t="inlineStr">
        <is>
          <t>Föryngringsavverkning</t>
        </is>
      </c>
      <c r="D465" s="1" t="n">
        <v>45433</v>
      </c>
      <c r="E465" s="1" t="n">
        <v>46216</v>
      </c>
      <c r="F465" t="inlineStr">
        <is>
          <t>BLEKINGE LÄN</t>
        </is>
      </c>
      <c r="G465" t="inlineStr">
        <is>
          <t>SÖLVESBORG</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19606-2024</t>
        </is>
      </c>
      <c r="B466" t="inlineStr">
        <is>
          <t>avverkningsanmälan</t>
        </is>
      </c>
      <c r="C466" t="inlineStr">
        <is>
          <t>Föryngringsavverkning</t>
        </is>
      </c>
      <c r="D466" s="1" t="n">
        <v>45432</v>
      </c>
      <c r="E466" s="1" t="n">
        <v>46216</v>
      </c>
      <c r="F466" t="inlineStr">
        <is>
          <t>BLEKINGE LÄN</t>
        </is>
      </c>
      <c r="G466" t="inlineStr">
        <is>
          <t>RONNEBY</t>
        </is>
      </c>
      <c r="I466" t="n">
        <v>1.6</v>
      </c>
      <c r="J466" t="n">
        <v>0</v>
      </c>
      <c r="K466" t="n">
        <v>0</v>
      </c>
      <c r="L466" t="n">
        <v>0</v>
      </c>
      <c r="M466" t="n">
        <v>0</v>
      </c>
      <c r="N466" t="n">
        <v>0</v>
      </c>
      <c r="O466" t="n">
        <v>0</v>
      </c>
      <c r="P466" t="n">
        <v>0</v>
      </c>
      <c r="Q466" t="n">
        <v>0</v>
      </c>
      <c r="R466" t="n">
        <v>0</v>
      </c>
      <c r="S466" t="n">
        <v>0</v>
      </c>
      <c r="T466" t="n">
        <v>0</v>
      </c>
      <c r="U466" s="2" t="inlineStr"/>
    </row>
    <row r="467" ht="15" customHeight="1">
      <c r="A467" t="inlineStr">
        <is>
          <t>A 39871-2023</t>
        </is>
      </c>
      <c r="B467" t="inlineStr">
        <is>
          <t>avverkningsanmälan</t>
        </is>
      </c>
      <c r="C467" t="inlineStr">
        <is>
          <t>Föryngringsavverkning</t>
        </is>
      </c>
      <c r="D467" s="1" t="n">
        <v>45166</v>
      </c>
      <c r="E467" s="1" t="n">
        <v>46216</v>
      </c>
      <c r="F467" t="inlineStr">
        <is>
          <t>BLEKINGE LÄN</t>
        </is>
      </c>
      <c r="G467" t="inlineStr">
        <is>
          <t>OLOFSTRÖM</t>
        </is>
      </c>
      <c r="I467" t="n">
        <v>3.5</v>
      </c>
      <c r="J467" t="n">
        <v>0</v>
      </c>
      <c r="K467" t="n">
        <v>0</v>
      </c>
      <c r="L467" t="n">
        <v>0</v>
      </c>
      <c r="M467" t="n">
        <v>0</v>
      </c>
      <c r="N467" t="n">
        <v>0</v>
      </c>
      <c r="O467" t="n">
        <v>0</v>
      </c>
      <c r="P467" t="n">
        <v>0</v>
      </c>
      <c r="Q467" t="n">
        <v>0</v>
      </c>
      <c r="R467" t="n">
        <v>0</v>
      </c>
      <c r="S467" t="n">
        <v>0</v>
      </c>
      <c r="T467" t="n">
        <v>0</v>
      </c>
      <c r="U467" s="2" t="inlineStr"/>
    </row>
    <row r="468" ht="15" customHeight="1">
      <c r="A468" t="inlineStr">
        <is>
          <t>A 59007-2022</t>
        </is>
      </c>
      <c r="B468" t="inlineStr">
        <is>
          <t>avverkningsanmälan</t>
        </is>
      </c>
      <c r="C468" t="inlineStr">
        <is>
          <t>Föryngringsavverkning</t>
        </is>
      </c>
      <c r="D468" s="1" t="n">
        <v>44903</v>
      </c>
      <c r="E468" s="1" t="n">
        <v>46216</v>
      </c>
      <c r="F468" t="inlineStr">
        <is>
          <t>BLEKINGE LÄN</t>
        </is>
      </c>
      <c r="G468" t="inlineStr">
        <is>
          <t>RONNEBY</t>
        </is>
      </c>
      <c r="I468" t="n">
        <v>0.9</v>
      </c>
      <c r="J468" t="n">
        <v>0</v>
      </c>
      <c r="K468" t="n">
        <v>0</v>
      </c>
      <c r="L468" t="n">
        <v>0</v>
      </c>
      <c r="M468" t="n">
        <v>0</v>
      </c>
      <c r="N468" t="n">
        <v>0</v>
      </c>
      <c r="O468" t="n">
        <v>0</v>
      </c>
      <c r="P468" t="n">
        <v>0</v>
      </c>
      <c r="Q468" t="n">
        <v>0</v>
      </c>
      <c r="R468" t="n">
        <v>0</v>
      </c>
      <c r="S468" t="n">
        <v>0</v>
      </c>
      <c r="T468" t="n">
        <v>0</v>
      </c>
      <c r="U468" s="2" t="inlineStr"/>
    </row>
    <row r="469" ht="15" customHeight="1">
      <c r="A469" t="inlineStr">
        <is>
          <t>A 33633-2023</t>
        </is>
      </c>
      <c r="B469" t="inlineStr">
        <is>
          <t>avverkningsanmälan</t>
        </is>
      </c>
      <c r="C469" t="inlineStr">
        <is>
          <t>Föryngringsavverkning</t>
        </is>
      </c>
      <c r="D469" s="1" t="n">
        <v>45119</v>
      </c>
      <c r="E469" s="1" t="n">
        <v>46216</v>
      </c>
      <c r="F469" t="inlineStr">
        <is>
          <t>BLEKINGE LÄN</t>
        </is>
      </c>
      <c r="G469" t="inlineStr">
        <is>
          <t>KARLSHAMN</t>
        </is>
      </c>
      <c r="I469" t="n">
        <v>3.3</v>
      </c>
      <c r="J469" t="n">
        <v>0</v>
      </c>
      <c r="K469" t="n">
        <v>0</v>
      </c>
      <c r="L469" t="n">
        <v>0</v>
      </c>
      <c r="M469" t="n">
        <v>0</v>
      </c>
      <c r="N469" t="n">
        <v>0</v>
      </c>
      <c r="O469" t="n">
        <v>0</v>
      </c>
      <c r="P469" t="n">
        <v>0</v>
      </c>
      <c r="Q469" t="n">
        <v>0</v>
      </c>
      <c r="R469" t="n">
        <v>0</v>
      </c>
      <c r="S469" t="n">
        <v>0</v>
      </c>
      <c r="T469" t="n">
        <v>0</v>
      </c>
      <c r="U469" s="2" t="inlineStr"/>
    </row>
    <row r="470" ht="15" customHeight="1">
      <c r="A470" t="inlineStr">
        <is>
          <t>A 8148-2024</t>
        </is>
      </c>
      <c r="B470" t="inlineStr">
        <is>
          <t>avverkningsanmälan</t>
        </is>
      </c>
      <c r="C470" t="inlineStr">
        <is>
          <t>Föryngringsavverkning</t>
        </is>
      </c>
      <c r="D470" s="1" t="n">
        <v>45351</v>
      </c>
      <c r="E470" s="1" t="n">
        <v>46216</v>
      </c>
      <c r="F470" t="inlineStr">
        <is>
          <t>BLEKINGE LÄN</t>
        </is>
      </c>
      <c r="G470" t="inlineStr">
        <is>
          <t>KARLSHAMN</t>
        </is>
      </c>
      <c r="I470" t="n">
        <v>0.6</v>
      </c>
      <c r="J470" t="n">
        <v>0</v>
      </c>
      <c r="K470" t="n">
        <v>0</v>
      </c>
      <c r="L470" t="n">
        <v>0</v>
      </c>
      <c r="M470" t="n">
        <v>0</v>
      </c>
      <c r="N470" t="n">
        <v>0</v>
      </c>
      <c r="O470" t="n">
        <v>0</v>
      </c>
      <c r="P470" t="n">
        <v>0</v>
      </c>
      <c r="Q470" t="n">
        <v>0</v>
      </c>
      <c r="R470" t="n">
        <v>0</v>
      </c>
      <c r="S470" t="n">
        <v>0</v>
      </c>
      <c r="T470" t="n">
        <v>0</v>
      </c>
      <c r="U470" s="2" t="inlineStr"/>
    </row>
    <row r="471" ht="15" customHeight="1">
      <c r="A471" t="inlineStr">
        <is>
          <t>A 50880-2024</t>
        </is>
      </c>
      <c r="B471" t="inlineStr">
        <is>
          <t>avverkningsanmälan</t>
        </is>
      </c>
      <c r="C471" t="inlineStr">
        <is>
          <t>Föryngringsavverkning</t>
        </is>
      </c>
      <c r="D471" s="1" t="n">
        <v>45602</v>
      </c>
      <c r="E471" s="1" t="n">
        <v>46216</v>
      </c>
      <c r="F471" t="inlineStr">
        <is>
          <t>BLEKINGE LÄN</t>
        </is>
      </c>
      <c r="G471" t="inlineStr">
        <is>
          <t>RONNEBY</t>
        </is>
      </c>
      <c r="I471" t="n">
        <v>0.5</v>
      </c>
      <c r="J471" t="n">
        <v>0</v>
      </c>
      <c r="K471" t="n">
        <v>0</v>
      </c>
      <c r="L471" t="n">
        <v>0</v>
      </c>
      <c r="M471" t="n">
        <v>0</v>
      </c>
      <c r="N471" t="n">
        <v>0</v>
      </c>
      <c r="O471" t="n">
        <v>0</v>
      </c>
      <c r="P471" t="n">
        <v>0</v>
      </c>
      <c r="Q471" t="n">
        <v>0</v>
      </c>
      <c r="R471" t="n">
        <v>0</v>
      </c>
      <c r="S471" t="n">
        <v>0</v>
      </c>
      <c r="T471" t="n">
        <v>0</v>
      </c>
      <c r="U471" s="2" t="inlineStr"/>
    </row>
    <row r="472" ht="15" customHeight="1">
      <c r="A472" t="inlineStr">
        <is>
          <t>A 49894-2024</t>
        </is>
      </c>
      <c r="B472" t="inlineStr">
        <is>
          <t>avverkningsanmälan</t>
        </is>
      </c>
      <c r="C472" t="inlineStr">
        <is>
          <t>Föryngringsavverkning</t>
        </is>
      </c>
      <c r="D472" s="1" t="n">
        <v>45597</v>
      </c>
      <c r="E472" s="1" t="n">
        <v>46216</v>
      </c>
      <c r="F472" t="inlineStr">
        <is>
          <t>BLEKINGE LÄN</t>
        </is>
      </c>
      <c r="G472" t="inlineStr">
        <is>
          <t>OLOFSTRÖM</t>
        </is>
      </c>
      <c r="I472" t="n">
        <v>17.5</v>
      </c>
      <c r="J472" t="n">
        <v>0</v>
      </c>
      <c r="K472" t="n">
        <v>0</v>
      </c>
      <c r="L472" t="n">
        <v>0</v>
      </c>
      <c r="M472" t="n">
        <v>0</v>
      </c>
      <c r="N472" t="n">
        <v>0</v>
      </c>
      <c r="O472" t="n">
        <v>0</v>
      </c>
      <c r="P472" t="n">
        <v>0</v>
      </c>
      <c r="Q472" t="n">
        <v>0</v>
      </c>
      <c r="R472" t="n">
        <v>0</v>
      </c>
      <c r="S472" t="n">
        <v>0</v>
      </c>
      <c r="T472" t="n">
        <v>0</v>
      </c>
      <c r="U472" s="2" t="inlineStr"/>
    </row>
    <row r="473" ht="15" customHeight="1">
      <c r="A473" t="inlineStr">
        <is>
          <t>A 17649-2022</t>
        </is>
      </c>
      <c r="B473" t="inlineStr">
        <is>
          <t>avverkningsanmälan</t>
        </is>
      </c>
      <c r="C473" t="inlineStr">
        <is>
          <t>Föryngringsavverkning</t>
        </is>
      </c>
      <c r="D473" s="1" t="n">
        <v>44680</v>
      </c>
      <c r="E473" s="1" t="n">
        <v>46216</v>
      </c>
      <c r="F473" t="inlineStr">
        <is>
          <t>BLEKINGE LÄN</t>
        </is>
      </c>
      <c r="G473" t="inlineStr">
        <is>
          <t>KARLSHAMN</t>
        </is>
      </c>
      <c r="I473" t="n">
        <v>4.8</v>
      </c>
      <c r="J473" t="n">
        <v>0</v>
      </c>
      <c r="K473" t="n">
        <v>0</v>
      </c>
      <c r="L473" t="n">
        <v>0</v>
      </c>
      <c r="M473" t="n">
        <v>0</v>
      </c>
      <c r="N473" t="n">
        <v>0</v>
      </c>
      <c r="O473" t="n">
        <v>0</v>
      </c>
      <c r="P473" t="n">
        <v>0</v>
      </c>
      <c r="Q473" t="n">
        <v>0</v>
      </c>
      <c r="R473" t="n">
        <v>0</v>
      </c>
      <c r="S473" t="n">
        <v>0</v>
      </c>
      <c r="T473" t="n">
        <v>0</v>
      </c>
      <c r="U473" s="2" t="inlineStr"/>
    </row>
    <row r="474" ht="15" customHeight="1">
      <c r="A474" t="inlineStr">
        <is>
          <t>A 55057-2022</t>
        </is>
      </c>
      <c r="B474" t="inlineStr">
        <is>
          <t>avverkningsanmälan</t>
        </is>
      </c>
      <c r="C474" t="inlineStr">
        <is>
          <t>Föryngringsavverkning</t>
        </is>
      </c>
      <c r="D474" s="1" t="n">
        <v>44886</v>
      </c>
      <c r="E474" s="1" t="n">
        <v>46216</v>
      </c>
      <c r="F474" t="inlineStr">
        <is>
          <t>BLEKINGE LÄN</t>
        </is>
      </c>
      <c r="G474" t="inlineStr">
        <is>
          <t>KARLSKRONA</t>
        </is>
      </c>
      <c r="I474" t="n">
        <v>16.8</v>
      </c>
      <c r="J474" t="n">
        <v>0</v>
      </c>
      <c r="K474" t="n">
        <v>0</v>
      </c>
      <c r="L474" t="n">
        <v>0</v>
      </c>
      <c r="M474" t="n">
        <v>0</v>
      </c>
      <c r="N474" t="n">
        <v>0</v>
      </c>
      <c r="O474" t="n">
        <v>0</v>
      </c>
      <c r="P474" t="n">
        <v>0</v>
      </c>
      <c r="Q474" t="n">
        <v>0</v>
      </c>
      <c r="R474" t="n">
        <v>0</v>
      </c>
      <c r="S474" t="n">
        <v>0</v>
      </c>
      <c r="T474" t="n">
        <v>0</v>
      </c>
      <c r="U474" s="2" t="inlineStr"/>
    </row>
    <row r="475" ht="15" customHeight="1">
      <c r="A475" t="inlineStr">
        <is>
          <t>A 59981-2023</t>
        </is>
      </c>
      <c r="B475" t="inlineStr">
        <is>
          <t>avverkningsanmälan</t>
        </is>
      </c>
      <c r="C475" t="inlineStr">
        <is>
          <t>Föryngringsavverkning</t>
        </is>
      </c>
      <c r="D475" s="1" t="n">
        <v>45257</v>
      </c>
      <c r="E475" s="1" t="n">
        <v>46216</v>
      </c>
      <c r="F475" t="inlineStr">
        <is>
          <t>BLEKINGE LÄN</t>
        </is>
      </c>
      <c r="G475" t="inlineStr">
        <is>
          <t>KARLSKRONA</t>
        </is>
      </c>
      <c r="I475" t="n">
        <v>0.6</v>
      </c>
      <c r="J475" t="n">
        <v>0</v>
      </c>
      <c r="K475" t="n">
        <v>0</v>
      </c>
      <c r="L475" t="n">
        <v>0</v>
      </c>
      <c r="M475" t="n">
        <v>0</v>
      </c>
      <c r="N475" t="n">
        <v>0</v>
      </c>
      <c r="O475" t="n">
        <v>0</v>
      </c>
      <c r="P475" t="n">
        <v>0</v>
      </c>
      <c r="Q475" t="n">
        <v>0</v>
      </c>
      <c r="R475" t="n">
        <v>0</v>
      </c>
      <c r="S475" t="n">
        <v>0</v>
      </c>
      <c r="T475" t="n">
        <v>0</v>
      </c>
      <c r="U475" s="2" t="inlineStr"/>
    </row>
    <row r="476" ht="15" customHeight="1">
      <c r="A476" t="inlineStr">
        <is>
          <t>A 24286-2023</t>
        </is>
      </c>
      <c r="B476" t="inlineStr">
        <is>
          <t>avverkningsanmälan</t>
        </is>
      </c>
      <c r="C476" t="inlineStr">
        <is>
          <t>Föryngringsavverkning</t>
        </is>
      </c>
      <c r="D476" s="1" t="n">
        <v>45079</v>
      </c>
      <c r="E476" s="1" t="n">
        <v>46216</v>
      </c>
      <c r="F476" t="inlineStr">
        <is>
          <t>BLEKINGE LÄN</t>
        </is>
      </c>
      <c r="G476" t="inlineStr">
        <is>
          <t>KARLSKRONA</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41640-2024</t>
        </is>
      </c>
      <c r="B477" t="inlineStr">
        <is>
          <t>avverkningsanmälan</t>
        </is>
      </c>
      <c r="C477" t="inlineStr">
        <is>
          <t>Föryngringsavverkning</t>
        </is>
      </c>
      <c r="D477" s="1" t="n">
        <v>45560</v>
      </c>
      <c r="E477" s="1" t="n">
        <v>46216</v>
      </c>
      <c r="F477" t="inlineStr">
        <is>
          <t>BLEKINGE LÄN</t>
        </is>
      </c>
      <c r="G477" t="inlineStr">
        <is>
          <t>OLOFSTRÖM</t>
        </is>
      </c>
      <c r="I477" t="n">
        <v>1.2</v>
      </c>
      <c r="J477" t="n">
        <v>0</v>
      </c>
      <c r="K477" t="n">
        <v>0</v>
      </c>
      <c r="L477" t="n">
        <v>0</v>
      </c>
      <c r="M477" t="n">
        <v>0</v>
      </c>
      <c r="N477" t="n">
        <v>0</v>
      </c>
      <c r="O477" t="n">
        <v>0</v>
      </c>
      <c r="P477" t="n">
        <v>0</v>
      </c>
      <c r="Q477" t="n">
        <v>0</v>
      </c>
      <c r="R477" t="n">
        <v>0</v>
      </c>
      <c r="S477" t="n">
        <v>0</v>
      </c>
      <c r="T477" t="n">
        <v>0</v>
      </c>
      <c r="U477" s="2" t="inlineStr"/>
    </row>
    <row r="478" ht="15" customHeight="1">
      <c r="A478" t="inlineStr">
        <is>
          <t>A 53733-2024</t>
        </is>
      </c>
      <c r="B478" t="inlineStr">
        <is>
          <t>avverkningsanmälan</t>
        </is>
      </c>
      <c r="C478" t="inlineStr">
        <is>
          <t>Föryngringsavverkning</t>
        </is>
      </c>
      <c r="D478" s="1" t="n">
        <v>45615</v>
      </c>
      <c r="E478" s="1" t="n">
        <v>46216</v>
      </c>
      <c r="F478" t="inlineStr">
        <is>
          <t>BLEKINGE LÄN</t>
        </is>
      </c>
      <c r="G478" t="inlineStr">
        <is>
          <t>KARLSKRONA</t>
        </is>
      </c>
      <c r="I478" t="n">
        <v>1.2</v>
      </c>
      <c r="J478" t="n">
        <v>0</v>
      </c>
      <c r="K478" t="n">
        <v>0</v>
      </c>
      <c r="L478" t="n">
        <v>0</v>
      </c>
      <c r="M478" t="n">
        <v>0</v>
      </c>
      <c r="N478" t="n">
        <v>0</v>
      </c>
      <c r="O478" t="n">
        <v>0</v>
      </c>
      <c r="P478" t="n">
        <v>0</v>
      </c>
      <c r="Q478" t="n">
        <v>0</v>
      </c>
      <c r="R478" t="n">
        <v>0</v>
      </c>
      <c r="S478" t="n">
        <v>0</v>
      </c>
      <c r="T478" t="n">
        <v>0</v>
      </c>
      <c r="U478" s="2" t="inlineStr"/>
    </row>
    <row r="479" ht="15" customHeight="1">
      <c r="A479" t="inlineStr">
        <is>
          <t>A 46027-2023</t>
        </is>
      </c>
      <c r="B479" t="inlineStr">
        <is>
          <t>avverkningsanmälan</t>
        </is>
      </c>
      <c r="C479" t="inlineStr">
        <is>
          <t>Föryngringsavverkning</t>
        </is>
      </c>
      <c r="D479" s="1" t="n">
        <v>45196</v>
      </c>
      <c r="E479" s="1" t="n">
        <v>46216</v>
      </c>
      <c r="F479" t="inlineStr">
        <is>
          <t>BLEKINGE LÄN</t>
        </is>
      </c>
      <c r="G479" t="inlineStr">
        <is>
          <t>KARLSKRONA</t>
        </is>
      </c>
      <c r="I479" t="n">
        <v>8</v>
      </c>
      <c r="J479" t="n">
        <v>0</v>
      </c>
      <c r="K479" t="n">
        <v>0</v>
      </c>
      <c r="L479" t="n">
        <v>0</v>
      </c>
      <c r="M479" t="n">
        <v>0</v>
      </c>
      <c r="N479" t="n">
        <v>0</v>
      </c>
      <c r="O479" t="n">
        <v>0</v>
      </c>
      <c r="P479" t="n">
        <v>0</v>
      </c>
      <c r="Q479" t="n">
        <v>0</v>
      </c>
      <c r="R479" t="n">
        <v>0</v>
      </c>
      <c r="S479" t="n">
        <v>0</v>
      </c>
      <c r="T479" t="n">
        <v>0</v>
      </c>
      <c r="U479" s="2" t="inlineStr"/>
    </row>
    <row r="480" ht="15" customHeight="1">
      <c r="A480" t="inlineStr">
        <is>
          <t>A 59349-2021</t>
        </is>
      </c>
      <c r="B480" t="inlineStr">
        <is>
          <t>avverkningsanmälan</t>
        </is>
      </c>
      <c r="C480" t="inlineStr">
        <is>
          <t>Föryngringsavverkning</t>
        </is>
      </c>
      <c r="D480" s="1" t="n">
        <v>44491</v>
      </c>
      <c r="E480" s="1" t="n">
        <v>46216</v>
      </c>
      <c r="F480" t="inlineStr">
        <is>
          <t>BLEKINGE LÄN</t>
        </is>
      </c>
      <c r="G480" t="inlineStr">
        <is>
          <t>KARLSKRONA</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6953-2023</t>
        </is>
      </c>
      <c r="B481" t="inlineStr">
        <is>
          <t>avverkningsanmälan</t>
        </is>
      </c>
      <c r="C481" t="inlineStr">
        <is>
          <t>Föryngringsavverkning</t>
        </is>
      </c>
      <c r="D481" s="1" t="n">
        <v>44967</v>
      </c>
      <c r="E481" s="1" t="n">
        <v>46216</v>
      </c>
      <c r="F481" t="inlineStr">
        <is>
          <t>BLEKINGE LÄN</t>
        </is>
      </c>
      <c r="G481" t="inlineStr">
        <is>
          <t>KARLSKRONA</t>
        </is>
      </c>
      <c r="I481" t="n">
        <v>1</v>
      </c>
      <c r="J481" t="n">
        <v>0</v>
      </c>
      <c r="K481" t="n">
        <v>0</v>
      </c>
      <c r="L481" t="n">
        <v>0</v>
      </c>
      <c r="M481" t="n">
        <v>0</v>
      </c>
      <c r="N481" t="n">
        <v>0</v>
      </c>
      <c r="O481" t="n">
        <v>0</v>
      </c>
      <c r="P481" t="n">
        <v>0</v>
      </c>
      <c r="Q481" t="n">
        <v>0</v>
      </c>
      <c r="R481" t="n">
        <v>0</v>
      </c>
      <c r="S481" t="n">
        <v>0</v>
      </c>
      <c r="T481" t="n">
        <v>0</v>
      </c>
      <c r="U481" s="2" t="inlineStr"/>
    </row>
    <row r="482" ht="15" customHeight="1">
      <c r="A482" t="inlineStr">
        <is>
          <t>A 4670-2024</t>
        </is>
      </c>
      <c r="B482" t="inlineStr">
        <is>
          <t>avverkningsanmälan</t>
        </is>
      </c>
      <c r="C482" t="inlineStr">
        <is>
          <t>Föryngringsavverkning</t>
        </is>
      </c>
      <c r="D482" s="1" t="n">
        <v>45328</v>
      </c>
      <c r="E482" s="1" t="n">
        <v>46216</v>
      </c>
      <c r="F482" t="inlineStr">
        <is>
          <t>BLEKINGE LÄN</t>
        </is>
      </c>
      <c r="G482" t="inlineStr">
        <is>
          <t>RONNEBY</t>
        </is>
      </c>
      <c r="I482" t="n">
        <v>2.3</v>
      </c>
      <c r="J482" t="n">
        <v>0</v>
      </c>
      <c r="K482" t="n">
        <v>0</v>
      </c>
      <c r="L482" t="n">
        <v>0</v>
      </c>
      <c r="M482" t="n">
        <v>0</v>
      </c>
      <c r="N482" t="n">
        <v>0</v>
      </c>
      <c r="O482" t="n">
        <v>0</v>
      </c>
      <c r="P482" t="n">
        <v>0</v>
      </c>
      <c r="Q482" t="n">
        <v>0</v>
      </c>
      <c r="R482" t="n">
        <v>0</v>
      </c>
      <c r="S482" t="n">
        <v>0</v>
      </c>
      <c r="T482" t="n">
        <v>0</v>
      </c>
      <c r="U482" s="2" t="inlineStr"/>
    </row>
    <row r="483" ht="15" customHeight="1">
      <c r="A483" t="inlineStr">
        <is>
          <t>A 17627-2023</t>
        </is>
      </c>
      <c r="B483" t="inlineStr">
        <is>
          <t>avverkningsanmälan</t>
        </is>
      </c>
      <c r="C483" t="inlineStr">
        <is>
          <t>Föryngringsavverkning</t>
        </is>
      </c>
      <c r="D483" s="1" t="n">
        <v>45035</v>
      </c>
      <c r="E483" s="1" t="n">
        <v>46216</v>
      </c>
      <c r="F483" t="inlineStr">
        <is>
          <t>BLEKINGE LÄN</t>
        </is>
      </c>
      <c r="G483" t="inlineStr">
        <is>
          <t>KARLSKRONA</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42335-2023</t>
        </is>
      </c>
      <c r="B484" t="inlineStr">
        <is>
          <t>avverkningsanmälan</t>
        </is>
      </c>
      <c r="C484" t="inlineStr">
        <is>
          <t>Föryngringsavverkning</t>
        </is>
      </c>
      <c r="D484" s="1" t="n">
        <v>45180</v>
      </c>
      <c r="E484" s="1" t="n">
        <v>46216</v>
      </c>
      <c r="F484" t="inlineStr">
        <is>
          <t>BLEKINGE LÄN</t>
        </is>
      </c>
      <c r="G484" t="inlineStr">
        <is>
          <t>KARLSKRONA</t>
        </is>
      </c>
      <c r="I484" t="n">
        <v>0.6</v>
      </c>
      <c r="J484" t="n">
        <v>0</v>
      </c>
      <c r="K484" t="n">
        <v>0</v>
      </c>
      <c r="L484" t="n">
        <v>0</v>
      </c>
      <c r="M484" t="n">
        <v>0</v>
      </c>
      <c r="N484" t="n">
        <v>0</v>
      </c>
      <c r="O484" t="n">
        <v>0</v>
      </c>
      <c r="P484" t="n">
        <v>0</v>
      </c>
      <c r="Q484" t="n">
        <v>0</v>
      </c>
      <c r="R484" t="n">
        <v>0</v>
      </c>
      <c r="S484" t="n">
        <v>0</v>
      </c>
      <c r="T484" t="n">
        <v>0</v>
      </c>
      <c r="U484" s="2" t="inlineStr"/>
    </row>
    <row r="485" ht="15" customHeight="1">
      <c r="A485" t="inlineStr">
        <is>
          <t>A 14192-2024</t>
        </is>
      </c>
      <c r="B485" t="inlineStr">
        <is>
          <t>avverkningsanmälan</t>
        </is>
      </c>
      <c r="C485" t="inlineStr">
        <is>
          <t>Föryngringsavverkning</t>
        </is>
      </c>
      <c r="D485" s="1" t="n">
        <v>45393</v>
      </c>
      <c r="E485" s="1" t="n">
        <v>46216</v>
      </c>
      <c r="F485" t="inlineStr">
        <is>
          <t>BLEKINGE LÄN</t>
        </is>
      </c>
      <c r="G485" t="inlineStr">
        <is>
          <t>KARLSKRONA</t>
        </is>
      </c>
      <c r="I485" t="n">
        <v>2.7</v>
      </c>
      <c r="J485" t="n">
        <v>0</v>
      </c>
      <c r="K485" t="n">
        <v>0</v>
      </c>
      <c r="L485" t="n">
        <v>0</v>
      </c>
      <c r="M485" t="n">
        <v>0</v>
      </c>
      <c r="N485" t="n">
        <v>0</v>
      </c>
      <c r="O485" t="n">
        <v>0</v>
      </c>
      <c r="P485" t="n">
        <v>0</v>
      </c>
      <c r="Q485" t="n">
        <v>0</v>
      </c>
      <c r="R485" t="n">
        <v>0</v>
      </c>
      <c r="S485" t="n">
        <v>0</v>
      </c>
      <c r="T485" t="n">
        <v>0</v>
      </c>
      <c r="U485" s="2" t="inlineStr"/>
    </row>
    <row r="486" ht="15" customHeight="1">
      <c r="A486" t="inlineStr">
        <is>
          <t>A 29969-2023</t>
        </is>
      </c>
      <c r="B486" t="inlineStr">
        <is>
          <t>avverkningsanmälan</t>
        </is>
      </c>
      <c r="C486" t="inlineStr">
        <is>
          <t>Föryngringsavverkning</t>
        </is>
      </c>
      <c r="D486" s="1" t="n">
        <v>45108</v>
      </c>
      <c r="E486" s="1" t="n">
        <v>46216</v>
      </c>
      <c r="F486" t="inlineStr">
        <is>
          <t>BLEKINGE LÄN</t>
        </is>
      </c>
      <c r="G486" t="inlineStr">
        <is>
          <t>KARLSKRONA</t>
        </is>
      </c>
      <c r="I486" t="n">
        <v>1.1</v>
      </c>
      <c r="J486" t="n">
        <v>0</v>
      </c>
      <c r="K486" t="n">
        <v>0</v>
      </c>
      <c r="L486" t="n">
        <v>0</v>
      </c>
      <c r="M486" t="n">
        <v>0</v>
      </c>
      <c r="N486" t="n">
        <v>0</v>
      </c>
      <c r="O486" t="n">
        <v>0</v>
      </c>
      <c r="P486" t="n">
        <v>0</v>
      </c>
      <c r="Q486" t="n">
        <v>0</v>
      </c>
      <c r="R486" t="n">
        <v>0</v>
      </c>
      <c r="S486" t="n">
        <v>0</v>
      </c>
      <c r="T486" t="n">
        <v>0</v>
      </c>
      <c r="U486" s="2" t="inlineStr"/>
    </row>
    <row r="487" ht="15" customHeight="1">
      <c r="A487" t="inlineStr">
        <is>
          <t>A 13879-2023</t>
        </is>
      </c>
      <c r="B487" t="inlineStr">
        <is>
          <t>avverkningsanmälan</t>
        </is>
      </c>
      <c r="C487" t="inlineStr">
        <is>
          <t>Föryngringsavverkning</t>
        </is>
      </c>
      <c r="D487" s="1" t="n">
        <v>45007</v>
      </c>
      <c r="E487" s="1" t="n">
        <v>46216</v>
      </c>
      <c r="F487" t="inlineStr">
        <is>
          <t>BLEKINGE LÄN</t>
        </is>
      </c>
      <c r="G487" t="inlineStr">
        <is>
          <t>KARLSHAMN</t>
        </is>
      </c>
      <c r="I487" t="n">
        <v>1.1</v>
      </c>
      <c r="J487" t="n">
        <v>0</v>
      </c>
      <c r="K487" t="n">
        <v>0</v>
      </c>
      <c r="L487" t="n">
        <v>0</v>
      </c>
      <c r="M487" t="n">
        <v>0</v>
      </c>
      <c r="N487" t="n">
        <v>0</v>
      </c>
      <c r="O487" t="n">
        <v>0</v>
      </c>
      <c r="P487" t="n">
        <v>0</v>
      </c>
      <c r="Q487" t="n">
        <v>0</v>
      </c>
      <c r="R487" t="n">
        <v>0</v>
      </c>
      <c r="S487" t="n">
        <v>0</v>
      </c>
      <c r="T487" t="n">
        <v>0</v>
      </c>
      <c r="U487" s="2" t="inlineStr"/>
    </row>
    <row r="488" ht="15" customHeight="1">
      <c r="A488" t="inlineStr">
        <is>
          <t>A 52821-2022</t>
        </is>
      </c>
      <c r="B488" t="inlineStr">
        <is>
          <t>avverkningsanmälan</t>
        </is>
      </c>
      <c r="C488" t="inlineStr">
        <is>
          <t>Föryngringsavverkning</t>
        </is>
      </c>
      <c r="D488" s="1" t="n">
        <v>44875</v>
      </c>
      <c r="E488" s="1" t="n">
        <v>46216</v>
      </c>
      <c r="F488" t="inlineStr">
        <is>
          <t>BLEKINGE LÄN</t>
        </is>
      </c>
      <c r="G488" t="inlineStr">
        <is>
          <t>KARLSKRONA</t>
        </is>
      </c>
      <c r="I488" t="n">
        <v>0.5</v>
      </c>
      <c r="J488" t="n">
        <v>0</v>
      </c>
      <c r="K488" t="n">
        <v>0</v>
      </c>
      <c r="L488" t="n">
        <v>0</v>
      </c>
      <c r="M488" t="n">
        <v>0</v>
      </c>
      <c r="N488" t="n">
        <v>0</v>
      </c>
      <c r="O488" t="n">
        <v>0</v>
      </c>
      <c r="P488" t="n">
        <v>0</v>
      </c>
      <c r="Q488" t="n">
        <v>0</v>
      </c>
      <c r="R488" t="n">
        <v>0</v>
      </c>
      <c r="S488" t="n">
        <v>0</v>
      </c>
      <c r="T488" t="n">
        <v>0</v>
      </c>
      <c r="U488" s="2" t="inlineStr"/>
    </row>
    <row r="489" ht="15" customHeight="1">
      <c r="A489" t="inlineStr">
        <is>
          <t>A 58722-2023</t>
        </is>
      </c>
      <c r="B489" t="inlineStr">
        <is>
          <t>avverkningsanmälan</t>
        </is>
      </c>
      <c r="C489" t="inlineStr">
        <is>
          <t>Föryngringsavverkning</t>
        </is>
      </c>
      <c r="D489" s="1" t="n">
        <v>45251</v>
      </c>
      <c r="E489" s="1" t="n">
        <v>46216</v>
      </c>
      <c r="F489" t="inlineStr">
        <is>
          <t>BLEKINGE LÄN</t>
        </is>
      </c>
      <c r="G489" t="inlineStr">
        <is>
          <t>RONNEBY</t>
        </is>
      </c>
      <c r="H489" t="inlineStr">
        <is>
          <t>Övriga Aktiebolag</t>
        </is>
      </c>
      <c r="I489" t="n">
        <v>5.4</v>
      </c>
      <c r="J489" t="n">
        <v>0</v>
      </c>
      <c r="K489" t="n">
        <v>0</v>
      </c>
      <c r="L489" t="n">
        <v>0</v>
      </c>
      <c r="M489" t="n">
        <v>0</v>
      </c>
      <c r="N489" t="n">
        <v>0</v>
      </c>
      <c r="O489" t="n">
        <v>0</v>
      </c>
      <c r="P489" t="n">
        <v>0</v>
      </c>
      <c r="Q489" t="n">
        <v>0</v>
      </c>
      <c r="R489" t="n">
        <v>0</v>
      </c>
      <c r="S489" t="n">
        <v>0</v>
      </c>
      <c r="T489" t="n">
        <v>0</v>
      </c>
      <c r="U489" s="2" t="inlineStr"/>
    </row>
    <row r="490" ht="15" customHeight="1">
      <c r="A490" t="inlineStr">
        <is>
          <t>A 53118-2024</t>
        </is>
      </c>
      <c r="B490" t="inlineStr">
        <is>
          <t>avverkningsanmälan</t>
        </is>
      </c>
      <c r="C490" t="inlineStr">
        <is>
          <t>Föryngringsavverkning</t>
        </is>
      </c>
      <c r="D490" s="1" t="n">
        <v>45611</v>
      </c>
      <c r="E490" s="1" t="n">
        <v>46216</v>
      </c>
      <c r="F490" t="inlineStr">
        <is>
          <t>BLEKINGE LÄN</t>
        </is>
      </c>
      <c r="G490" t="inlineStr">
        <is>
          <t>KARLSHAMN</t>
        </is>
      </c>
      <c r="I490" t="n">
        <v>7.2</v>
      </c>
      <c r="J490" t="n">
        <v>0</v>
      </c>
      <c r="K490" t="n">
        <v>0</v>
      </c>
      <c r="L490" t="n">
        <v>0</v>
      </c>
      <c r="M490" t="n">
        <v>0</v>
      </c>
      <c r="N490" t="n">
        <v>0</v>
      </c>
      <c r="O490" t="n">
        <v>0</v>
      </c>
      <c r="P490" t="n">
        <v>0</v>
      </c>
      <c r="Q490" t="n">
        <v>0</v>
      </c>
      <c r="R490" t="n">
        <v>0</v>
      </c>
      <c r="S490" t="n">
        <v>0</v>
      </c>
      <c r="T490" t="n">
        <v>0</v>
      </c>
      <c r="U490" s="2" t="inlineStr"/>
    </row>
    <row r="491" ht="15" customHeight="1">
      <c r="A491" t="inlineStr">
        <is>
          <t>A 13380-2024</t>
        </is>
      </c>
      <c r="B491" t="inlineStr">
        <is>
          <t>avverkningsanmälan</t>
        </is>
      </c>
      <c r="C491" t="inlineStr">
        <is>
          <t>Föryngringsavverkning</t>
        </is>
      </c>
      <c r="D491" s="1" t="n">
        <v>45387</v>
      </c>
      <c r="E491" s="1" t="n">
        <v>46216</v>
      </c>
      <c r="F491" t="inlineStr">
        <is>
          <t>BLEKINGE LÄN</t>
        </is>
      </c>
      <c r="G491" t="inlineStr">
        <is>
          <t>KARLSKRONA</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58786-2022</t>
        </is>
      </c>
      <c r="B492" t="inlineStr">
        <is>
          <t>avverkningsanmälan</t>
        </is>
      </c>
      <c r="C492" t="inlineStr">
        <is>
          <t>Föryngringsavverkning</t>
        </is>
      </c>
      <c r="D492" s="1" t="n">
        <v>44903</v>
      </c>
      <c r="E492" s="1" t="n">
        <v>46216</v>
      </c>
      <c r="F492" t="inlineStr">
        <is>
          <t>BLEKINGE LÄN</t>
        </is>
      </c>
      <c r="G492" t="inlineStr">
        <is>
          <t>KARLSHAMN</t>
        </is>
      </c>
      <c r="I492" t="n">
        <v>6.8</v>
      </c>
      <c r="J492" t="n">
        <v>0</v>
      </c>
      <c r="K492" t="n">
        <v>0</v>
      </c>
      <c r="L492" t="n">
        <v>0</v>
      </c>
      <c r="M492" t="n">
        <v>0</v>
      </c>
      <c r="N492" t="n">
        <v>0</v>
      </c>
      <c r="O492" t="n">
        <v>0</v>
      </c>
      <c r="P492" t="n">
        <v>0</v>
      </c>
      <c r="Q492" t="n">
        <v>0</v>
      </c>
      <c r="R492" t="n">
        <v>0</v>
      </c>
      <c r="S492" t="n">
        <v>0</v>
      </c>
      <c r="T492" t="n">
        <v>0</v>
      </c>
      <c r="U492" s="2" t="inlineStr"/>
    </row>
    <row r="493" ht="15" customHeight="1">
      <c r="A493" t="inlineStr">
        <is>
          <t>A 35491-2024</t>
        </is>
      </c>
      <c r="B493" t="inlineStr">
        <is>
          <t>avverkningsanmälan</t>
        </is>
      </c>
      <c r="C493" t="inlineStr">
        <is>
          <t>Föryngringsavverkning</t>
        </is>
      </c>
      <c r="D493" s="1" t="n">
        <v>45531</v>
      </c>
      <c r="E493" s="1" t="n">
        <v>46216</v>
      </c>
      <c r="F493" t="inlineStr">
        <is>
          <t>BLEKINGE LÄN</t>
        </is>
      </c>
      <c r="G493" t="inlineStr">
        <is>
          <t>KARLSKRONA</t>
        </is>
      </c>
      <c r="I493" t="n">
        <v>3.3</v>
      </c>
      <c r="J493" t="n">
        <v>0</v>
      </c>
      <c r="K493" t="n">
        <v>0</v>
      </c>
      <c r="L493" t="n">
        <v>0</v>
      </c>
      <c r="M493" t="n">
        <v>0</v>
      </c>
      <c r="N493" t="n">
        <v>0</v>
      </c>
      <c r="O493" t="n">
        <v>0</v>
      </c>
      <c r="P493" t="n">
        <v>0</v>
      </c>
      <c r="Q493" t="n">
        <v>0</v>
      </c>
      <c r="R493" t="n">
        <v>0</v>
      </c>
      <c r="S493" t="n">
        <v>0</v>
      </c>
      <c r="T493" t="n">
        <v>0</v>
      </c>
      <c r="U493" s="2" t="inlineStr"/>
    </row>
    <row r="494" ht="15" customHeight="1">
      <c r="A494" t="inlineStr">
        <is>
          <t>A 60501-2024</t>
        </is>
      </c>
      <c r="B494" t="inlineStr">
        <is>
          <t>avverkningsanmälan</t>
        </is>
      </c>
      <c r="C494" t="inlineStr">
        <is>
          <t>Föryngringsavverkning</t>
        </is>
      </c>
      <c r="D494" s="1" t="n">
        <v>45643</v>
      </c>
      <c r="E494" s="1" t="n">
        <v>46216</v>
      </c>
      <c r="F494" t="inlineStr">
        <is>
          <t>BLEKINGE LÄN</t>
        </is>
      </c>
      <c r="G494" t="inlineStr">
        <is>
          <t>KARLSKRONA</t>
        </is>
      </c>
      <c r="I494" t="n">
        <v>0.6</v>
      </c>
      <c r="J494" t="n">
        <v>0</v>
      </c>
      <c r="K494" t="n">
        <v>0</v>
      </c>
      <c r="L494" t="n">
        <v>0</v>
      </c>
      <c r="M494" t="n">
        <v>0</v>
      </c>
      <c r="N494" t="n">
        <v>0</v>
      </c>
      <c r="O494" t="n">
        <v>0</v>
      </c>
      <c r="P494" t="n">
        <v>0</v>
      </c>
      <c r="Q494" t="n">
        <v>0</v>
      </c>
      <c r="R494" t="n">
        <v>0</v>
      </c>
      <c r="S494" t="n">
        <v>0</v>
      </c>
      <c r="T494" t="n">
        <v>0</v>
      </c>
      <c r="U494" s="2" t="inlineStr"/>
    </row>
    <row r="495" ht="15" customHeight="1">
      <c r="A495" t="inlineStr">
        <is>
          <t>A 12248-2023</t>
        </is>
      </c>
      <c r="B495" t="inlineStr">
        <is>
          <t>avverkningsanmälan</t>
        </is>
      </c>
      <c r="C495" t="inlineStr">
        <is>
          <t>Föryngringsavverkning</t>
        </is>
      </c>
      <c r="D495" s="1" t="n">
        <v>44998</v>
      </c>
      <c r="E495" s="1" t="n">
        <v>46216</v>
      </c>
      <c r="F495" t="inlineStr">
        <is>
          <t>BLEKINGE LÄN</t>
        </is>
      </c>
      <c r="G495" t="inlineStr">
        <is>
          <t>KARLSKRONA</t>
        </is>
      </c>
      <c r="I495" t="n">
        <v>10.5</v>
      </c>
      <c r="J495" t="n">
        <v>0</v>
      </c>
      <c r="K495" t="n">
        <v>0</v>
      </c>
      <c r="L495" t="n">
        <v>0</v>
      </c>
      <c r="M495" t="n">
        <v>0</v>
      </c>
      <c r="N495" t="n">
        <v>0</v>
      </c>
      <c r="O495" t="n">
        <v>0</v>
      </c>
      <c r="P495" t="n">
        <v>0</v>
      </c>
      <c r="Q495" t="n">
        <v>0</v>
      </c>
      <c r="R495" t="n">
        <v>0</v>
      </c>
      <c r="S495" t="n">
        <v>0</v>
      </c>
      <c r="T495" t="n">
        <v>0</v>
      </c>
      <c r="U495" s="2" t="inlineStr"/>
    </row>
    <row r="496" ht="15" customHeight="1">
      <c r="A496" t="inlineStr">
        <is>
          <t>A 30853-2022</t>
        </is>
      </c>
      <c r="B496" t="inlineStr">
        <is>
          <t>avverkningsanmälan</t>
        </is>
      </c>
      <c r="C496" t="inlineStr">
        <is>
          <t>Föryngringsavverkning</t>
        </is>
      </c>
      <c r="D496" s="1" t="n">
        <v>44747</v>
      </c>
      <c r="E496" s="1" t="n">
        <v>46216</v>
      </c>
      <c r="F496" t="inlineStr">
        <is>
          <t>BLEKINGE LÄN</t>
        </is>
      </c>
      <c r="G496" t="inlineStr">
        <is>
          <t>KARLSKRONA</t>
        </is>
      </c>
      <c r="I496" t="n">
        <v>3</v>
      </c>
      <c r="J496" t="n">
        <v>0</v>
      </c>
      <c r="K496" t="n">
        <v>0</v>
      </c>
      <c r="L496" t="n">
        <v>0</v>
      </c>
      <c r="M496" t="n">
        <v>0</v>
      </c>
      <c r="N496" t="n">
        <v>0</v>
      </c>
      <c r="O496" t="n">
        <v>0</v>
      </c>
      <c r="P496" t="n">
        <v>0</v>
      </c>
      <c r="Q496" t="n">
        <v>0</v>
      </c>
      <c r="R496" t="n">
        <v>0</v>
      </c>
      <c r="S496" t="n">
        <v>0</v>
      </c>
      <c r="T496" t="n">
        <v>0</v>
      </c>
      <c r="U496" s="2" t="inlineStr"/>
    </row>
    <row r="497" ht="15" customHeight="1">
      <c r="A497" t="inlineStr">
        <is>
          <t>A 24155-2024</t>
        </is>
      </c>
      <c r="B497" t="inlineStr">
        <is>
          <t>avverkningsanmälan</t>
        </is>
      </c>
      <c r="C497" t="inlineStr">
        <is>
          <t>Föryngringsavverkning</t>
        </is>
      </c>
      <c r="D497" s="1" t="n">
        <v>45456</v>
      </c>
      <c r="E497" s="1" t="n">
        <v>46216</v>
      </c>
      <c r="F497" t="inlineStr">
        <is>
          <t>BLEKINGE LÄN</t>
        </is>
      </c>
      <c r="G497" t="inlineStr">
        <is>
          <t>KARLSKRONA</t>
        </is>
      </c>
      <c r="I497" t="n">
        <v>2.5</v>
      </c>
      <c r="J497" t="n">
        <v>0</v>
      </c>
      <c r="K497" t="n">
        <v>0</v>
      </c>
      <c r="L497" t="n">
        <v>0</v>
      </c>
      <c r="M497" t="n">
        <v>0</v>
      </c>
      <c r="N497" t="n">
        <v>0</v>
      </c>
      <c r="O497" t="n">
        <v>0</v>
      </c>
      <c r="P497" t="n">
        <v>0</v>
      </c>
      <c r="Q497" t="n">
        <v>0</v>
      </c>
      <c r="R497" t="n">
        <v>0</v>
      </c>
      <c r="S497" t="n">
        <v>0</v>
      </c>
      <c r="T497" t="n">
        <v>0</v>
      </c>
      <c r="U497" s="2" t="inlineStr"/>
    </row>
    <row r="498" ht="15" customHeight="1">
      <c r="A498" t="inlineStr">
        <is>
          <t>A 29785-2023</t>
        </is>
      </c>
      <c r="B498" t="inlineStr">
        <is>
          <t>avverkningsanmälan</t>
        </is>
      </c>
      <c r="C498" t="inlineStr">
        <is>
          <t>Föryngringsavverkning</t>
        </is>
      </c>
      <c r="D498" s="1" t="n">
        <v>45107</v>
      </c>
      <c r="E498" s="1" t="n">
        <v>46216</v>
      </c>
      <c r="F498" t="inlineStr">
        <is>
          <t>BLEKINGE LÄN</t>
        </is>
      </c>
      <c r="G498" t="inlineStr">
        <is>
          <t>KARLSKRONA</t>
        </is>
      </c>
      <c r="I498" t="n">
        <v>3.5</v>
      </c>
      <c r="J498" t="n">
        <v>0</v>
      </c>
      <c r="K498" t="n">
        <v>0</v>
      </c>
      <c r="L498" t="n">
        <v>0</v>
      </c>
      <c r="M498" t="n">
        <v>0</v>
      </c>
      <c r="N498" t="n">
        <v>0</v>
      </c>
      <c r="O498" t="n">
        <v>0</v>
      </c>
      <c r="P498" t="n">
        <v>0</v>
      </c>
      <c r="Q498" t="n">
        <v>0</v>
      </c>
      <c r="R498" t="n">
        <v>0</v>
      </c>
      <c r="S498" t="n">
        <v>0</v>
      </c>
      <c r="T498" t="n">
        <v>0</v>
      </c>
      <c r="U498" s="2" t="inlineStr"/>
    </row>
    <row r="499" ht="15" customHeight="1">
      <c r="A499" t="inlineStr">
        <is>
          <t>A 49034-2022</t>
        </is>
      </c>
      <c r="B499" t="inlineStr">
        <is>
          <t>avverkningsanmälan</t>
        </is>
      </c>
      <c r="C499" t="inlineStr">
        <is>
          <t>Föryngringsavverkning</t>
        </is>
      </c>
      <c r="D499" s="1" t="n">
        <v>44860</v>
      </c>
      <c r="E499" s="1" t="n">
        <v>46216</v>
      </c>
      <c r="F499" t="inlineStr">
        <is>
          <t>BLEKINGE LÄN</t>
        </is>
      </c>
      <c r="G499" t="inlineStr">
        <is>
          <t>KARLSKRONA</t>
        </is>
      </c>
      <c r="I499" t="n">
        <v>2</v>
      </c>
      <c r="J499" t="n">
        <v>0</v>
      </c>
      <c r="K499" t="n">
        <v>0</v>
      </c>
      <c r="L499" t="n">
        <v>0</v>
      </c>
      <c r="M499" t="n">
        <v>0</v>
      </c>
      <c r="N499" t="n">
        <v>0</v>
      </c>
      <c r="O499" t="n">
        <v>0</v>
      </c>
      <c r="P499" t="n">
        <v>0</v>
      </c>
      <c r="Q499" t="n">
        <v>0</v>
      </c>
      <c r="R499" t="n">
        <v>0</v>
      </c>
      <c r="S499" t="n">
        <v>0</v>
      </c>
      <c r="T499" t="n">
        <v>0</v>
      </c>
      <c r="U499" s="2" t="inlineStr"/>
    </row>
    <row r="500" ht="15" customHeight="1">
      <c r="A500" t="inlineStr">
        <is>
          <t>A 38439-2023</t>
        </is>
      </c>
      <c r="B500" t="inlineStr">
        <is>
          <t>avverkningsanmälan</t>
        </is>
      </c>
      <c r="C500" t="inlineStr">
        <is>
          <t>Föryngringsavverkning</t>
        </is>
      </c>
      <c r="D500" s="1" t="n">
        <v>45162</v>
      </c>
      <c r="E500" s="1" t="n">
        <v>46216</v>
      </c>
      <c r="F500" t="inlineStr">
        <is>
          <t>BLEKINGE LÄN</t>
        </is>
      </c>
      <c r="G500" t="inlineStr">
        <is>
          <t>OLOFSTRÖM</t>
        </is>
      </c>
      <c r="I500" t="n">
        <v>0.4</v>
      </c>
      <c r="J500" t="n">
        <v>0</v>
      </c>
      <c r="K500" t="n">
        <v>0</v>
      </c>
      <c r="L500" t="n">
        <v>0</v>
      </c>
      <c r="M500" t="n">
        <v>0</v>
      </c>
      <c r="N500" t="n">
        <v>0</v>
      </c>
      <c r="O500" t="n">
        <v>0</v>
      </c>
      <c r="P500" t="n">
        <v>0</v>
      </c>
      <c r="Q500" t="n">
        <v>0</v>
      </c>
      <c r="R500" t="n">
        <v>0</v>
      </c>
      <c r="S500" t="n">
        <v>0</v>
      </c>
      <c r="T500" t="n">
        <v>0</v>
      </c>
      <c r="U500" s="2" t="inlineStr"/>
    </row>
    <row r="501" ht="15" customHeight="1">
      <c r="A501" t="inlineStr">
        <is>
          <t>A 59006-2022</t>
        </is>
      </c>
      <c r="B501" t="inlineStr">
        <is>
          <t>avverkningsanmälan</t>
        </is>
      </c>
      <c r="C501" t="inlineStr">
        <is>
          <t>Föryngringsavverkning</t>
        </is>
      </c>
      <c r="D501" s="1" t="n">
        <v>44903</v>
      </c>
      <c r="E501" s="1" t="n">
        <v>46216</v>
      </c>
      <c r="F501" t="inlineStr">
        <is>
          <t>BLEKINGE LÄN</t>
        </is>
      </c>
      <c r="G501" t="inlineStr">
        <is>
          <t>RONNEBY</t>
        </is>
      </c>
      <c r="I501" t="n">
        <v>0.7</v>
      </c>
      <c r="J501" t="n">
        <v>0</v>
      </c>
      <c r="K501" t="n">
        <v>0</v>
      </c>
      <c r="L501" t="n">
        <v>0</v>
      </c>
      <c r="M501" t="n">
        <v>0</v>
      </c>
      <c r="N501" t="n">
        <v>0</v>
      </c>
      <c r="O501" t="n">
        <v>0</v>
      </c>
      <c r="P501" t="n">
        <v>0</v>
      </c>
      <c r="Q501" t="n">
        <v>0</v>
      </c>
      <c r="R501" t="n">
        <v>0</v>
      </c>
      <c r="S501" t="n">
        <v>0</v>
      </c>
      <c r="T501" t="n">
        <v>0</v>
      </c>
      <c r="U501" s="2" t="inlineStr"/>
    </row>
    <row r="502" ht="15" customHeight="1">
      <c r="A502" t="inlineStr">
        <is>
          <t>A 32698-2023</t>
        </is>
      </c>
      <c r="B502" t="inlineStr">
        <is>
          <t>avverkningsanmälan</t>
        </is>
      </c>
      <c r="C502" t="inlineStr">
        <is>
          <t>Föryngringsavverkning</t>
        </is>
      </c>
      <c r="D502" s="1" t="n">
        <v>45121</v>
      </c>
      <c r="E502" s="1" t="n">
        <v>46216</v>
      </c>
      <c r="F502" t="inlineStr">
        <is>
          <t>BLEKINGE LÄN</t>
        </is>
      </c>
      <c r="G502" t="inlineStr">
        <is>
          <t>RONNEBY</t>
        </is>
      </c>
      <c r="I502" t="n">
        <v>1</v>
      </c>
      <c r="J502" t="n">
        <v>0</v>
      </c>
      <c r="K502" t="n">
        <v>0</v>
      </c>
      <c r="L502" t="n">
        <v>0</v>
      </c>
      <c r="M502" t="n">
        <v>0</v>
      </c>
      <c r="N502" t="n">
        <v>0</v>
      </c>
      <c r="O502" t="n">
        <v>0</v>
      </c>
      <c r="P502" t="n">
        <v>0</v>
      </c>
      <c r="Q502" t="n">
        <v>0</v>
      </c>
      <c r="R502" t="n">
        <v>0</v>
      </c>
      <c r="S502" t="n">
        <v>0</v>
      </c>
      <c r="T502" t="n">
        <v>0</v>
      </c>
      <c r="U502" s="2" t="inlineStr"/>
    </row>
    <row r="503" ht="15" customHeight="1">
      <c r="A503" t="inlineStr">
        <is>
          <t>A 11644-2024</t>
        </is>
      </c>
      <c r="B503" t="inlineStr">
        <is>
          <t>avverkningsanmälan</t>
        </is>
      </c>
      <c r="C503" t="inlineStr">
        <is>
          <t>Föryngringsavverkning</t>
        </is>
      </c>
      <c r="D503" s="1" t="n">
        <v>45373</v>
      </c>
      <c r="E503" s="1" t="n">
        <v>46216</v>
      </c>
      <c r="F503" t="inlineStr">
        <is>
          <t>BLEKINGE LÄN</t>
        </is>
      </c>
      <c r="G503" t="inlineStr">
        <is>
          <t>KARLSKRONA</t>
        </is>
      </c>
      <c r="I503" t="n">
        <v>2</v>
      </c>
      <c r="J503" t="n">
        <v>0</v>
      </c>
      <c r="K503" t="n">
        <v>0</v>
      </c>
      <c r="L503" t="n">
        <v>0</v>
      </c>
      <c r="M503" t="n">
        <v>0</v>
      </c>
      <c r="N503" t="n">
        <v>0</v>
      </c>
      <c r="O503" t="n">
        <v>0</v>
      </c>
      <c r="P503" t="n">
        <v>0</v>
      </c>
      <c r="Q503" t="n">
        <v>0</v>
      </c>
      <c r="R503" t="n">
        <v>0</v>
      </c>
      <c r="S503" t="n">
        <v>0</v>
      </c>
      <c r="T503" t="n">
        <v>0</v>
      </c>
      <c r="U503" s="2" t="inlineStr"/>
    </row>
    <row r="504" ht="15" customHeight="1">
      <c r="A504" t="inlineStr">
        <is>
          <t>A 56201-2022</t>
        </is>
      </c>
      <c r="B504" t="inlineStr">
        <is>
          <t>avverkningsanmälan</t>
        </is>
      </c>
      <c r="C504" t="inlineStr">
        <is>
          <t>Föryngringsavverkning</t>
        </is>
      </c>
      <c r="D504" s="1" t="n">
        <v>44890</v>
      </c>
      <c r="E504" s="1" t="n">
        <v>46216</v>
      </c>
      <c r="F504" t="inlineStr">
        <is>
          <t>BLEKINGE LÄN</t>
        </is>
      </c>
      <c r="G504" t="inlineStr">
        <is>
          <t>KARLSKRONA</t>
        </is>
      </c>
      <c r="I504" t="n">
        <v>2</v>
      </c>
      <c r="J504" t="n">
        <v>0</v>
      </c>
      <c r="K504" t="n">
        <v>0</v>
      </c>
      <c r="L504" t="n">
        <v>0</v>
      </c>
      <c r="M504" t="n">
        <v>0</v>
      </c>
      <c r="N504" t="n">
        <v>0</v>
      </c>
      <c r="O504" t="n">
        <v>0</v>
      </c>
      <c r="P504" t="n">
        <v>0</v>
      </c>
      <c r="Q504" t="n">
        <v>0</v>
      </c>
      <c r="R504" t="n">
        <v>0</v>
      </c>
      <c r="S504" t="n">
        <v>0</v>
      </c>
      <c r="T504" t="n">
        <v>0</v>
      </c>
      <c r="U504" s="2" t="inlineStr"/>
    </row>
    <row r="505" ht="15" customHeight="1">
      <c r="A505" t="inlineStr">
        <is>
          <t>A 27267-2022</t>
        </is>
      </c>
      <c r="B505" t="inlineStr">
        <is>
          <t>avverkningsanmälan</t>
        </is>
      </c>
      <c r="C505" t="inlineStr">
        <is>
          <t>Föryngringsavverkning</t>
        </is>
      </c>
      <c r="D505" s="1" t="n">
        <v>44741</v>
      </c>
      <c r="E505" s="1" t="n">
        <v>46216</v>
      </c>
      <c r="F505" t="inlineStr">
        <is>
          <t>BLEKINGE LÄN</t>
        </is>
      </c>
      <c r="G505" t="inlineStr">
        <is>
          <t>KARLSKRONA</t>
        </is>
      </c>
      <c r="I505" t="n">
        <v>3.5</v>
      </c>
      <c r="J505" t="n">
        <v>0</v>
      </c>
      <c r="K505" t="n">
        <v>0</v>
      </c>
      <c r="L505" t="n">
        <v>0</v>
      </c>
      <c r="M505" t="n">
        <v>0</v>
      </c>
      <c r="N505" t="n">
        <v>0</v>
      </c>
      <c r="O505" t="n">
        <v>0</v>
      </c>
      <c r="P505" t="n">
        <v>0</v>
      </c>
      <c r="Q505" t="n">
        <v>0</v>
      </c>
      <c r="R505" t="n">
        <v>0</v>
      </c>
      <c r="S505" t="n">
        <v>0</v>
      </c>
      <c r="T505" t="n">
        <v>0</v>
      </c>
      <c r="U505" s="2" t="inlineStr"/>
    </row>
    <row r="506" ht="15" customHeight="1">
      <c r="A506" t="inlineStr">
        <is>
          <t>A 14359-2023</t>
        </is>
      </c>
      <c r="B506" t="inlineStr">
        <is>
          <t>avverkningsanmälan</t>
        </is>
      </c>
      <c r="C506" t="inlineStr">
        <is>
          <t>Föryngringsavverkning</t>
        </is>
      </c>
      <c r="D506" s="1" t="n">
        <v>45012</v>
      </c>
      <c r="E506" s="1" t="n">
        <v>46216</v>
      </c>
      <c r="F506" t="inlineStr">
        <is>
          <t>BLEKINGE LÄN</t>
        </is>
      </c>
      <c r="G506" t="inlineStr">
        <is>
          <t>RONNEBY</t>
        </is>
      </c>
      <c r="I506" t="n">
        <v>5.1</v>
      </c>
      <c r="J506" t="n">
        <v>0</v>
      </c>
      <c r="K506" t="n">
        <v>0</v>
      </c>
      <c r="L506" t="n">
        <v>0</v>
      </c>
      <c r="M506" t="n">
        <v>0</v>
      </c>
      <c r="N506" t="n">
        <v>0</v>
      </c>
      <c r="O506" t="n">
        <v>0</v>
      </c>
      <c r="P506" t="n">
        <v>0</v>
      </c>
      <c r="Q506" t="n">
        <v>0</v>
      </c>
      <c r="R506" t="n">
        <v>0</v>
      </c>
      <c r="S506" t="n">
        <v>0</v>
      </c>
      <c r="T506" t="n">
        <v>0</v>
      </c>
      <c r="U506" s="2" t="inlineStr"/>
    </row>
    <row r="507" ht="15" customHeight="1">
      <c r="A507" t="inlineStr">
        <is>
          <t>A 3115-2023</t>
        </is>
      </c>
      <c r="B507" t="inlineStr">
        <is>
          <t>avverkningsanmälan</t>
        </is>
      </c>
      <c r="C507" t="inlineStr">
        <is>
          <t>Föryngringsavverkning</t>
        </is>
      </c>
      <c r="D507" s="1" t="n">
        <v>44946</v>
      </c>
      <c r="E507" s="1" t="n">
        <v>46216</v>
      </c>
      <c r="F507" t="inlineStr">
        <is>
          <t>BLEKINGE LÄN</t>
        </is>
      </c>
      <c r="G507" t="inlineStr">
        <is>
          <t>KARLSKRONA</t>
        </is>
      </c>
      <c r="I507" t="n">
        <v>3.4</v>
      </c>
      <c r="J507" t="n">
        <v>0</v>
      </c>
      <c r="K507" t="n">
        <v>0</v>
      </c>
      <c r="L507" t="n">
        <v>0</v>
      </c>
      <c r="M507" t="n">
        <v>0</v>
      </c>
      <c r="N507" t="n">
        <v>0</v>
      </c>
      <c r="O507" t="n">
        <v>0</v>
      </c>
      <c r="P507" t="n">
        <v>0</v>
      </c>
      <c r="Q507" t="n">
        <v>0</v>
      </c>
      <c r="R507" t="n">
        <v>0</v>
      </c>
      <c r="S507" t="n">
        <v>0</v>
      </c>
      <c r="T507" t="n">
        <v>0</v>
      </c>
      <c r="U507" s="2" t="inlineStr"/>
    </row>
    <row r="508" ht="15" customHeight="1">
      <c r="A508" t="inlineStr">
        <is>
          <t>A 2095-2023</t>
        </is>
      </c>
      <c r="B508" t="inlineStr">
        <is>
          <t>avverkningsanmälan</t>
        </is>
      </c>
      <c r="C508" t="inlineStr">
        <is>
          <t>Föryngringsavverkning</t>
        </is>
      </c>
      <c r="D508" s="1" t="n">
        <v>44939</v>
      </c>
      <c r="E508" s="1" t="n">
        <v>46216</v>
      </c>
      <c r="F508" t="inlineStr">
        <is>
          <t>BLEKINGE LÄN</t>
        </is>
      </c>
      <c r="G508" t="inlineStr">
        <is>
          <t>KARLSKRONA</t>
        </is>
      </c>
      <c r="I508" t="n">
        <v>2.3</v>
      </c>
      <c r="J508" t="n">
        <v>0</v>
      </c>
      <c r="K508" t="n">
        <v>0</v>
      </c>
      <c r="L508" t="n">
        <v>0</v>
      </c>
      <c r="M508" t="n">
        <v>0</v>
      </c>
      <c r="N508" t="n">
        <v>0</v>
      </c>
      <c r="O508" t="n">
        <v>0</v>
      </c>
      <c r="P508" t="n">
        <v>0</v>
      </c>
      <c r="Q508" t="n">
        <v>0</v>
      </c>
      <c r="R508" t="n">
        <v>0</v>
      </c>
      <c r="S508" t="n">
        <v>0</v>
      </c>
      <c r="T508" t="n">
        <v>0</v>
      </c>
      <c r="U508" s="2" t="inlineStr"/>
    </row>
    <row r="509" ht="15" customHeight="1">
      <c r="A509" t="inlineStr">
        <is>
          <t>A 48182-2023</t>
        </is>
      </c>
      <c r="B509" t="inlineStr">
        <is>
          <t>avverkningsanmälan</t>
        </is>
      </c>
      <c r="C509" t="inlineStr">
        <is>
          <t>Föryngringsavverkning</t>
        </is>
      </c>
      <c r="D509" s="1" t="n">
        <v>45205</v>
      </c>
      <c r="E509" s="1" t="n">
        <v>46216</v>
      </c>
      <c r="F509" t="inlineStr">
        <is>
          <t>BLEKINGE LÄN</t>
        </is>
      </c>
      <c r="G509" t="inlineStr">
        <is>
          <t>KARLSHAMN</t>
        </is>
      </c>
      <c r="I509" t="n">
        <v>2.1</v>
      </c>
      <c r="J509" t="n">
        <v>0</v>
      </c>
      <c r="K509" t="n">
        <v>0</v>
      </c>
      <c r="L509" t="n">
        <v>0</v>
      </c>
      <c r="M509" t="n">
        <v>0</v>
      </c>
      <c r="N509" t="n">
        <v>0</v>
      </c>
      <c r="O509" t="n">
        <v>0</v>
      </c>
      <c r="P509" t="n">
        <v>0</v>
      </c>
      <c r="Q509" t="n">
        <v>0</v>
      </c>
      <c r="R509" t="n">
        <v>0</v>
      </c>
      <c r="S509" t="n">
        <v>0</v>
      </c>
      <c r="T509" t="n">
        <v>0</v>
      </c>
      <c r="U509" s="2" t="inlineStr"/>
    </row>
    <row r="510" ht="15" customHeight="1">
      <c r="A510" t="inlineStr">
        <is>
          <t>A 24474-2024</t>
        </is>
      </c>
      <c r="B510" t="inlineStr">
        <is>
          <t>avverkningsanmälan</t>
        </is>
      </c>
      <c r="C510" t="inlineStr">
        <is>
          <t>Föryngringsavverkning</t>
        </is>
      </c>
      <c r="D510" s="1" t="n">
        <v>45458</v>
      </c>
      <c r="E510" s="1" t="n">
        <v>46216</v>
      </c>
      <c r="F510" t="inlineStr">
        <is>
          <t>BLEKINGE LÄN</t>
        </is>
      </c>
      <c r="G510" t="inlineStr">
        <is>
          <t>KARLSKRONA</t>
        </is>
      </c>
      <c r="I510" t="n">
        <v>0.7</v>
      </c>
      <c r="J510" t="n">
        <v>0</v>
      </c>
      <c r="K510" t="n">
        <v>0</v>
      </c>
      <c r="L510" t="n">
        <v>0</v>
      </c>
      <c r="M510" t="n">
        <v>0</v>
      </c>
      <c r="N510" t="n">
        <v>0</v>
      </c>
      <c r="O510" t="n">
        <v>0</v>
      </c>
      <c r="P510" t="n">
        <v>0</v>
      </c>
      <c r="Q510" t="n">
        <v>0</v>
      </c>
      <c r="R510" t="n">
        <v>0</v>
      </c>
      <c r="S510" t="n">
        <v>0</v>
      </c>
      <c r="T510" t="n">
        <v>0</v>
      </c>
      <c r="U510" s="2" t="inlineStr"/>
    </row>
    <row r="511" ht="15" customHeight="1">
      <c r="A511" t="inlineStr">
        <is>
          <t>A 16639-2022</t>
        </is>
      </c>
      <c r="B511" t="inlineStr">
        <is>
          <t>avverkningsanmälan</t>
        </is>
      </c>
      <c r="C511" t="inlineStr">
        <is>
          <t>Föryngringsavverkning</t>
        </is>
      </c>
      <c r="D511" s="1" t="n">
        <v>44672</v>
      </c>
      <c r="E511" s="1" t="n">
        <v>46216</v>
      </c>
      <c r="F511" t="inlineStr">
        <is>
          <t>BLEKINGE LÄN</t>
        </is>
      </c>
      <c r="G511" t="inlineStr">
        <is>
          <t>KARLSKRONA</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40284-2023</t>
        </is>
      </c>
      <c r="B512" t="inlineStr">
        <is>
          <t>avverkningsanmälan</t>
        </is>
      </c>
      <c r="C512" t="inlineStr">
        <is>
          <t>Föryngringsavverkning</t>
        </is>
      </c>
      <c r="D512" s="1" t="n">
        <v>45169</v>
      </c>
      <c r="E512" s="1" t="n">
        <v>46216</v>
      </c>
      <c r="F512" t="inlineStr">
        <is>
          <t>BLEKINGE LÄN</t>
        </is>
      </c>
      <c r="G512" t="inlineStr">
        <is>
          <t>OLOFSTRÖM</t>
        </is>
      </c>
      <c r="I512" t="n">
        <v>5.2</v>
      </c>
      <c r="J512" t="n">
        <v>0</v>
      </c>
      <c r="K512" t="n">
        <v>0</v>
      </c>
      <c r="L512" t="n">
        <v>0</v>
      </c>
      <c r="M512" t="n">
        <v>0</v>
      </c>
      <c r="N512" t="n">
        <v>0</v>
      </c>
      <c r="O512" t="n">
        <v>0</v>
      </c>
      <c r="P512" t="n">
        <v>0</v>
      </c>
      <c r="Q512" t="n">
        <v>0</v>
      </c>
      <c r="R512" t="n">
        <v>0</v>
      </c>
      <c r="S512" t="n">
        <v>0</v>
      </c>
      <c r="T512" t="n">
        <v>0</v>
      </c>
      <c r="U512" s="2" t="inlineStr"/>
    </row>
    <row r="513" ht="15" customHeight="1">
      <c r="A513" t="inlineStr">
        <is>
          <t>A 19645-2023</t>
        </is>
      </c>
      <c r="B513" t="inlineStr">
        <is>
          <t>avverkningsanmälan</t>
        </is>
      </c>
      <c r="C513" t="inlineStr">
        <is>
          <t>Föryngringsavverkning</t>
        </is>
      </c>
      <c r="D513" s="1" t="n">
        <v>45051</v>
      </c>
      <c r="E513" s="1" t="n">
        <v>46216</v>
      </c>
      <c r="F513" t="inlineStr">
        <is>
          <t>BLEKINGE LÄN</t>
        </is>
      </c>
      <c r="G513" t="inlineStr">
        <is>
          <t>KARLSKRONA</t>
        </is>
      </c>
      <c r="I513" t="n">
        <v>2.3</v>
      </c>
      <c r="J513" t="n">
        <v>0</v>
      </c>
      <c r="K513" t="n">
        <v>0</v>
      </c>
      <c r="L513" t="n">
        <v>0</v>
      </c>
      <c r="M513" t="n">
        <v>0</v>
      </c>
      <c r="N513" t="n">
        <v>0</v>
      </c>
      <c r="O513" t="n">
        <v>0</v>
      </c>
      <c r="P513" t="n">
        <v>0</v>
      </c>
      <c r="Q513" t="n">
        <v>0</v>
      </c>
      <c r="R513" t="n">
        <v>0</v>
      </c>
      <c r="S513" t="n">
        <v>0</v>
      </c>
      <c r="T513" t="n">
        <v>0</v>
      </c>
      <c r="U513" s="2" t="inlineStr"/>
    </row>
    <row r="514" ht="15" customHeight="1">
      <c r="A514" t="inlineStr">
        <is>
          <t>A 49941-2023</t>
        </is>
      </c>
      <c r="B514" t="inlineStr">
        <is>
          <t>avverkningsanmälan</t>
        </is>
      </c>
      <c r="C514" t="inlineStr">
        <is>
          <t>Föryngringsavverkning</t>
        </is>
      </c>
      <c r="D514" s="1" t="n">
        <v>45215</v>
      </c>
      <c r="E514" s="1" t="n">
        <v>46216</v>
      </c>
      <c r="F514" t="inlineStr">
        <is>
          <t>BLEKINGE LÄN</t>
        </is>
      </c>
      <c r="G514" t="inlineStr">
        <is>
          <t>KARLSKRONA</t>
        </is>
      </c>
      <c r="I514" t="n">
        <v>1.7</v>
      </c>
      <c r="J514" t="n">
        <v>0</v>
      </c>
      <c r="K514" t="n">
        <v>0</v>
      </c>
      <c r="L514" t="n">
        <v>0</v>
      </c>
      <c r="M514" t="n">
        <v>0</v>
      </c>
      <c r="N514" t="n">
        <v>0</v>
      </c>
      <c r="O514" t="n">
        <v>0</v>
      </c>
      <c r="P514" t="n">
        <v>0</v>
      </c>
      <c r="Q514" t="n">
        <v>0</v>
      </c>
      <c r="R514" t="n">
        <v>0</v>
      </c>
      <c r="S514" t="n">
        <v>0</v>
      </c>
      <c r="T514" t="n">
        <v>0</v>
      </c>
      <c r="U514" s="2" t="inlineStr"/>
    </row>
    <row r="515" ht="15" customHeight="1">
      <c r="A515" t="inlineStr">
        <is>
          <t>A 1601-2023</t>
        </is>
      </c>
      <c r="B515" t="inlineStr">
        <is>
          <t>avverkningsanmälan</t>
        </is>
      </c>
      <c r="C515" t="inlineStr">
        <is>
          <t>Föryngringsavverkning</t>
        </is>
      </c>
      <c r="D515" s="1" t="n">
        <v>44937</v>
      </c>
      <c r="E515" s="1" t="n">
        <v>46216</v>
      </c>
      <c r="F515" t="inlineStr">
        <is>
          <t>BLEKINGE LÄN</t>
        </is>
      </c>
      <c r="G515" t="inlineStr">
        <is>
          <t>KARLSKRONA</t>
        </is>
      </c>
      <c r="I515" t="n">
        <v>0.6</v>
      </c>
      <c r="J515" t="n">
        <v>0</v>
      </c>
      <c r="K515" t="n">
        <v>0</v>
      </c>
      <c r="L515" t="n">
        <v>0</v>
      </c>
      <c r="M515" t="n">
        <v>0</v>
      </c>
      <c r="N515" t="n">
        <v>0</v>
      </c>
      <c r="O515" t="n">
        <v>0</v>
      </c>
      <c r="P515" t="n">
        <v>0</v>
      </c>
      <c r="Q515" t="n">
        <v>0</v>
      </c>
      <c r="R515" t="n">
        <v>0</v>
      </c>
      <c r="S515" t="n">
        <v>0</v>
      </c>
      <c r="T515" t="n">
        <v>0</v>
      </c>
      <c r="U515" s="2" t="inlineStr"/>
    </row>
    <row r="516" ht="15" customHeight="1">
      <c r="A516" t="inlineStr">
        <is>
          <t>A 17070-2024</t>
        </is>
      </c>
      <c r="B516" t="inlineStr">
        <is>
          <t>avverkningsanmälan</t>
        </is>
      </c>
      <c r="C516" t="inlineStr">
        <is>
          <t>Föryngringsavverkning</t>
        </is>
      </c>
      <c r="D516" s="1" t="n">
        <v>45412</v>
      </c>
      <c r="E516" s="1" t="n">
        <v>46216</v>
      </c>
      <c r="F516" t="inlineStr">
        <is>
          <t>BLEKINGE LÄN</t>
        </is>
      </c>
      <c r="G516" t="inlineStr">
        <is>
          <t>KARLSHAMN</t>
        </is>
      </c>
      <c r="H516" t="inlineStr">
        <is>
          <t>Kyrkan</t>
        </is>
      </c>
      <c r="I516" t="n">
        <v>1.3</v>
      </c>
      <c r="J516" t="n">
        <v>0</v>
      </c>
      <c r="K516" t="n">
        <v>0</v>
      </c>
      <c r="L516" t="n">
        <v>0</v>
      </c>
      <c r="M516" t="n">
        <v>0</v>
      </c>
      <c r="N516" t="n">
        <v>0</v>
      </c>
      <c r="O516" t="n">
        <v>0</v>
      </c>
      <c r="P516" t="n">
        <v>0</v>
      </c>
      <c r="Q516" t="n">
        <v>0</v>
      </c>
      <c r="R516" t="n">
        <v>0</v>
      </c>
      <c r="S516" t="n">
        <v>0</v>
      </c>
      <c r="T516" t="n">
        <v>0</v>
      </c>
      <c r="U516" s="2" t="inlineStr"/>
    </row>
    <row r="517" ht="15" customHeight="1">
      <c r="A517" t="inlineStr">
        <is>
          <t>A 15241-2023</t>
        </is>
      </c>
      <c r="B517" t="inlineStr">
        <is>
          <t>avverkningsanmälan</t>
        </is>
      </c>
      <c r="C517" t="inlineStr">
        <is>
          <t>Föryngringsavverkning</t>
        </is>
      </c>
      <c r="D517" s="1" t="n">
        <v>45019</v>
      </c>
      <c r="E517" s="1" t="n">
        <v>46216</v>
      </c>
      <c r="F517" t="inlineStr">
        <is>
          <t>BLEKINGE LÄN</t>
        </is>
      </c>
      <c r="G517" t="inlineStr">
        <is>
          <t>KARLSKRONA</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19745-2023</t>
        </is>
      </c>
      <c r="B518" t="inlineStr">
        <is>
          <t>avverkningsanmälan</t>
        </is>
      </c>
      <c r="C518" t="inlineStr">
        <is>
          <t>Föryngringsavverkning</t>
        </is>
      </c>
      <c r="D518" s="1" t="n">
        <v>45051</v>
      </c>
      <c r="E518" s="1" t="n">
        <v>46216</v>
      </c>
      <c r="F518" t="inlineStr">
        <is>
          <t>BLEKINGE LÄN</t>
        </is>
      </c>
      <c r="G518" t="inlineStr">
        <is>
          <t>KARLSHAMN</t>
        </is>
      </c>
      <c r="I518" t="n">
        <v>6.4</v>
      </c>
      <c r="J518" t="n">
        <v>0</v>
      </c>
      <c r="K518" t="n">
        <v>0</v>
      </c>
      <c r="L518" t="n">
        <v>0</v>
      </c>
      <c r="M518" t="n">
        <v>0</v>
      </c>
      <c r="N518" t="n">
        <v>0</v>
      </c>
      <c r="O518" t="n">
        <v>0</v>
      </c>
      <c r="P518" t="n">
        <v>0</v>
      </c>
      <c r="Q518" t="n">
        <v>0</v>
      </c>
      <c r="R518" t="n">
        <v>0</v>
      </c>
      <c r="S518" t="n">
        <v>0</v>
      </c>
      <c r="T518" t="n">
        <v>0</v>
      </c>
      <c r="U518" s="2" t="inlineStr"/>
    </row>
    <row r="519" ht="15" customHeight="1">
      <c r="A519" t="inlineStr">
        <is>
          <t>A 19747-2023</t>
        </is>
      </c>
      <c r="B519" t="inlineStr">
        <is>
          <t>avverkningsanmälan</t>
        </is>
      </c>
      <c r="C519" t="inlineStr">
        <is>
          <t>Föryngringsavverkning</t>
        </is>
      </c>
      <c r="D519" s="1" t="n">
        <v>45051</v>
      </c>
      <c r="E519" s="1" t="n">
        <v>46216</v>
      </c>
      <c r="F519" t="inlineStr">
        <is>
          <t>BLEKINGE LÄN</t>
        </is>
      </c>
      <c r="G519" t="inlineStr">
        <is>
          <t>KARLSHAMN</t>
        </is>
      </c>
      <c r="I519" t="n">
        <v>2.2</v>
      </c>
      <c r="J519" t="n">
        <v>0</v>
      </c>
      <c r="K519" t="n">
        <v>0</v>
      </c>
      <c r="L519" t="n">
        <v>0</v>
      </c>
      <c r="M519" t="n">
        <v>0</v>
      </c>
      <c r="N519" t="n">
        <v>0</v>
      </c>
      <c r="O519" t="n">
        <v>0</v>
      </c>
      <c r="P519" t="n">
        <v>0</v>
      </c>
      <c r="Q519" t="n">
        <v>0</v>
      </c>
      <c r="R519" t="n">
        <v>0</v>
      </c>
      <c r="S519" t="n">
        <v>0</v>
      </c>
      <c r="T519" t="n">
        <v>0</v>
      </c>
      <c r="U519" s="2" t="inlineStr"/>
    </row>
    <row r="520" ht="15" customHeight="1">
      <c r="A520" t="inlineStr">
        <is>
          <t>A 9745-2024</t>
        </is>
      </c>
      <c r="B520" t="inlineStr">
        <is>
          <t>avverkningsanmälan</t>
        </is>
      </c>
      <c r="C520" t="inlineStr">
        <is>
          <t>Föryngringsavverkning</t>
        </is>
      </c>
      <c r="D520" s="1" t="n">
        <v>45362</v>
      </c>
      <c r="E520" s="1" t="n">
        <v>46216</v>
      </c>
      <c r="F520" t="inlineStr">
        <is>
          <t>BLEKINGE LÄN</t>
        </is>
      </c>
      <c r="G520" t="inlineStr">
        <is>
          <t>KARLSKRONA</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17092-2023</t>
        </is>
      </c>
      <c r="B521" t="inlineStr">
        <is>
          <t>avverkningsanmälan</t>
        </is>
      </c>
      <c r="C521" t="inlineStr">
        <is>
          <t>Föryngringsavverkning</t>
        </is>
      </c>
      <c r="D521" s="1" t="n">
        <v>45034</v>
      </c>
      <c r="E521" s="1" t="n">
        <v>46216</v>
      </c>
      <c r="F521" t="inlineStr">
        <is>
          <t>BLEKINGE LÄN</t>
        </is>
      </c>
      <c r="G521" t="inlineStr">
        <is>
          <t>KARLSKRONA</t>
        </is>
      </c>
      <c r="I521" t="n">
        <v>5</v>
      </c>
      <c r="J521" t="n">
        <v>0</v>
      </c>
      <c r="K521" t="n">
        <v>0</v>
      </c>
      <c r="L521" t="n">
        <v>0</v>
      </c>
      <c r="M521" t="n">
        <v>0</v>
      </c>
      <c r="N521" t="n">
        <v>0</v>
      </c>
      <c r="O521" t="n">
        <v>0</v>
      </c>
      <c r="P521" t="n">
        <v>0</v>
      </c>
      <c r="Q521" t="n">
        <v>0</v>
      </c>
      <c r="R521" t="n">
        <v>0</v>
      </c>
      <c r="S521" t="n">
        <v>0</v>
      </c>
      <c r="T521" t="n">
        <v>0</v>
      </c>
      <c r="U521" s="2" t="inlineStr"/>
    </row>
    <row r="522" ht="15" customHeight="1">
      <c r="A522" t="inlineStr">
        <is>
          <t>A 22748-2024</t>
        </is>
      </c>
      <c r="B522" t="inlineStr">
        <is>
          <t>avverkningsanmälan</t>
        </is>
      </c>
      <c r="C522" t="inlineStr">
        <is>
          <t>Föryngringsavverkning</t>
        </is>
      </c>
      <c r="D522" s="1" t="n">
        <v>45448</v>
      </c>
      <c r="E522" s="1" t="n">
        <v>46216</v>
      </c>
      <c r="F522" t="inlineStr">
        <is>
          <t>BLEKINGE LÄN</t>
        </is>
      </c>
      <c r="G522" t="inlineStr">
        <is>
          <t>KARLSHAMN</t>
        </is>
      </c>
      <c r="I522" t="n">
        <v>3</v>
      </c>
      <c r="J522" t="n">
        <v>0</v>
      </c>
      <c r="K522" t="n">
        <v>0</v>
      </c>
      <c r="L522" t="n">
        <v>0</v>
      </c>
      <c r="M522" t="n">
        <v>0</v>
      </c>
      <c r="N522" t="n">
        <v>0</v>
      </c>
      <c r="O522" t="n">
        <v>0</v>
      </c>
      <c r="P522" t="n">
        <v>0</v>
      </c>
      <c r="Q522" t="n">
        <v>0</v>
      </c>
      <c r="R522" t="n">
        <v>0</v>
      </c>
      <c r="S522" t="n">
        <v>0</v>
      </c>
      <c r="T522" t="n">
        <v>0</v>
      </c>
      <c r="U522" s="2" t="inlineStr"/>
    </row>
    <row r="523" ht="15" customHeight="1">
      <c r="A523" t="inlineStr">
        <is>
          <t>A 39228-2023</t>
        </is>
      </c>
      <c r="B523" t="inlineStr">
        <is>
          <t>avverkningsanmälan</t>
        </is>
      </c>
      <c r="C523" t="inlineStr">
        <is>
          <t>Föryngringsavverkning</t>
        </is>
      </c>
      <c r="D523" s="1" t="n">
        <v>45166</v>
      </c>
      <c r="E523" s="1" t="n">
        <v>46216</v>
      </c>
      <c r="F523" t="inlineStr">
        <is>
          <t>BLEKINGE LÄN</t>
        </is>
      </c>
      <c r="G523" t="inlineStr">
        <is>
          <t>KARLSKRONA</t>
        </is>
      </c>
      <c r="I523" t="n">
        <v>12</v>
      </c>
      <c r="J523" t="n">
        <v>0</v>
      </c>
      <c r="K523" t="n">
        <v>0</v>
      </c>
      <c r="L523" t="n">
        <v>0</v>
      </c>
      <c r="M523" t="n">
        <v>0</v>
      </c>
      <c r="N523" t="n">
        <v>0</v>
      </c>
      <c r="O523" t="n">
        <v>0</v>
      </c>
      <c r="P523" t="n">
        <v>0</v>
      </c>
      <c r="Q523" t="n">
        <v>0</v>
      </c>
      <c r="R523" t="n">
        <v>0</v>
      </c>
      <c r="S523" t="n">
        <v>0</v>
      </c>
      <c r="T523" t="n">
        <v>0</v>
      </c>
      <c r="U523" s="2" t="inlineStr"/>
    </row>
    <row r="524" ht="15" customHeight="1">
      <c r="A524" t="inlineStr">
        <is>
          <t>A 3203-2022</t>
        </is>
      </c>
      <c r="B524" t="inlineStr">
        <is>
          <t>avverkningsanmälan</t>
        </is>
      </c>
      <c r="C524" t="inlineStr">
        <is>
          <t>Föryngringsavverkning</t>
        </is>
      </c>
      <c r="D524" s="1" t="n">
        <v>44582</v>
      </c>
      <c r="E524" s="1" t="n">
        <v>46216</v>
      </c>
      <c r="F524" t="inlineStr">
        <is>
          <t>BLEKINGE LÄN</t>
        </is>
      </c>
      <c r="G524" t="inlineStr">
        <is>
          <t>OLOFSTRÖM</t>
        </is>
      </c>
      <c r="I524" t="n">
        <v>2.5</v>
      </c>
      <c r="J524" t="n">
        <v>0</v>
      </c>
      <c r="K524" t="n">
        <v>0</v>
      </c>
      <c r="L524" t="n">
        <v>0</v>
      </c>
      <c r="M524" t="n">
        <v>0</v>
      </c>
      <c r="N524" t="n">
        <v>0</v>
      </c>
      <c r="O524" t="n">
        <v>0</v>
      </c>
      <c r="P524" t="n">
        <v>0</v>
      </c>
      <c r="Q524" t="n">
        <v>0</v>
      </c>
      <c r="R524" t="n">
        <v>0</v>
      </c>
      <c r="S524" t="n">
        <v>0</v>
      </c>
      <c r="T524" t="n">
        <v>0</v>
      </c>
      <c r="U524" s="2" t="inlineStr"/>
    </row>
    <row r="525" ht="15" customHeight="1">
      <c r="A525" t="inlineStr">
        <is>
          <t>A 22490-2023</t>
        </is>
      </c>
      <c r="B525" t="inlineStr">
        <is>
          <t>avverkningsanmälan</t>
        </is>
      </c>
      <c r="C525" t="inlineStr">
        <is>
          <t>Föryngringsavverkning</t>
        </is>
      </c>
      <c r="D525" s="1" t="n">
        <v>45071</v>
      </c>
      <c r="E525" s="1" t="n">
        <v>46216</v>
      </c>
      <c r="F525" t="inlineStr">
        <is>
          <t>BLEKINGE LÄN</t>
        </is>
      </c>
      <c r="G525" t="inlineStr">
        <is>
          <t>RONNEBY</t>
        </is>
      </c>
      <c r="I525" t="n">
        <v>2.6</v>
      </c>
      <c r="J525" t="n">
        <v>0</v>
      </c>
      <c r="K525" t="n">
        <v>0</v>
      </c>
      <c r="L525" t="n">
        <v>0</v>
      </c>
      <c r="M525" t="n">
        <v>0</v>
      </c>
      <c r="N525" t="n">
        <v>0</v>
      </c>
      <c r="O525" t="n">
        <v>0</v>
      </c>
      <c r="P525" t="n">
        <v>0</v>
      </c>
      <c r="Q525" t="n">
        <v>0</v>
      </c>
      <c r="R525" t="n">
        <v>0</v>
      </c>
      <c r="S525" t="n">
        <v>0</v>
      </c>
      <c r="T525" t="n">
        <v>0</v>
      </c>
      <c r="U525" s="2" t="inlineStr"/>
    </row>
    <row r="526" ht="15" customHeight="1">
      <c r="A526" t="inlineStr">
        <is>
          <t>A 15563-2025</t>
        </is>
      </c>
      <c r="B526" t="inlineStr">
        <is>
          <t>avverkningsanmälan</t>
        </is>
      </c>
      <c r="C526" t="inlineStr">
        <is>
          <t>Föryngringsavverkning</t>
        </is>
      </c>
      <c r="D526" s="1" t="n">
        <v>45747</v>
      </c>
      <c r="E526" s="1" t="n">
        <v>46216</v>
      </c>
      <c r="F526" t="inlineStr">
        <is>
          <t>BLEKINGE LÄN</t>
        </is>
      </c>
      <c r="G526" t="inlineStr">
        <is>
          <t>RONNEBY</t>
        </is>
      </c>
      <c r="I526" t="n">
        <v>1.7</v>
      </c>
      <c r="J526" t="n">
        <v>0</v>
      </c>
      <c r="K526" t="n">
        <v>0</v>
      </c>
      <c r="L526" t="n">
        <v>0</v>
      </c>
      <c r="M526" t="n">
        <v>0</v>
      </c>
      <c r="N526" t="n">
        <v>0</v>
      </c>
      <c r="O526" t="n">
        <v>0</v>
      </c>
      <c r="P526" t="n">
        <v>0</v>
      </c>
      <c r="Q526" t="n">
        <v>0</v>
      </c>
      <c r="R526" t="n">
        <v>0</v>
      </c>
      <c r="S526" t="n">
        <v>0</v>
      </c>
      <c r="T526" t="n">
        <v>0</v>
      </c>
      <c r="U526" s="2" t="inlineStr"/>
    </row>
    <row r="527" ht="15" customHeight="1">
      <c r="A527" t="inlineStr">
        <is>
          <t>A 62919-2023</t>
        </is>
      </c>
      <c r="B527" t="inlineStr">
        <is>
          <t>avverkningsanmälan</t>
        </is>
      </c>
      <c r="C527" t="inlineStr">
        <is>
          <t>Föryngringsavverkning</t>
        </is>
      </c>
      <c r="D527" s="1" t="n">
        <v>45271</v>
      </c>
      <c r="E527" s="1" t="n">
        <v>46216</v>
      </c>
      <c r="F527" t="inlineStr">
        <is>
          <t>BLEKINGE LÄN</t>
        </is>
      </c>
      <c r="G527" t="inlineStr">
        <is>
          <t>OLOFSTRÖM</t>
        </is>
      </c>
      <c r="I527" t="n">
        <v>5.8</v>
      </c>
      <c r="J527" t="n">
        <v>0</v>
      </c>
      <c r="K527" t="n">
        <v>0</v>
      </c>
      <c r="L527" t="n">
        <v>0</v>
      </c>
      <c r="M527" t="n">
        <v>0</v>
      </c>
      <c r="N527" t="n">
        <v>0</v>
      </c>
      <c r="O527" t="n">
        <v>0</v>
      </c>
      <c r="P527" t="n">
        <v>0</v>
      </c>
      <c r="Q527" t="n">
        <v>0</v>
      </c>
      <c r="R527" t="n">
        <v>0</v>
      </c>
      <c r="S527" t="n">
        <v>0</v>
      </c>
      <c r="T527" t="n">
        <v>0</v>
      </c>
      <c r="U527" s="2" t="inlineStr"/>
    </row>
    <row r="528" ht="15" customHeight="1">
      <c r="A528" t="inlineStr">
        <is>
          <t>A 45503-2024</t>
        </is>
      </c>
      <c r="B528" t="inlineStr">
        <is>
          <t>avverkningsanmälan</t>
        </is>
      </c>
      <c r="C528" t="inlineStr">
        <is>
          <t>Föryngringsavverkning</t>
        </is>
      </c>
      <c r="D528" s="1" t="n">
        <v>45578</v>
      </c>
      <c r="E528" s="1" t="n">
        <v>46216</v>
      </c>
      <c r="F528" t="inlineStr">
        <is>
          <t>BLEKINGE LÄN</t>
        </is>
      </c>
      <c r="G528" t="inlineStr">
        <is>
          <t>KARLSKRONA</t>
        </is>
      </c>
      <c r="I528" t="n">
        <v>2</v>
      </c>
      <c r="J528" t="n">
        <v>0</v>
      </c>
      <c r="K528" t="n">
        <v>0</v>
      </c>
      <c r="L528" t="n">
        <v>0</v>
      </c>
      <c r="M528" t="n">
        <v>0</v>
      </c>
      <c r="N528" t="n">
        <v>0</v>
      </c>
      <c r="O528" t="n">
        <v>0</v>
      </c>
      <c r="P528" t="n">
        <v>0</v>
      </c>
      <c r="Q528" t="n">
        <v>0</v>
      </c>
      <c r="R528" t="n">
        <v>0</v>
      </c>
      <c r="S528" t="n">
        <v>0</v>
      </c>
      <c r="T528" t="n">
        <v>0</v>
      </c>
      <c r="U528" s="2" t="inlineStr"/>
    </row>
    <row r="529" ht="15" customHeight="1">
      <c r="A529" t="inlineStr">
        <is>
          <t>A 34949-2023</t>
        </is>
      </c>
      <c r="B529" t="inlineStr">
        <is>
          <t>avverkningsanmälan</t>
        </is>
      </c>
      <c r="C529" t="inlineStr">
        <is>
          <t>Föryngringsavverkning</t>
        </is>
      </c>
      <c r="D529" s="1" t="n">
        <v>45142</v>
      </c>
      <c r="E529" s="1" t="n">
        <v>46216</v>
      </c>
      <c r="F529" t="inlineStr">
        <is>
          <t>BLEKINGE LÄN</t>
        </is>
      </c>
      <c r="G529" t="inlineStr">
        <is>
          <t>KARLSKRONA</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74237-2021</t>
        </is>
      </c>
      <c r="B530" t="inlineStr">
        <is>
          <t>avverkningsanmälan</t>
        </is>
      </c>
      <c r="C530" t="inlineStr">
        <is>
          <t>Föryngringsavverkning</t>
        </is>
      </c>
      <c r="D530" s="1" t="n">
        <v>44553</v>
      </c>
      <c r="E530" s="1" t="n">
        <v>46216</v>
      </c>
      <c r="F530" t="inlineStr">
        <is>
          <t>BLEKINGE LÄN</t>
        </is>
      </c>
      <c r="G530" t="inlineStr">
        <is>
          <t>KARLSKRONA</t>
        </is>
      </c>
      <c r="I530" t="n">
        <v>3</v>
      </c>
      <c r="J530" t="n">
        <v>0</v>
      </c>
      <c r="K530" t="n">
        <v>0</v>
      </c>
      <c r="L530" t="n">
        <v>0</v>
      </c>
      <c r="M530" t="n">
        <v>0</v>
      </c>
      <c r="N530" t="n">
        <v>0</v>
      </c>
      <c r="O530" t="n">
        <v>0</v>
      </c>
      <c r="P530" t="n">
        <v>0</v>
      </c>
      <c r="Q530" t="n">
        <v>0</v>
      </c>
      <c r="R530" t="n">
        <v>0</v>
      </c>
      <c r="S530" t="n">
        <v>0</v>
      </c>
      <c r="T530" t="n">
        <v>0</v>
      </c>
      <c r="U530" s="2" t="inlineStr"/>
    </row>
    <row r="531" ht="15" customHeight="1">
      <c r="A531" t="inlineStr">
        <is>
          <t>A 37608-2023</t>
        </is>
      </c>
      <c r="B531" t="inlineStr">
        <is>
          <t>avverkningsanmälan</t>
        </is>
      </c>
      <c r="C531" t="inlineStr">
        <is>
          <t>Föryngringsavverkning</t>
        </is>
      </c>
      <c r="D531" s="1" t="n">
        <v>45159</v>
      </c>
      <c r="E531" s="1" t="n">
        <v>46216</v>
      </c>
      <c r="F531" t="inlineStr">
        <is>
          <t>BLEKINGE LÄN</t>
        </is>
      </c>
      <c r="G531" t="inlineStr">
        <is>
          <t>KARLSKRONA</t>
        </is>
      </c>
      <c r="I531" t="n">
        <v>3.4</v>
      </c>
      <c r="J531" t="n">
        <v>0</v>
      </c>
      <c r="K531" t="n">
        <v>0</v>
      </c>
      <c r="L531" t="n">
        <v>0</v>
      </c>
      <c r="M531" t="n">
        <v>0</v>
      </c>
      <c r="N531" t="n">
        <v>0</v>
      </c>
      <c r="O531" t="n">
        <v>0</v>
      </c>
      <c r="P531" t="n">
        <v>0</v>
      </c>
      <c r="Q531" t="n">
        <v>0</v>
      </c>
      <c r="R531" t="n">
        <v>0</v>
      </c>
      <c r="S531" t="n">
        <v>0</v>
      </c>
      <c r="T531" t="n">
        <v>0</v>
      </c>
      <c r="U531" s="2" t="inlineStr"/>
    </row>
    <row r="532" ht="15" customHeight="1">
      <c r="A532" t="inlineStr">
        <is>
          <t>A 9685-2022</t>
        </is>
      </c>
      <c r="B532" t="inlineStr">
        <is>
          <t>avverkningsanmälan</t>
        </is>
      </c>
      <c r="C532" t="inlineStr">
        <is>
          <t>Föryngringsavverkning</t>
        </is>
      </c>
      <c r="D532" s="1" t="n">
        <v>44617</v>
      </c>
      <c r="E532" s="1" t="n">
        <v>46216</v>
      </c>
      <c r="F532" t="inlineStr">
        <is>
          <t>BLEKINGE LÄN</t>
        </is>
      </c>
      <c r="G532" t="inlineStr">
        <is>
          <t>RONNEBY</t>
        </is>
      </c>
      <c r="I532" t="n">
        <v>5.7</v>
      </c>
      <c r="J532" t="n">
        <v>0</v>
      </c>
      <c r="K532" t="n">
        <v>0</v>
      </c>
      <c r="L532" t="n">
        <v>0</v>
      </c>
      <c r="M532" t="n">
        <v>0</v>
      </c>
      <c r="N532" t="n">
        <v>0</v>
      </c>
      <c r="O532" t="n">
        <v>0</v>
      </c>
      <c r="P532" t="n">
        <v>0</v>
      </c>
      <c r="Q532" t="n">
        <v>0</v>
      </c>
      <c r="R532" t="n">
        <v>0</v>
      </c>
      <c r="S532" t="n">
        <v>0</v>
      </c>
      <c r="T532" t="n">
        <v>0</v>
      </c>
      <c r="U532" s="2" t="inlineStr"/>
    </row>
    <row r="533" ht="15" customHeight="1">
      <c r="A533" t="inlineStr">
        <is>
          <t>A 32899-2024</t>
        </is>
      </c>
      <c r="B533" t="inlineStr">
        <is>
          <t>avverkningsanmälan</t>
        </is>
      </c>
      <c r="C533" t="inlineStr">
        <is>
          <t>Föryngringsavverkning</t>
        </is>
      </c>
      <c r="D533" s="1" t="n">
        <v>45516</v>
      </c>
      <c r="E533" s="1" t="n">
        <v>46216</v>
      </c>
      <c r="F533" t="inlineStr">
        <is>
          <t>BLEKINGE LÄN</t>
        </is>
      </c>
      <c r="G533" t="inlineStr">
        <is>
          <t>OLOFSTRÖM</t>
        </is>
      </c>
      <c r="I533" t="n">
        <v>2.4</v>
      </c>
      <c r="J533" t="n">
        <v>0</v>
      </c>
      <c r="K533" t="n">
        <v>0</v>
      </c>
      <c r="L533" t="n">
        <v>0</v>
      </c>
      <c r="M533" t="n">
        <v>0</v>
      </c>
      <c r="N533" t="n">
        <v>0</v>
      </c>
      <c r="O533" t="n">
        <v>0</v>
      </c>
      <c r="P533" t="n">
        <v>0</v>
      </c>
      <c r="Q533" t="n">
        <v>0</v>
      </c>
      <c r="R533" t="n">
        <v>0</v>
      </c>
      <c r="S533" t="n">
        <v>0</v>
      </c>
      <c r="T533" t="n">
        <v>0</v>
      </c>
      <c r="U533" s="2" t="inlineStr"/>
    </row>
    <row r="534" ht="15" customHeight="1">
      <c r="A534" t="inlineStr">
        <is>
          <t>A 61110-2023</t>
        </is>
      </c>
      <c r="B534" t="inlineStr">
        <is>
          <t>avverkningsanmälan</t>
        </is>
      </c>
      <c r="C534" t="inlineStr">
        <is>
          <t>Föryngringsavverkning</t>
        </is>
      </c>
      <c r="D534" s="1" t="n">
        <v>45261</v>
      </c>
      <c r="E534" s="1" t="n">
        <v>46216</v>
      </c>
      <c r="F534" t="inlineStr">
        <is>
          <t>BLEKINGE LÄN</t>
        </is>
      </c>
      <c r="G534" t="inlineStr">
        <is>
          <t>RONNEBY</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10508-2023</t>
        </is>
      </c>
      <c r="B535" t="inlineStr">
        <is>
          <t>avverkningsanmälan</t>
        </is>
      </c>
      <c r="C535" t="inlineStr">
        <is>
          <t>Föryngringsavverkning</t>
        </is>
      </c>
      <c r="D535" s="1" t="n">
        <v>44987</v>
      </c>
      <c r="E535" s="1" t="n">
        <v>46216</v>
      </c>
      <c r="F535" t="inlineStr">
        <is>
          <t>BLEKINGE LÄN</t>
        </is>
      </c>
      <c r="G535" t="inlineStr">
        <is>
          <t>RONNEBY</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6676-2025</t>
        </is>
      </c>
      <c r="B536" t="inlineStr">
        <is>
          <t>avverkningsanmälan</t>
        </is>
      </c>
      <c r="C536" t="inlineStr">
        <is>
          <t>Föryngringsavverkning</t>
        </is>
      </c>
      <c r="D536" s="1" t="n">
        <v>45700</v>
      </c>
      <c r="E536" s="1" t="n">
        <v>46216</v>
      </c>
      <c r="F536" t="inlineStr">
        <is>
          <t>BLEKINGE LÄN</t>
        </is>
      </c>
      <c r="G536" t="inlineStr">
        <is>
          <t>OLOFSTRÖM</t>
        </is>
      </c>
      <c r="I536" t="n">
        <v>3.8</v>
      </c>
      <c r="J536" t="n">
        <v>0</v>
      </c>
      <c r="K536" t="n">
        <v>0</v>
      </c>
      <c r="L536" t="n">
        <v>0</v>
      </c>
      <c r="M536" t="n">
        <v>0</v>
      </c>
      <c r="N536" t="n">
        <v>0</v>
      </c>
      <c r="O536" t="n">
        <v>0</v>
      </c>
      <c r="P536" t="n">
        <v>0</v>
      </c>
      <c r="Q536" t="n">
        <v>0</v>
      </c>
      <c r="R536" t="n">
        <v>0</v>
      </c>
      <c r="S536" t="n">
        <v>0</v>
      </c>
      <c r="T536" t="n">
        <v>0</v>
      </c>
      <c r="U536" s="2" t="inlineStr"/>
    </row>
    <row r="537" ht="15" customHeight="1">
      <c r="A537" t="inlineStr">
        <is>
          <t>A 10112-2023</t>
        </is>
      </c>
      <c r="B537" t="inlineStr">
        <is>
          <t>avverkningsanmälan</t>
        </is>
      </c>
      <c r="C537" t="inlineStr">
        <is>
          <t>Föryngringsavverkning</t>
        </is>
      </c>
      <c r="D537" s="1" t="n">
        <v>44986</v>
      </c>
      <c r="E537" s="1" t="n">
        <v>46216</v>
      </c>
      <c r="F537" t="inlineStr">
        <is>
          <t>BLEKINGE LÄN</t>
        </is>
      </c>
      <c r="G537" t="inlineStr">
        <is>
          <t>KARLSKRONA</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46712-2023</t>
        </is>
      </c>
      <c r="B538" t="inlineStr">
        <is>
          <t>avverkningsanmälan</t>
        </is>
      </c>
      <c r="C538" t="inlineStr">
        <is>
          <t>Föryngringsavverkning</t>
        </is>
      </c>
      <c r="D538" s="1" t="n">
        <v>45198</v>
      </c>
      <c r="E538" s="1" t="n">
        <v>46216</v>
      </c>
      <c r="F538" t="inlineStr">
        <is>
          <t>BLEKINGE LÄN</t>
        </is>
      </c>
      <c r="G538" t="inlineStr">
        <is>
          <t>KARLSKRONA</t>
        </is>
      </c>
      <c r="I538" t="n">
        <v>3.6</v>
      </c>
      <c r="J538" t="n">
        <v>0</v>
      </c>
      <c r="K538" t="n">
        <v>0</v>
      </c>
      <c r="L538" t="n">
        <v>0</v>
      </c>
      <c r="M538" t="n">
        <v>0</v>
      </c>
      <c r="N538" t="n">
        <v>0</v>
      </c>
      <c r="O538" t="n">
        <v>0</v>
      </c>
      <c r="P538" t="n">
        <v>0</v>
      </c>
      <c r="Q538" t="n">
        <v>0</v>
      </c>
      <c r="R538" t="n">
        <v>0</v>
      </c>
      <c r="S538" t="n">
        <v>0</v>
      </c>
      <c r="T538" t="n">
        <v>0</v>
      </c>
      <c r="U538" s="2" t="inlineStr"/>
    </row>
    <row r="539" ht="15" customHeight="1">
      <c r="A539" t="inlineStr">
        <is>
          <t>A 39108-2024</t>
        </is>
      </c>
      <c r="B539" t="inlineStr">
        <is>
          <t>avverkningsanmälan</t>
        </is>
      </c>
      <c r="C539" t="inlineStr">
        <is>
          <t>Föryngringsavverkning</t>
        </is>
      </c>
      <c r="D539" s="1" t="n">
        <v>45548</v>
      </c>
      <c r="E539" s="1" t="n">
        <v>46216</v>
      </c>
      <c r="F539" t="inlineStr">
        <is>
          <t>BLEKINGE LÄN</t>
        </is>
      </c>
      <c r="G539" t="inlineStr">
        <is>
          <t>OLOFSTRÖM</t>
        </is>
      </c>
      <c r="I539" t="n">
        <v>5.5</v>
      </c>
      <c r="J539" t="n">
        <v>0</v>
      </c>
      <c r="K539" t="n">
        <v>0</v>
      </c>
      <c r="L539" t="n">
        <v>0</v>
      </c>
      <c r="M539" t="n">
        <v>0</v>
      </c>
      <c r="N539" t="n">
        <v>0</v>
      </c>
      <c r="O539" t="n">
        <v>0</v>
      </c>
      <c r="P539" t="n">
        <v>0</v>
      </c>
      <c r="Q539" t="n">
        <v>0</v>
      </c>
      <c r="R539" t="n">
        <v>0</v>
      </c>
      <c r="S539" t="n">
        <v>0</v>
      </c>
      <c r="T539" t="n">
        <v>0</v>
      </c>
      <c r="U539" s="2" t="inlineStr"/>
    </row>
    <row r="540" ht="15" customHeight="1">
      <c r="A540" t="inlineStr">
        <is>
          <t>A 19268-2022</t>
        </is>
      </c>
      <c r="B540" t="inlineStr">
        <is>
          <t>avverkningsanmälan</t>
        </is>
      </c>
      <c r="C540" t="inlineStr">
        <is>
          <t>Föryngringsavverkning</t>
        </is>
      </c>
      <c r="D540" s="1" t="n">
        <v>44692</v>
      </c>
      <c r="E540" s="1" t="n">
        <v>46216</v>
      </c>
      <c r="F540" t="inlineStr">
        <is>
          <t>BLEKINGE LÄN</t>
        </is>
      </c>
      <c r="G540" t="inlineStr">
        <is>
          <t>KARLSKRONA</t>
        </is>
      </c>
      <c r="I540" t="n">
        <v>1.6</v>
      </c>
      <c r="J540" t="n">
        <v>0</v>
      </c>
      <c r="K540" t="n">
        <v>0</v>
      </c>
      <c r="L540" t="n">
        <v>0</v>
      </c>
      <c r="M540" t="n">
        <v>0</v>
      </c>
      <c r="N540" t="n">
        <v>0</v>
      </c>
      <c r="O540" t="n">
        <v>0</v>
      </c>
      <c r="P540" t="n">
        <v>0</v>
      </c>
      <c r="Q540" t="n">
        <v>0</v>
      </c>
      <c r="R540" t="n">
        <v>0</v>
      </c>
      <c r="S540" t="n">
        <v>0</v>
      </c>
      <c r="T540" t="n">
        <v>0</v>
      </c>
      <c r="U540" s="2" t="inlineStr"/>
    </row>
    <row r="541" ht="15" customHeight="1">
      <c r="A541" t="inlineStr">
        <is>
          <t>A 46167-2023</t>
        </is>
      </c>
      <c r="B541" t="inlineStr">
        <is>
          <t>avverkningsanmälan</t>
        </is>
      </c>
      <c r="C541" t="inlineStr">
        <is>
          <t>Föryngringsavverkning</t>
        </is>
      </c>
      <c r="D541" s="1" t="n">
        <v>45196</v>
      </c>
      <c r="E541" s="1" t="n">
        <v>46216</v>
      </c>
      <c r="F541" t="inlineStr">
        <is>
          <t>BLEKINGE LÄN</t>
        </is>
      </c>
      <c r="G541" t="inlineStr">
        <is>
          <t>RONNEBY</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4665-2024</t>
        </is>
      </c>
      <c r="B542" t="inlineStr">
        <is>
          <t>avverkningsanmälan</t>
        </is>
      </c>
      <c r="C542" t="inlineStr">
        <is>
          <t>Föryngringsavverkning</t>
        </is>
      </c>
      <c r="D542" s="1" t="n">
        <v>45328</v>
      </c>
      <c r="E542" s="1" t="n">
        <v>46216</v>
      </c>
      <c r="F542" t="inlineStr">
        <is>
          <t>BLEKINGE LÄN</t>
        </is>
      </c>
      <c r="G542" t="inlineStr">
        <is>
          <t>RONNEBY</t>
        </is>
      </c>
      <c r="I542" t="n">
        <v>1.9</v>
      </c>
      <c r="J542" t="n">
        <v>0</v>
      </c>
      <c r="K542" t="n">
        <v>0</v>
      </c>
      <c r="L542" t="n">
        <v>0</v>
      </c>
      <c r="M542" t="n">
        <v>0</v>
      </c>
      <c r="N542" t="n">
        <v>0</v>
      </c>
      <c r="O542" t="n">
        <v>0</v>
      </c>
      <c r="P542" t="n">
        <v>0</v>
      </c>
      <c r="Q542" t="n">
        <v>0</v>
      </c>
      <c r="R542" t="n">
        <v>0</v>
      </c>
      <c r="S542" t="n">
        <v>0</v>
      </c>
      <c r="T542" t="n">
        <v>0</v>
      </c>
      <c r="U542" s="2" t="inlineStr"/>
    </row>
    <row r="543" ht="15" customHeight="1">
      <c r="A543" t="inlineStr">
        <is>
          <t>A 5746-2023</t>
        </is>
      </c>
      <c r="B543" t="inlineStr">
        <is>
          <t>avverkningsanmälan</t>
        </is>
      </c>
      <c r="C543" t="inlineStr">
        <is>
          <t>Föryngringsavverkning</t>
        </is>
      </c>
      <c r="D543" s="1" t="n">
        <v>44962</v>
      </c>
      <c r="E543" s="1" t="n">
        <v>46216</v>
      </c>
      <c r="F543" t="inlineStr">
        <is>
          <t>BLEKINGE LÄN</t>
        </is>
      </c>
      <c r="G543" t="inlineStr">
        <is>
          <t>KARLSHAMN</t>
        </is>
      </c>
      <c r="I543" t="n">
        <v>6.8</v>
      </c>
      <c r="J543" t="n">
        <v>0</v>
      </c>
      <c r="K543" t="n">
        <v>0</v>
      </c>
      <c r="L543" t="n">
        <v>0</v>
      </c>
      <c r="M543" t="n">
        <v>0</v>
      </c>
      <c r="N543" t="n">
        <v>0</v>
      </c>
      <c r="O543" t="n">
        <v>0</v>
      </c>
      <c r="P543" t="n">
        <v>0</v>
      </c>
      <c r="Q543" t="n">
        <v>0</v>
      </c>
      <c r="R543" t="n">
        <v>0</v>
      </c>
      <c r="S543" t="n">
        <v>0</v>
      </c>
      <c r="T543" t="n">
        <v>0</v>
      </c>
      <c r="U543" s="2" t="inlineStr"/>
    </row>
    <row r="544" ht="15" customHeight="1">
      <c r="A544" t="inlineStr">
        <is>
          <t>A 46279-2022</t>
        </is>
      </c>
      <c r="B544" t="inlineStr">
        <is>
          <t>avverkningsanmälan</t>
        </is>
      </c>
      <c r="C544" t="inlineStr">
        <is>
          <t>Föryngringsavverkning</t>
        </is>
      </c>
      <c r="D544" s="1" t="n">
        <v>44847</v>
      </c>
      <c r="E544" s="1" t="n">
        <v>46216</v>
      </c>
      <c r="F544" t="inlineStr">
        <is>
          <t>BLEKINGE LÄN</t>
        </is>
      </c>
      <c r="G544" t="inlineStr">
        <is>
          <t>KARLSKRONA</t>
        </is>
      </c>
      <c r="I544" t="n">
        <v>2</v>
      </c>
      <c r="J544" t="n">
        <v>0</v>
      </c>
      <c r="K544" t="n">
        <v>0</v>
      </c>
      <c r="L544" t="n">
        <v>0</v>
      </c>
      <c r="M544" t="n">
        <v>0</v>
      </c>
      <c r="N544" t="n">
        <v>0</v>
      </c>
      <c r="O544" t="n">
        <v>0</v>
      </c>
      <c r="P544" t="n">
        <v>0</v>
      </c>
      <c r="Q544" t="n">
        <v>0</v>
      </c>
      <c r="R544" t="n">
        <v>0</v>
      </c>
      <c r="S544" t="n">
        <v>0</v>
      </c>
      <c r="T544" t="n">
        <v>0</v>
      </c>
      <c r="U544" s="2" t="inlineStr"/>
    </row>
    <row r="545" ht="15" customHeight="1">
      <c r="A545" t="inlineStr">
        <is>
          <t>A 47775-2024</t>
        </is>
      </c>
      <c r="B545" t="inlineStr">
        <is>
          <t>avverkningsanmälan</t>
        </is>
      </c>
      <c r="C545" t="inlineStr">
        <is>
          <t>Föryngringsavverkning</t>
        </is>
      </c>
      <c r="D545" s="1" t="n">
        <v>45588</v>
      </c>
      <c r="E545" s="1" t="n">
        <v>46216</v>
      </c>
      <c r="F545" t="inlineStr">
        <is>
          <t>BLEKINGE LÄN</t>
        </is>
      </c>
      <c r="G545" t="inlineStr">
        <is>
          <t>RONNEBY</t>
        </is>
      </c>
      <c r="H545" t="inlineStr">
        <is>
          <t>Kommuner</t>
        </is>
      </c>
      <c r="I545" t="n">
        <v>1</v>
      </c>
      <c r="J545" t="n">
        <v>0</v>
      </c>
      <c r="K545" t="n">
        <v>0</v>
      </c>
      <c r="L545" t="n">
        <v>0</v>
      </c>
      <c r="M545" t="n">
        <v>0</v>
      </c>
      <c r="N545" t="n">
        <v>0</v>
      </c>
      <c r="O545" t="n">
        <v>0</v>
      </c>
      <c r="P545" t="n">
        <v>0</v>
      </c>
      <c r="Q545" t="n">
        <v>0</v>
      </c>
      <c r="R545" t="n">
        <v>0</v>
      </c>
      <c r="S545" t="n">
        <v>0</v>
      </c>
      <c r="T545" t="n">
        <v>0</v>
      </c>
      <c r="U545" s="2" t="inlineStr"/>
    </row>
    <row r="546" ht="15" customHeight="1">
      <c r="A546" t="inlineStr">
        <is>
          <t>A 4793-2022</t>
        </is>
      </c>
      <c r="B546" t="inlineStr">
        <is>
          <t>avverkningsanmälan</t>
        </is>
      </c>
      <c r="C546" t="inlineStr">
        <is>
          <t>Föryngringsavverkning</t>
        </is>
      </c>
      <c r="D546" s="1" t="n">
        <v>44592</v>
      </c>
      <c r="E546" s="1" t="n">
        <v>46216</v>
      </c>
      <c r="F546" t="inlineStr">
        <is>
          <t>BLEKINGE LÄN</t>
        </is>
      </c>
      <c r="G546" t="inlineStr">
        <is>
          <t>KARLSKRONA</t>
        </is>
      </c>
      <c r="H546" t="inlineStr">
        <is>
          <t>Kommuner</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55113-2024</t>
        </is>
      </c>
      <c r="B547" t="inlineStr">
        <is>
          <t>avverkningsanmälan</t>
        </is>
      </c>
      <c r="C547" t="inlineStr">
        <is>
          <t>Föryngringsavverkning</t>
        </is>
      </c>
      <c r="D547" s="1" t="n">
        <v>45621</v>
      </c>
      <c r="E547" s="1" t="n">
        <v>46216</v>
      </c>
      <c r="F547" t="inlineStr">
        <is>
          <t>BLEKINGE LÄN</t>
        </is>
      </c>
      <c r="G547" t="inlineStr">
        <is>
          <t>RONNEBY</t>
        </is>
      </c>
      <c r="I547" t="n">
        <v>9.199999999999999</v>
      </c>
      <c r="J547" t="n">
        <v>0</v>
      </c>
      <c r="K547" t="n">
        <v>0</v>
      </c>
      <c r="L547" t="n">
        <v>0</v>
      </c>
      <c r="M547" t="n">
        <v>0</v>
      </c>
      <c r="N547" t="n">
        <v>0</v>
      </c>
      <c r="O547" t="n">
        <v>0</v>
      </c>
      <c r="P547" t="n">
        <v>0</v>
      </c>
      <c r="Q547" t="n">
        <v>0</v>
      </c>
      <c r="R547" t="n">
        <v>0</v>
      </c>
      <c r="S547" t="n">
        <v>0</v>
      </c>
      <c r="T547" t="n">
        <v>0</v>
      </c>
      <c r="U547" s="2" t="inlineStr"/>
    </row>
    <row r="548" ht="15" customHeight="1">
      <c r="A548" t="inlineStr">
        <is>
          <t>A 14361-2023</t>
        </is>
      </c>
      <c r="B548" t="inlineStr">
        <is>
          <t>avverkningsanmälan</t>
        </is>
      </c>
      <c r="C548" t="inlineStr">
        <is>
          <t>Föryngringsavverkning</t>
        </is>
      </c>
      <c r="D548" s="1" t="n">
        <v>45012</v>
      </c>
      <c r="E548" s="1" t="n">
        <v>46216</v>
      </c>
      <c r="F548" t="inlineStr">
        <is>
          <t>BLEKINGE LÄN</t>
        </is>
      </c>
      <c r="G548" t="inlineStr">
        <is>
          <t>RONNEBY</t>
        </is>
      </c>
      <c r="I548" t="n">
        <v>2</v>
      </c>
      <c r="J548" t="n">
        <v>0</v>
      </c>
      <c r="K548" t="n">
        <v>0</v>
      </c>
      <c r="L548" t="n">
        <v>0</v>
      </c>
      <c r="M548" t="n">
        <v>0</v>
      </c>
      <c r="N548" t="n">
        <v>0</v>
      </c>
      <c r="O548" t="n">
        <v>0</v>
      </c>
      <c r="P548" t="n">
        <v>0</v>
      </c>
      <c r="Q548" t="n">
        <v>0</v>
      </c>
      <c r="R548" t="n">
        <v>0</v>
      </c>
      <c r="S548" t="n">
        <v>0</v>
      </c>
      <c r="T548" t="n">
        <v>0</v>
      </c>
      <c r="U548" s="2" t="inlineStr"/>
    </row>
    <row r="549" ht="15" customHeight="1">
      <c r="A549" t="inlineStr">
        <is>
          <t>A 2807-2023</t>
        </is>
      </c>
      <c r="B549" t="inlineStr">
        <is>
          <t>avverkningsanmälan</t>
        </is>
      </c>
      <c r="C549" t="inlineStr">
        <is>
          <t>Föryngringsavverkning</t>
        </is>
      </c>
      <c r="D549" s="1" t="n">
        <v>44944</v>
      </c>
      <c r="E549" s="1" t="n">
        <v>46216</v>
      </c>
      <c r="F549" t="inlineStr">
        <is>
          <t>BLEKINGE LÄN</t>
        </is>
      </c>
      <c r="G549" t="inlineStr">
        <is>
          <t>RONNEBY</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46774-2022</t>
        </is>
      </c>
      <c r="B550" t="inlineStr">
        <is>
          <t>avverkningsanmälan</t>
        </is>
      </c>
      <c r="C550" t="inlineStr">
        <is>
          <t>Föryngringsavverkning</t>
        </is>
      </c>
      <c r="D550" s="1" t="n">
        <v>44847</v>
      </c>
      <c r="E550" s="1" t="n">
        <v>46216</v>
      </c>
      <c r="F550" t="inlineStr">
        <is>
          <t>BLEKINGE LÄN</t>
        </is>
      </c>
      <c r="G550" t="inlineStr">
        <is>
          <t>KARLSKRONA</t>
        </is>
      </c>
      <c r="I550" t="n">
        <v>2.4</v>
      </c>
      <c r="J550" t="n">
        <v>0</v>
      </c>
      <c r="K550" t="n">
        <v>0</v>
      </c>
      <c r="L550" t="n">
        <v>0</v>
      </c>
      <c r="M550" t="n">
        <v>0</v>
      </c>
      <c r="N550" t="n">
        <v>0</v>
      </c>
      <c r="O550" t="n">
        <v>0</v>
      </c>
      <c r="P550" t="n">
        <v>0</v>
      </c>
      <c r="Q550" t="n">
        <v>0</v>
      </c>
      <c r="R550" t="n">
        <v>0</v>
      </c>
      <c r="S550" t="n">
        <v>0</v>
      </c>
      <c r="T550" t="n">
        <v>0</v>
      </c>
      <c r="U550" s="2" t="inlineStr"/>
    </row>
    <row r="551" ht="15" customHeight="1">
      <c r="A551" t="inlineStr">
        <is>
          <t>A 13194-2023</t>
        </is>
      </c>
      <c r="B551" t="inlineStr">
        <is>
          <t>avverkningsanmälan</t>
        </is>
      </c>
      <c r="C551" t="inlineStr">
        <is>
          <t>Föryngringsavverkning</t>
        </is>
      </c>
      <c r="D551" s="1" t="n">
        <v>45002</v>
      </c>
      <c r="E551" s="1" t="n">
        <v>46216</v>
      </c>
      <c r="F551" t="inlineStr">
        <is>
          <t>BLEKINGE LÄN</t>
        </is>
      </c>
      <c r="G551" t="inlineStr">
        <is>
          <t>KARLSKRONA</t>
        </is>
      </c>
      <c r="I551" t="n">
        <v>3.1</v>
      </c>
      <c r="J551" t="n">
        <v>0</v>
      </c>
      <c r="K551" t="n">
        <v>0</v>
      </c>
      <c r="L551" t="n">
        <v>0</v>
      </c>
      <c r="M551" t="n">
        <v>0</v>
      </c>
      <c r="N551" t="n">
        <v>0</v>
      </c>
      <c r="O551" t="n">
        <v>0</v>
      </c>
      <c r="P551" t="n">
        <v>0</v>
      </c>
      <c r="Q551" t="n">
        <v>0</v>
      </c>
      <c r="R551" t="n">
        <v>0</v>
      </c>
      <c r="S551" t="n">
        <v>0</v>
      </c>
      <c r="T551" t="n">
        <v>0</v>
      </c>
      <c r="U551" s="2" t="inlineStr"/>
    </row>
    <row r="552" ht="15" customHeight="1">
      <c r="A552" t="inlineStr">
        <is>
          <t>A 13195-2023</t>
        </is>
      </c>
      <c r="B552" t="inlineStr">
        <is>
          <t>avverkningsanmälan</t>
        </is>
      </c>
      <c r="C552" t="inlineStr">
        <is>
          <t>Föryngringsavverkning</t>
        </is>
      </c>
      <c r="D552" s="1" t="n">
        <v>45002</v>
      </c>
      <c r="E552" s="1" t="n">
        <v>46216</v>
      </c>
      <c r="F552" t="inlineStr">
        <is>
          <t>BLEKINGE LÄN</t>
        </is>
      </c>
      <c r="G552" t="inlineStr">
        <is>
          <t>OLOFSTRÖM</t>
        </is>
      </c>
      <c r="I552" t="n">
        <v>4.1</v>
      </c>
      <c r="J552" t="n">
        <v>0</v>
      </c>
      <c r="K552" t="n">
        <v>0</v>
      </c>
      <c r="L552" t="n">
        <v>0</v>
      </c>
      <c r="M552" t="n">
        <v>0</v>
      </c>
      <c r="N552" t="n">
        <v>0</v>
      </c>
      <c r="O552" t="n">
        <v>0</v>
      </c>
      <c r="P552" t="n">
        <v>0</v>
      </c>
      <c r="Q552" t="n">
        <v>0</v>
      </c>
      <c r="R552" t="n">
        <v>0</v>
      </c>
      <c r="S552" t="n">
        <v>0</v>
      </c>
      <c r="T552" t="n">
        <v>0</v>
      </c>
      <c r="U552" s="2" t="inlineStr"/>
    </row>
    <row r="553" ht="15" customHeight="1">
      <c r="A553" t="inlineStr">
        <is>
          <t>A 6980-2023</t>
        </is>
      </c>
      <c r="B553" t="inlineStr">
        <is>
          <t>avverkningsanmälan</t>
        </is>
      </c>
      <c r="C553" t="inlineStr">
        <is>
          <t>Föryngringsavverkning</t>
        </is>
      </c>
      <c r="D553" s="1" t="n">
        <v>44967</v>
      </c>
      <c r="E553" s="1" t="n">
        <v>46216</v>
      </c>
      <c r="F553" t="inlineStr">
        <is>
          <t>BLEKINGE LÄN</t>
        </is>
      </c>
      <c r="G553" t="inlineStr">
        <is>
          <t>KARLSKRONA</t>
        </is>
      </c>
      <c r="I553" t="n">
        <v>3.4</v>
      </c>
      <c r="J553" t="n">
        <v>0</v>
      </c>
      <c r="K553" t="n">
        <v>0</v>
      </c>
      <c r="L553" t="n">
        <v>0</v>
      </c>
      <c r="M553" t="n">
        <v>0</v>
      </c>
      <c r="N553" t="n">
        <v>0</v>
      </c>
      <c r="O553" t="n">
        <v>0</v>
      </c>
      <c r="P553" t="n">
        <v>0</v>
      </c>
      <c r="Q553" t="n">
        <v>0</v>
      </c>
      <c r="R553" t="n">
        <v>0</v>
      </c>
      <c r="S553" t="n">
        <v>0</v>
      </c>
      <c r="T553" t="n">
        <v>0</v>
      </c>
      <c r="U553" s="2" t="inlineStr"/>
    </row>
    <row r="554" ht="15" customHeight="1">
      <c r="A554" t="inlineStr">
        <is>
          <t>A 16284-2023</t>
        </is>
      </c>
      <c r="B554" t="inlineStr">
        <is>
          <t>avverkningsanmälan</t>
        </is>
      </c>
      <c r="C554" t="inlineStr">
        <is>
          <t>Föryngringsavverkning</t>
        </is>
      </c>
      <c r="D554" s="1" t="n">
        <v>45028</v>
      </c>
      <c r="E554" s="1" t="n">
        <v>46216</v>
      </c>
      <c r="F554" t="inlineStr">
        <is>
          <t>BLEKINGE LÄN</t>
        </is>
      </c>
      <c r="G554" t="inlineStr">
        <is>
          <t>KARLSKRONA</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42371-2023</t>
        </is>
      </c>
      <c r="B555" t="inlineStr">
        <is>
          <t>avverkningsanmälan</t>
        </is>
      </c>
      <c r="C555" t="inlineStr">
        <is>
          <t>Föryngringsavverkning</t>
        </is>
      </c>
      <c r="D555" s="1" t="n">
        <v>45180</v>
      </c>
      <c r="E555" s="1" t="n">
        <v>46216</v>
      </c>
      <c r="F555" t="inlineStr">
        <is>
          <t>BLEKINGE LÄN</t>
        </is>
      </c>
      <c r="G555" t="inlineStr">
        <is>
          <t>KARLSHAMN</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2885-2022</t>
        </is>
      </c>
      <c r="B556" t="inlineStr">
        <is>
          <t>avverkningsanmälan</t>
        </is>
      </c>
      <c r="C556" t="inlineStr">
        <is>
          <t>Föryngringsavverkning</t>
        </is>
      </c>
      <c r="D556" s="1" t="n">
        <v>44581</v>
      </c>
      <c r="E556" s="1" t="n">
        <v>46216</v>
      </c>
      <c r="F556" t="inlineStr">
        <is>
          <t>BLEKINGE LÄN</t>
        </is>
      </c>
      <c r="G556" t="inlineStr">
        <is>
          <t>OLOFSTRÖM</t>
        </is>
      </c>
      <c r="I556" t="n">
        <v>1.3</v>
      </c>
      <c r="J556" t="n">
        <v>0</v>
      </c>
      <c r="K556" t="n">
        <v>0</v>
      </c>
      <c r="L556" t="n">
        <v>0</v>
      </c>
      <c r="M556" t="n">
        <v>0</v>
      </c>
      <c r="N556" t="n">
        <v>0</v>
      </c>
      <c r="O556" t="n">
        <v>0</v>
      </c>
      <c r="P556" t="n">
        <v>0</v>
      </c>
      <c r="Q556" t="n">
        <v>0</v>
      </c>
      <c r="R556" t="n">
        <v>0</v>
      </c>
      <c r="S556" t="n">
        <v>0</v>
      </c>
      <c r="T556" t="n">
        <v>0</v>
      </c>
      <c r="U556" s="2" t="inlineStr"/>
    </row>
    <row r="557" ht="15" customHeight="1">
      <c r="A557" t="inlineStr">
        <is>
          <t>A 23098-2023</t>
        </is>
      </c>
      <c r="B557" t="inlineStr">
        <is>
          <t>avverkningsanmälan</t>
        </is>
      </c>
      <c r="C557" t="inlineStr">
        <is>
          <t>Föryngringsavverkning</t>
        </is>
      </c>
      <c r="D557" s="1" t="n">
        <v>45075</v>
      </c>
      <c r="E557" s="1" t="n">
        <v>46216</v>
      </c>
      <c r="F557" t="inlineStr">
        <is>
          <t>BLEKINGE LÄN</t>
        </is>
      </c>
      <c r="G557" t="inlineStr">
        <is>
          <t>KARLSKRONA</t>
        </is>
      </c>
      <c r="I557" t="n">
        <v>7</v>
      </c>
      <c r="J557" t="n">
        <v>0</v>
      </c>
      <c r="K557" t="n">
        <v>0</v>
      </c>
      <c r="L557" t="n">
        <v>0</v>
      </c>
      <c r="M557" t="n">
        <v>0</v>
      </c>
      <c r="N557" t="n">
        <v>0</v>
      </c>
      <c r="O557" t="n">
        <v>0</v>
      </c>
      <c r="P557" t="n">
        <v>0</v>
      </c>
      <c r="Q557" t="n">
        <v>0</v>
      </c>
      <c r="R557" t="n">
        <v>0</v>
      </c>
      <c r="S557" t="n">
        <v>0</v>
      </c>
      <c r="T557" t="n">
        <v>0</v>
      </c>
      <c r="U557" s="2" t="inlineStr"/>
    </row>
    <row r="558" ht="15" customHeight="1">
      <c r="A558" t="inlineStr">
        <is>
          <t>A 61861-2023</t>
        </is>
      </c>
      <c r="B558" t="inlineStr">
        <is>
          <t>avverkningsanmälan</t>
        </is>
      </c>
      <c r="C558" t="inlineStr">
        <is>
          <t>Föryngringsavverkning</t>
        </is>
      </c>
      <c r="D558" s="1" t="n">
        <v>45266</v>
      </c>
      <c r="E558" s="1" t="n">
        <v>46216</v>
      </c>
      <c r="F558" t="inlineStr">
        <is>
          <t>BLEKINGE LÄN</t>
        </is>
      </c>
      <c r="G558" t="inlineStr">
        <is>
          <t>KARLSKRONA</t>
        </is>
      </c>
      <c r="I558" t="n">
        <v>1.2</v>
      </c>
      <c r="J558" t="n">
        <v>0</v>
      </c>
      <c r="K558" t="n">
        <v>0</v>
      </c>
      <c r="L558" t="n">
        <v>0</v>
      </c>
      <c r="M558" t="n">
        <v>0</v>
      </c>
      <c r="N558" t="n">
        <v>0</v>
      </c>
      <c r="O558" t="n">
        <v>0</v>
      </c>
      <c r="P558" t="n">
        <v>0</v>
      </c>
      <c r="Q558" t="n">
        <v>0</v>
      </c>
      <c r="R558" t="n">
        <v>0</v>
      </c>
      <c r="S558" t="n">
        <v>0</v>
      </c>
      <c r="T558" t="n">
        <v>0</v>
      </c>
      <c r="U558" s="2" t="inlineStr"/>
    </row>
    <row r="559" ht="15" customHeight="1">
      <c r="A559" t="inlineStr">
        <is>
          <t>A 6660-2024</t>
        </is>
      </c>
      <c r="B559" t="inlineStr">
        <is>
          <t>avverkningsanmälan</t>
        </is>
      </c>
      <c r="C559" t="inlineStr">
        <is>
          <t>Föryngringsavverkning</t>
        </is>
      </c>
      <c r="D559" s="1" t="n">
        <v>45341</v>
      </c>
      <c r="E559" s="1" t="n">
        <v>46216</v>
      </c>
      <c r="F559" t="inlineStr">
        <is>
          <t>BLEKINGE LÄN</t>
        </is>
      </c>
      <c r="G559" t="inlineStr">
        <is>
          <t>RONNEBY</t>
        </is>
      </c>
      <c r="I559" t="n">
        <v>0</v>
      </c>
      <c r="J559" t="n">
        <v>0</v>
      </c>
      <c r="K559" t="n">
        <v>0</v>
      </c>
      <c r="L559" t="n">
        <v>0</v>
      </c>
      <c r="M559" t="n">
        <v>0</v>
      </c>
      <c r="N559" t="n">
        <v>0</v>
      </c>
      <c r="O559" t="n">
        <v>0</v>
      </c>
      <c r="P559" t="n">
        <v>0</v>
      </c>
      <c r="Q559" t="n">
        <v>0</v>
      </c>
      <c r="R559" t="n">
        <v>0</v>
      </c>
      <c r="S559" t="n">
        <v>0</v>
      </c>
      <c r="T559" t="n">
        <v>0</v>
      </c>
      <c r="U559" s="2" t="inlineStr"/>
    </row>
    <row r="560" ht="15" customHeight="1">
      <c r="A560" t="inlineStr">
        <is>
          <t>A 50352-2024</t>
        </is>
      </c>
      <c r="B560" t="inlineStr">
        <is>
          <t>avverkningsanmälan</t>
        </is>
      </c>
      <c r="C560" t="inlineStr">
        <is>
          <t>Föryngringsavverkning</t>
        </is>
      </c>
      <c r="D560" s="1" t="n">
        <v>45600</v>
      </c>
      <c r="E560" s="1" t="n">
        <v>46216</v>
      </c>
      <c r="F560" t="inlineStr">
        <is>
          <t>BLEKINGE LÄN</t>
        </is>
      </c>
      <c r="G560" t="inlineStr">
        <is>
          <t>RONNEBY</t>
        </is>
      </c>
      <c r="I560" t="n">
        <v>0.5</v>
      </c>
      <c r="J560" t="n">
        <v>0</v>
      </c>
      <c r="K560" t="n">
        <v>0</v>
      </c>
      <c r="L560" t="n">
        <v>0</v>
      </c>
      <c r="M560" t="n">
        <v>0</v>
      </c>
      <c r="N560" t="n">
        <v>0</v>
      </c>
      <c r="O560" t="n">
        <v>0</v>
      </c>
      <c r="P560" t="n">
        <v>0</v>
      </c>
      <c r="Q560" t="n">
        <v>0</v>
      </c>
      <c r="R560" t="n">
        <v>0</v>
      </c>
      <c r="S560" t="n">
        <v>0</v>
      </c>
      <c r="T560" t="n">
        <v>0</v>
      </c>
      <c r="U560" s="2" t="inlineStr"/>
    </row>
    <row r="561" ht="15" customHeight="1">
      <c r="A561" t="inlineStr">
        <is>
          <t>A 2382-2024</t>
        </is>
      </c>
      <c r="B561" t="inlineStr">
        <is>
          <t>avverkningsanmälan</t>
        </is>
      </c>
      <c r="C561" t="inlineStr">
        <is>
          <t>Föryngringsavverkning</t>
        </is>
      </c>
      <c r="D561" s="1" t="n">
        <v>45310</v>
      </c>
      <c r="E561" s="1" t="n">
        <v>46216</v>
      </c>
      <c r="F561" t="inlineStr">
        <is>
          <t>BLEKINGE LÄN</t>
        </is>
      </c>
      <c r="G561" t="inlineStr">
        <is>
          <t>RONNEBY</t>
        </is>
      </c>
      <c r="I561" t="n">
        <v>1.7</v>
      </c>
      <c r="J561" t="n">
        <v>0</v>
      </c>
      <c r="K561" t="n">
        <v>0</v>
      </c>
      <c r="L561" t="n">
        <v>0</v>
      </c>
      <c r="M561" t="n">
        <v>0</v>
      </c>
      <c r="N561" t="n">
        <v>0</v>
      </c>
      <c r="O561" t="n">
        <v>0</v>
      </c>
      <c r="P561" t="n">
        <v>0</v>
      </c>
      <c r="Q561" t="n">
        <v>0</v>
      </c>
      <c r="R561" t="n">
        <v>0</v>
      </c>
      <c r="S561" t="n">
        <v>0</v>
      </c>
      <c r="T561" t="n">
        <v>0</v>
      </c>
      <c r="U561" s="2" t="inlineStr"/>
    </row>
    <row r="562" ht="15" customHeight="1">
      <c r="A562" t="inlineStr">
        <is>
          <t>A 42300-2023</t>
        </is>
      </c>
      <c r="B562" t="inlineStr">
        <is>
          <t>avverkningsanmälan</t>
        </is>
      </c>
      <c r="C562" t="inlineStr">
        <is>
          <t>Föryngringsavverkning</t>
        </is>
      </c>
      <c r="D562" s="1" t="n">
        <v>45180</v>
      </c>
      <c r="E562" s="1" t="n">
        <v>46216</v>
      </c>
      <c r="F562" t="inlineStr">
        <is>
          <t>BLEKINGE LÄN</t>
        </is>
      </c>
      <c r="G562" t="inlineStr">
        <is>
          <t>OLOFSTRÖM</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10496-2023</t>
        </is>
      </c>
      <c r="B563" t="inlineStr">
        <is>
          <t>avverkningsanmälan</t>
        </is>
      </c>
      <c r="C563" t="inlineStr">
        <is>
          <t>Föryngringsavverkning</t>
        </is>
      </c>
      <c r="D563" s="1" t="n">
        <v>44987</v>
      </c>
      <c r="E563" s="1" t="n">
        <v>46216</v>
      </c>
      <c r="F563" t="inlineStr">
        <is>
          <t>BLEKINGE LÄN</t>
        </is>
      </c>
      <c r="G563" t="inlineStr">
        <is>
          <t>RONNEBY</t>
        </is>
      </c>
      <c r="I563" t="n">
        <v>0.6</v>
      </c>
      <c r="J563" t="n">
        <v>0</v>
      </c>
      <c r="K563" t="n">
        <v>0</v>
      </c>
      <c r="L563" t="n">
        <v>0</v>
      </c>
      <c r="M563" t="n">
        <v>0</v>
      </c>
      <c r="N563" t="n">
        <v>0</v>
      </c>
      <c r="O563" t="n">
        <v>0</v>
      </c>
      <c r="P563" t="n">
        <v>0</v>
      </c>
      <c r="Q563" t="n">
        <v>0</v>
      </c>
      <c r="R563" t="n">
        <v>0</v>
      </c>
      <c r="S563" t="n">
        <v>0</v>
      </c>
      <c r="T563" t="n">
        <v>0</v>
      </c>
      <c r="U563" s="2" t="inlineStr"/>
    </row>
    <row r="564" ht="15" customHeight="1">
      <c r="A564" t="inlineStr">
        <is>
          <t>A 15460-2023</t>
        </is>
      </c>
      <c r="B564" t="inlineStr">
        <is>
          <t>avverkningsanmälan</t>
        </is>
      </c>
      <c r="C564" t="inlineStr">
        <is>
          <t>Föryngringsavverkning</t>
        </is>
      </c>
      <c r="D564" s="1" t="n">
        <v>45020</v>
      </c>
      <c r="E564" s="1" t="n">
        <v>46216</v>
      </c>
      <c r="F564" t="inlineStr">
        <is>
          <t>BLEKINGE LÄN</t>
        </is>
      </c>
      <c r="G564" t="inlineStr">
        <is>
          <t>KARLSKRONA</t>
        </is>
      </c>
      <c r="I564" t="n">
        <v>0.4</v>
      </c>
      <c r="J564" t="n">
        <v>0</v>
      </c>
      <c r="K564" t="n">
        <v>0</v>
      </c>
      <c r="L564" t="n">
        <v>0</v>
      </c>
      <c r="M564" t="n">
        <v>0</v>
      </c>
      <c r="N564" t="n">
        <v>0</v>
      </c>
      <c r="O564" t="n">
        <v>0</v>
      </c>
      <c r="P564" t="n">
        <v>0</v>
      </c>
      <c r="Q564" t="n">
        <v>0</v>
      </c>
      <c r="R564" t="n">
        <v>0</v>
      </c>
      <c r="S564" t="n">
        <v>0</v>
      </c>
      <c r="T564" t="n">
        <v>0</v>
      </c>
      <c r="U564" s="2" t="inlineStr"/>
    </row>
    <row r="565" ht="15" customHeight="1">
      <c r="A565" t="inlineStr">
        <is>
          <t>A 10403-2022</t>
        </is>
      </c>
      <c r="B565" t="inlineStr">
        <is>
          <t>avverkningsanmälan</t>
        </is>
      </c>
      <c r="C565" t="inlineStr">
        <is>
          <t>Föryngringsavverkning</t>
        </is>
      </c>
      <c r="D565" s="1" t="n">
        <v>44623</v>
      </c>
      <c r="E565" s="1" t="n">
        <v>46216</v>
      </c>
      <c r="F565" t="inlineStr">
        <is>
          <t>BLEKINGE LÄN</t>
        </is>
      </c>
      <c r="G565" t="inlineStr">
        <is>
          <t>SÖLVESBORG</t>
        </is>
      </c>
      <c r="I565" t="n">
        <v>1.8</v>
      </c>
      <c r="J565" t="n">
        <v>0</v>
      </c>
      <c r="K565" t="n">
        <v>0</v>
      </c>
      <c r="L565" t="n">
        <v>0</v>
      </c>
      <c r="M565" t="n">
        <v>0</v>
      </c>
      <c r="N565" t="n">
        <v>0</v>
      </c>
      <c r="O565" t="n">
        <v>0</v>
      </c>
      <c r="P565" t="n">
        <v>0</v>
      </c>
      <c r="Q565" t="n">
        <v>0</v>
      </c>
      <c r="R565" t="n">
        <v>0</v>
      </c>
      <c r="S565" t="n">
        <v>0</v>
      </c>
      <c r="T565" t="n">
        <v>0</v>
      </c>
      <c r="U565" s="2" t="inlineStr"/>
    </row>
    <row r="566" ht="15" customHeight="1">
      <c r="A566" t="inlineStr">
        <is>
          <t>A 57675-2023</t>
        </is>
      </c>
      <c r="B566" t="inlineStr">
        <is>
          <t>avverkningsanmälan</t>
        </is>
      </c>
      <c r="C566" t="inlineStr">
        <is>
          <t>Föryngringsavverkning</t>
        </is>
      </c>
      <c r="D566" s="1" t="n">
        <v>45246</v>
      </c>
      <c r="E566" s="1" t="n">
        <v>46216</v>
      </c>
      <c r="F566" t="inlineStr">
        <is>
          <t>BLEKINGE LÄN</t>
        </is>
      </c>
      <c r="G566" t="inlineStr">
        <is>
          <t>OLOFSTRÖM</t>
        </is>
      </c>
      <c r="I566" t="n">
        <v>3.5</v>
      </c>
      <c r="J566" t="n">
        <v>0</v>
      </c>
      <c r="K566" t="n">
        <v>0</v>
      </c>
      <c r="L566" t="n">
        <v>0</v>
      </c>
      <c r="M566" t="n">
        <v>0</v>
      </c>
      <c r="N566" t="n">
        <v>0</v>
      </c>
      <c r="O566" t="n">
        <v>0</v>
      </c>
      <c r="P566" t="n">
        <v>0</v>
      </c>
      <c r="Q566" t="n">
        <v>0</v>
      </c>
      <c r="R566" t="n">
        <v>0</v>
      </c>
      <c r="S566" t="n">
        <v>0</v>
      </c>
      <c r="T566" t="n">
        <v>0</v>
      </c>
      <c r="U566" s="2" t="inlineStr"/>
    </row>
    <row r="567" ht="15" customHeight="1">
      <c r="A567" t="inlineStr">
        <is>
          <t>A 57678-2023</t>
        </is>
      </c>
      <c r="B567" t="inlineStr">
        <is>
          <t>avverkningsanmälan</t>
        </is>
      </c>
      <c r="C567" t="inlineStr">
        <is>
          <t>Föryngringsavverkning</t>
        </is>
      </c>
      <c r="D567" s="1" t="n">
        <v>45246</v>
      </c>
      <c r="E567" s="1" t="n">
        <v>46216</v>
      </c>
      <c r="F567" t="inlineStr">
        <is>
          <t>BLEKINGE LÄN</t>
        </is>
      </c>
      <c r="G567" t="inlineStr">
        <is>
          <t>KARLSHAMN</t>
        </is>
      </c>
      <c r="I567" t="n">
        <v>0.4</v>
      </c>
      <c r="J567" t="n">
        <v>0</v>
      </c>
      <c r="K567" t="n">
        <v>0</v>
      </c>
      <c r="L567" t="n">
        <v>0</v>
      </c>
      <c r="M567" t="n">
        <v>0</v>
      </c>
      <c r="N567" t="n">
        <v>0</v>
      </c>
      <c r="O567" t="n">
        <v>0</v>
      </c>
      <c r="P567" t="n">
        <v>0</v>
      </c>
      <c r="Q567" t="n">
        <v>0</v>
      </c>
      <c r="R567" t="n">
        <v>0</v>
      </c>
      <c r="S567" t="n">
        <v>0</v>
      </c>
      <c r="T567" t="n">
        <v>0</v>
      </c>
      <c r="U567" s="2" t="inlineStr"/>
    </row>
    <row r="568" ht="15" customHeight="1">
      <c r="A568" t="inlineStr">
        <is>
          <t>A 57687-2023</t>
        </is>
      </c>
      <c r="B568" t="inlineStr">
        <is>
          <t>avverkningsanmälan</t>
        </is>
      </c>
      <c r="C568" t="inlineStr">
        <is>
          <t>Föryngringsavverkning</t>
        </is>
      </c>
      <c r="D568" s="1" t="n">
        <v>45246</v>
      </c>
      <c r="E568" s="1" t="n">
        <v>46216</v>
      </c>
      <c r="F568" t="inlineStr">
        <is>
          <t>BLEKINGE LÄN</t>
        </is>
      </c>
      <c r="G568" t="inlineStr">
        <is>
          <t>KARLSHAMN</t>
        </is>
      </c>
      <c r="I568" t="n">
        <v>0.7</v>
      </c>
      <c r="J568" t="n">
        <v>0</v>
      </c>
      <c r="K568" t="n">
        <v>0</v>
      </c>
      <c r="L568" t="n">
        <v>0</v>
      </c>
      <c r="M568" t="n">
        <v>0</v>
      </c>
      <c r="N568" t="n">
        <v>0</v>
      </c>
      <c r="O568" t="n">
        <v>0</v>
      </c>
      <c r="P568" t="n">
        <v>0</v>
      </c>
      <c r="Q568" t="n">
        <v>0</v>
      </c>
      <c r="R568" t="n">
        <v>0</v>
      </c>
      <c r="S568" t="n">
        <v>0</v>
      </c>
      <c r="T568" t="n">
        <v>0</v>
      </c>
      <c r="U568" s="2" t="inlineStr"/>
    </row>
    <row r="569" ht="15" customHeight="1">
      <c r="A569" t="inlineStr">
        <is>
          <t>A 10767-2022</t>
        </is>
      </c>
      <c r="B569" t="inlineStr">
        <is>
          <t>avverkningsanmälan</t>
        </is>
      </c>
      <c r="C569" t="inlineStr">
        <is>
          <t>Föryngringsavverkning</t>
        </is>
      </c>
      <c r="D569" s="1" t="n">
        <v>44627</v>
      </c>
      <c r="E569" s="1" t="n">
        <v>46216</v>
      </c>
      <c r="F569" t="inlineStr">
        <is>
          <t>BLEKINGE LÄN</t>
        </is>
      </c>
      <c r="G569" t="inlineStr">
        <is>
          <t>RONNEBY</t>
        </is>
      </c>
      <c r="I569" t="n">
        <v>0.6</v>
      </c>
      <c r="J569" t="n">
        <v>0</v>
      </c>
      <c r="K569" t="n">
        <v>0</v>
      </c>
      <c r="L569" t="n">
        <v>0</v>
      </c>
      <c r="M569" t="n">
        <v>0</v>
      </c>
      <c r="N569" t="n">
        <v>0</v>
      </c>
      <c r="O569" t="n">
        <v>0</v>
      </c>
      <c r="P569" t="n">
        <v>0</v>
      </c>
      <c r="Q569" t="n">
        <v>0</v>
      </c>
      <c r="R569" t="n">
        <v>0</v>
      </c>
      <c r="S569" t="n">
        <v>0</v>
      </c>
      <c r="T569" t="n">
        <v>0</v>
      </c>
      <c r="U569" s="2" t="inlineStr"/>
    </row>
    <row r="570" ht="15" customHeight="1">
      <c r="A570" t="inlineStr">
        <is>
          <t>A 72273-2021</t>
        </is>
      </c>
      <c r="B570" t="inlineStr">
        <is>
          <t>avverkningsanmälan</t>
        </is>
      </c>
      <c r="C570" t="inlineStr">
        <is>
          <t>Föryngringsavverkning</t>
        </is>
      </c>
      <c r="D570" s="1" t="n">
        <v>44545</v>
      </c>
      <c r="E570" s="1" t="n">
        <v>46216</v>
      </c>
      <c r="F570" t="inlineStr">
        <is>
          <t>BLEKINGE LÄN</t>
        </is>
      </c>
      <c r="G570" t="inlineStr">
        <is>
          <t>KARLSKRONA</t>
        </is>
      </c>
      <c r="I570" t="n">
        <v>2</v>
      </c>
      <c r="J570" t="n">
        <v>0</v>
      </c>
      <c r="K570" t="n">
        <v>0</v>
      </c>
      <c r="L570" t="n">
        <v>0</v>
      </c>
      <c r="M570" t="n">
        <v>0</v>
      </c>
      <c r="N570" t="n">
        <v>0</v>
      </c>
      <c r="O570" t="n">
        <v>0</v>
      </c>
      <c r="P570" t="n">
        <v>0</v>
      </c>
      <c r="Q570" t="n">
        <v>0</v>
      </c>
      <c r="R570" t="n">
        <v>0</v>
      </c>
      <c r="S570" t="n">
        <v>0</v>
      </c>
      <c r="T570" t="n">
        <v>0</v>
      </c>
      <c r="U570" s="2" t="inlineStr"/>
    </row>
    <row r="571" ht="15" customHeight="1">
      <c r="A571" t="inlineStr">
        <is>
          <t>A 39472-2024</t>
        </is>
      </c>
      <c r="B571" t="inlineStr">
        <is>
          <t>avverkningsanmälan</t>
        </is>
      </c>
      <c r="C571" t="inlineStr">
        <is>
          <t>Föryngringsavverkning</t>
        </is>
      </c>
      <c r="D571" s="1" t="n">
        <v>45551</v>
      </c>
      <c r="E571" s="1" t="n">
        <v>46216</v>
      </c>
      <c r="F571" t="inlineStr">
        <is>
          <t>BLEKINGE LÄN</t>
        </is>
      </c>
      <c r="G571" t="inlineStr">
        <is>
          <t>RONNEBY</t>
        </is>
      </c>
      <c r="I571" t="n">
        <v>6</v>
      </c>
      <c r="J571" t="n">
        <v>0</v>
      </c>
      <c r="K571" t="n">
        <v>0</v>
      </c>
      <c r="L571" t="n">
        <v>0</v>
      </c>
      <c r="M571" t="n">
        <v>0</v>
      </c>
      <c r="N571" t="n">
        <v>0</v>
      </c>
      <c r="O571" t="n">
        <v>0</v>
      </c>
      <c r="P571" t="n">
        <v>0</v>
      </c>
      <c r="Q571" t="n">
        <v>0</v>
      </c>
      <c r="R571" t="n">
        <v>0</v>
      </c>
      <c r="S571" t="n">
        <v>0</v>
      </c>
      <c r="T571" t="n">
        <v>0</v>
      </c>
      <c r="U571" s="2" t="inlineStr"/>
    </row>
    <row r="572" ht="15" customHeight="1">
      <c r="A572" t="inlineStr">
        <is>
          <t>A 39775-2024</t>
        </is>
      </c>
      <c r="B572" t="inlineStr">
        <is>
          <t>avverkningsanmälan</t>
        </is>
      </c>
      <c r="C572" t="inlineStr">
        <is>
          <t>Avverkning för annat ändamål</t>
        </is>
      </c>
      <c r="D572" s="1" t="n">
        <v>45552</v>
      </c>
      <c r="E572" s="1" t="n">
        <v>46216</v>
      </c>
      <c r="F572" t="inlineStr">
        <is>
          <t>BLEKINGE LÄN</t>
        </is>
      </c>
      <c r="G572" t="inlineStr">
        <is>
          <t>OLOFSTRÖM</t>
        </is>
      </c>
      <c r="I572" t="n">
        <v>0.8</v>
      </c>
      <c r="J572" t="n">
        <v>0</v>
      </c>
      <c r="K572" t="n">
        <v>0</v>
      </c>
      <c r="L572" t="n">
        <v>0</v>
      </c>
      <c r="M572" t="n">
        <v>0</v>
      </c>
      <c r="N572" t="n">
        <v>0</v>
      </c>
      <c r="O572" t="n">
        <v>0</v>
      </c>
      <c r="P572" t="n">
        <v>0</v>
      </c>
      <c r="Q572" t="n">
        <v>0</v>
      </c>
      <c r="R572" t="n">
        <v>0</v>
      </c>
      <c r="S572" t="n">
        <v>0</v>
      </c>
      <c r="T572" t="n">
        <v>0</v>
      </c>
      <c r="U572" s="2" t="inlineStr"/>
    </row>
    <row r="573" ht="15" customHeight="1">
      <c r="A573" t="inlineStr">
        <is>
          <t>A 61123-2024</t>
        </is>
      </c>
      <c r="B573" t="inlineStr">
        <is>
          <t>avverkningsanmälan</t>
        </is>
      </c>
      <c r="C573" t="inlineStr">
        <is>
          <t>Föryngringsavverkning</t>
        </is>
      </c>
      <c r="D573" s="1" t="n">
        <v>45645</v>
      </c>
      <c r="E573" s="1" t="n">
        <v>46216</v>
      </c>
      <c r="F573" t="inlineStr">
        <is>
          <t>BLEKINGE LÄN</t>
        </is>
      </c>
      <c r="G573" t="inlineStr">
        <is>
          <t>OLOFSTRÖM</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16288-2023</t>
        </is>
      </c>
      <c r="B574" t="inlineStr">
        <is>
          <t>avverkningsanmälan</t>
        </is>
      </c>
      <c r="C574" t="inlineStr">
        <is>
          <t>Föryngringsavverkning</t>
        </is>
      </c>
      <c r="D574" s="1" t="n">
        <v>45028</v>
      </c>
      <c r="E574" s="1" t="n">
        <v>46216</v>
      </c>
      <c r="F574" t="inlineStr">
        <is>
          <t>BLEKINGE LÄN</t>
        </is>
      </c>
      <c r="G574" t="inlineStr">
        <is>
          <t>KARLSKRONA</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29262-2023</t>
        </is>
      </c>
      <c r="B575" t="inlineStr">
        <is>
          <t>avverkningsanmälan</t>
        </is>
      </c>
      <c r="C575" t="inlineStr">
        <is>
          <t>Föryngringsavverkning</t>
        </is>
      </c>
      <c r="D575" s="1" t="n">
        <v>45098</v>
      </c>
      <c r="E575" s="1" t="n">
        <v>46216</v>
      </c>
      <c r="F575" t="inlineStr">
        <is>
          <t>BLEKINGE LÄN</t>
        </is>
      </c>
      <c r="G575" t="inlineStr">
        <is>
          <t>RONNEBY</t>
        </is>
      </c>
      <c r="I575" t="n">
        <v>2.4</v>
      </c>
      <c r="J575" t="n">
        <v>0</v>
      </c>
      <c r="K575" t="n">
        <v>0</v>
      </c>
      <c r="L575" t="n">
        <v>0</v>
      </c>
      <c r="M575" t="n">
        <v>0</v>
      </c>
      <c r="N575" t="n">
        <v>0</v>
      </c>
      <c r="O575" t="n">
        <v>0</v>
      </c>
      <c r="P575" t="n">
        <v>0</v>
      </c>
      <c r="Q575" t="n">
        <v>0</v>
      </c>
      <c r="R575" t="n">
        <v>0</v>
      </c>
      <c r="S575" t="n">
        <v>0</v>
      </c>
      <c r="T575" t="n">
        <v>0</v>
      </c>
      <c r="U575" s="2" t="inlineStr"/>
    </row>
    <row r="576" ht="15" customHeight="1">
      <c r="A576" t="inlineStr">
        <is>
          <t>A 15348-2025</t>
        </is>
      </c>
      <c r="B576" t="inlineStr">
        <is>
          <t>avverkningsanmälan</t>
        </is>
      </c>
      <c r="C576" t="inlineStr">
        <is>
          <t>Föryngringsavverkning</t>
        </is>
      </c>
      <c r="D576" s="1" t="n">
        <v>45747</v>
      </c>
      <c r="E576" s="1" t="n">
        <v>46216</v>
      </c>
      <c r="F576" t="inlineStr">
        <is>
          <t>BLEKINGE LÄN</t>
        </is>
      </c>
      <c r="G576" t="inlineStr">
        <is>
          <t>OLOFSTRÖM</t>
        </is>
      </c>
      <c r="I576" t="n">
        <v>7.9</v>
      </c>
      <c r="J576" t="n">
        <v>0</v>
      </c>
      <c r="K576" t="n">
        <v>0</v>
      </c>
      <c r="L576" t="n">
        <v>0</v>
      </c>
      <c r="M576" t="n">
        <v>0</v>
      </c>
      <c r="N576" t="n">
        <v>0</v>
      </c>
      <c r="O576" t="n">
        <v>0</v>
      </c>
      <c r="P576" t="n">
        <v>0</v>
      </c>
      <c r="Q576" t="n">
        <v>0</v>
      </c>
      <c r="R576" t="n">
        <v>0</v>
      </c>
      <c r="S576" t="n">
        <v>0</v>
      </c>
      <c r="T576" t="n">
        <v>0</v>
      </c>
      <c r="U576" s="2" t="inlineStr"/>
    </row>
    <row r="577" ht="15" customHeight="1">
      <c r="A577" t="inlineStr">
        <is>
          <t>A 15354-2025</t>
        </is>
      </c>
      <c r="B577" t="inlineStr">
        <is>
          <t>avverkningsanmälan</t>
        </is>
      </c>
      <c r="C577" t="inlineStr">
        <is>
          <t>Föryngringsavverkning</t>
        </is>
      </c>
      <c r="D577" s="1" t="n">
        <v>45747</v>
      </c>
      <c r="E577" s="1" t="n">
        <v>46216</v>
      </c>
      <c r="F577" t="inlineStr">
        <is>
          <t>BLEKINGE LÄN</t>
        </is>
      </c>
      <c r="G577" t="inlineStr">
        <is>
          <t>OLOFSTRÖM</t>
        </is>
      </c>
      <c r="I577" t="n">
        <v>4.4</v>
      </c>
      <c r="J577" t="n">
        <v>0</v>
      </c>
      <c r="K577" t="n">
        <v>0</v>
      </c>
      <c r="L577" t="n">
        <v>0</v>
      </c>
      <c r="M577" t="n">
        <v>0</v>
      </c>
      <c r="N577" t="n">
        <v>0</v>
      </c>
      <c r="O577" t="n">
        <v>0</v>
      </c>
      <c r="P577" t="n">
        <v>0</v>
      </c>
      <c r="Q577" t="n">
        <v>0</v>
      </c>
      <c r="R577" t="n">
        <v>0</v>
      </c>
      <c r="S577" t="n">
        <v>0</v>
      </c>
      <c r="T577" t="n">
        <v>0</v>
      </c>
      <c r="U577" s="2" t="inlineStr"/>
    </row>
    <row r="578" ht="15" customHeight="1">
      <c r="A578" t="inlineStr">
        <is>
          <t>A 19150-2022</t>
        </is>
      </c>
      <c r="B578" t="inlineStr">
        <is>
          <t>avverkningsanmälan</t>
        </is>
      </c>
      <c r="C578" t="inlineStr">
        <is>
          <t>Föryngringsavverkning</t>
        </is>
      </c>
      <c r="D578" s="1" t="n">
        <v>44691</v>
      </c>
      <c r="E578" s="1" t="n">
        <v>46216</v>
      </c>
      <c r="F578" t="inlineStr">
        <is>
          <t>BLEKINGE LÄN</t>
        </is>
      </c>
      <c r="G578" t="inlineStr">
        <is>
          <t>KARLSKRONA</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33420-2023</t>
        </is>
      </c>
      <c r="B579" t="inlineStr">
        <is>
          <t>avverkningsanmälan</t>
        </is>
      </c>
      <c r="C579" t="inlineStr">
        <is>
          <t>Föryngringsavverkning</t>
        </is>
      </c>
      <c r="D579" s="1" t="n">
        <v>45128</v>
      </c>
      <c r="E579" s="1" t="n">
        <v>46216</v>
      </c>
      <c r="F579" t="inlineStr">
        <is>
          <t>BLEKINGE LÄN</t>
        </is>
      </c>
      <c r="G579" t="inlineStr">
        <is>
          <t>RONNEBY</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47260-2024</t>
        </is>
      </c>
      <c r="B580" t="inlineStr">
        <is>
          <t>avverkningsanmälan</t>
        </is>
      </c>
      <c r="C580" t="inlineStr">
        <is>
          <t>Föryngringsavverkning</t>
        </is>
      </c>
      <c r="D580" s="1" t="n">
        <v>45586</v>
      </c>
      <c r="E580" s="1" t="n">
        <v>46216</v>
      </c>
      <c r="F580" t="inlineStr">
        <is>
          <t>BLEKINGE LÄN</t>
        </is>
      </c>
      <c r="G580" t="inlineStr">
        <is>
          <t>KARLSKRONA</t>
        </is>
      </c>
      <c r="I580" t="n">
        <v>1.4</v>
      </c>
      <c r="J580" t="n">
        <v>0</v>
      </c>
      <c r="K580" t="n">
        <v>0</v>
      </c>
      <c r="L580" t="n">
        <v>0</v>
      </c>
      <c r="M580" t="n">
        <v>0</v>
      </c>
      <c r="N580" t="n">
        <v>0</v>
      </c>
      <c r="O580" t="n">
        <v>0</v>
      </c>
      <c r="P580" t="n">
        <v>0</v>
      </c>
      <c r="Q580" t="n">
        <v>0</v>
      </c>
      <c r="R580" t="n">
        <v>0</v>
      </c>
      <c r="S580" t="n">
        <v>0</v>
      </c>
      <c r="T580" t="n">
        <v>0</v>
      </c>
      <c r="U580" s="2" t="inlineStr"/>
    </row>
    <row r="581" ht="15" customHeight="1">
      <c r="A581" t="inlineStr">
        <is>
          <t>A 5077-2025</t>
        </is>
      </c>
      <c r="B581" t="inlineStr">
        <is>
          <t>avverkningsanmälan</t>
        </is>
      </c>
      <c r="C581" t="inlineStr">
        <is>
          <t>Föryngringsavverkning</t>
        </is>
      </c>
      <c r="D581" s="1" t="n">
        <v>45691</v>
      </c>
      <c r="E581" s="1" t="n">
        <v>46216</v>
      </c>
      <c r="F581" t="inlineStr">
        <is>
          <t>BLEKINGE LÄN</t>
        </is>
      </c>
      <c r="G581" t="inlineStr">
        <is>
          <t>RONNEBY</t>
        </is>
      </c>
      <c r="I581" t="n">
        <v>2.7</v>
      </c>
      <c r="J581" t="n">
        <v>0</v>
      </c>
      <c r="K581" t="n">
        <v>0</v>
      </c>
      <c r="L581" t="n">
        <v>0</v>
      </c>
      <c r="M581" t="n">
        <v>0</v>
      </c>
      <c r="N581" t="n">
        <v>0</v>
      </c>
      <c r="O581" t="n">
        <v>0</v>
      </c>
      <c r="P581" t="n">
        <v>0</v>
      </c>
      <c r="Q581" t="n">
        <v>0</v>
      </c>
      <c r="R581" t="n">
        <v>0</v>
      </c>
      <c r="S581" t="n">
        <v>0</v>
      </c>
      <c r="T581" t="n">
        <v>0</v>
      </c>
      <c r="U581" s="2" t="inlineStr"/>
    </row>
    <row r="582" ht="15" customHeight="1">
      <c r="A582" t="inlineStr">
        <is>
          <t>A 29232-2024</t>
        </is>
      </c>
      <c r="B582" t="inlineStr">
        <is>
          <t>avverkningsanmälan</t>
        </is>
      </c>
      <c r="C582" t="inlineStr">
        <is>
          <t>Föryngringsavverkning</t>
        </is>
      </c>
      <c r="D582" s="1" t="n">
        <v>45482</v>
      </c>
      <c r="E582" s="1" t="n">
        <v>46216</v>
      </c>
      <c r="F582" t="inlineStr">
        <is>
          <t>BLEKINGE LÄN</t>
        </is>
      </c>
      <c r="G582" t="inlineStr">
        <is>
          <t>RONNEBY</t>
        </is>
      </c>
      <c r="I582" t="n">
        <v>1.5</v>
      </c>
      <c r="J582" t="n">
        <v>0</v>
      </c>
      <c r="K582" t="n">
        <v>0</v>
      </c>
      <c r="L582" t="n">
        <v>0</v>
      </c>
      <c r="M582" t="n">
        <v>0</v>
      </c>
      <c r="N582" t="n">
        <v>0</v>
      </c>
      <c r="O582" t="n">
        <v>0</v>
      </c>
      <c r="P582" t="n">
        <v>0</v>
      </c>
      <c r="Q582" t="n">
        <v>0</v>
      </c>
      <c r="R582" t="n">
        <v>0</v>
      </c>
      <c r="S582" t="n">
        <v>0</v>
      </c>
      <c r="T582" t="n">
        <v>0</v>
      </c>
      <c r="U582" s="2" t="inlineStr"/>
    </row>
    <row r="583" ht="15" customHeight="1">
      <c r="A583" t="inlineStr">
        <is>
          <t>A 51369-2023</t>
        </is>
      </c>
      <c r="B583" t="inlineStr">
        <is>
          <t>avverkningsanmälan</t>
        </is>
      </c>
      <c r="C583" t="inlineStr">
        <is>
          <t>Föryngringsavverkning</t>
        </is>
      </c>
      <c r="D583" s="1" t="n">
        <v>45219</v>
      </c>
      <c r="E583" s="1" t="n">
        <v>46216</v>
      </c>
      <c r="F583" t="inlineStr">
        <is>
          <t>BLEKINGE LÄN</t>
        </is>
      </c>
      <c r="G583" t="inlineStr">
        <is>
          <t>KARLSHAMN</t>
        </is>
      </c>
      <c r="I583" t="n">
        <v>0.5</v>
      </c>
      <c r="J583" t="n">
        <v>0</v>
      </c>
      <c r="K583" t="n">
        <v>0</v>
      </c>
      <c r="L583" t="n">
        <v>0</v>
      </c>
      <c r="M583" t="n">
        <v>0</v>
      </c>
      <c r="N583" t="n">
        <v>0</v>
      </c>
      <c r="O583" t="n">
        <v>0</v>
      </c>
      <c r="P583" t="n">
        <v>0</v>
      </c>
      <c r="Q583" t="n">
        <v>0</v>
      </c>
      <c r="R583" t="n">
        <v>0</v>
      </c>
      <c r="S583" t="n">
        <v>0</v>
      </c>
      <c r="T583" t="n">
        <v>0</v>
      </c>
      <c r="U583" s="2" t="inlineStr"/>
    </row>
    <row r="584" ht="15" customHeight="1">
      <c r="A584" t="inlineStr">
        <is>
          <t>A 5551-2025</t>
        </is>
      </c>
      <c r="B584" t="inlineStr">
        <is>
          <t>avverkningsanmälan</t>
        </is>
      </c>
      <c r="C584" t="inlineStr">
        <is>
          <t>Föryngringsavverkning</t>
        </is>
      </c>
      <c r="D584" s="1" t="n">
        <v>45693</v>
      </c>
      <c r="E584" s="1" t="n">
        <v>46216</v>
      </c>
      <c r="F584" t="inlineStr">
        <is>
          <t>BLEKINGE LÄN</t>
        </is>
      </c>
      <c r="G584" t="inlineStr">
        <is>
          <t>OLOFSTRÖM</t>
        </is>
      </c>
      <c r="I584" t="n">
        <v>1.9</v>
      </c>
      <c r="J584" t="n">
        <v>0</v>
      </c>
      <c r="K584" t="n">
        <v>0</v>
      </c>
      <c r="L584" t="n">
        <v>0</v>
      </c>
      <c r="M584" t="n">
        <v>0</v>
      </c>
      <c r="N584" t="n">
        <v>0</v>
      </c>
      <c r="O584" t="n">
        <v>0</v>
      </c>
      <c r="P584" t="n">
        <v>0</v>
      </c>
      <c r="Q584" t="n">
        <v>0</v>
      </c>
      <c r="R584" t="n">
        <v>0</v>
      </c>
      <c r="S584" t="n">
        <v>0</v>
      </c>
      <c r="T584" t="n">
        <v>0</v>
      </c>
      <c r="U584" s="2" t="inlineStr"/>
    </row>
    <row r="585" ht="15" customHeight="1">
      <c r="A585" t="inlineStr">
        <is>
          <t>A 4698-2024</t>
        </is>
      </c>
      <c r="B585" t="inlineStr">
        <is>
          <t>avverkningsanmälan</t>
        </is>
      </c>
      <c r="C585" t="inlineStr">
        <is>
          <t>Föryngringsavverkning</t>
        </is>
      </c>
      <c r="D585" s="1" t="n">
        <v>45328</v>
      </c>
      <c r="E585" s="1" t="n">
        <v>46216</v>
      </c>
      <c r="F585" t="inlineStr">
        <is>
          <t>BLEKINGE LÄN</t>
        </is>
      </c>
      <c r="G585" t="inlineStr">
        <is>
          <t>KARLSKRONA</t>
        </is>
      </c>
      <c r="I585" t="n">
        <v>0.7</v>
      </c>
      <c r="J585" t="n">
        <v>0</v>
      </c>
      <c r="K585" t="n">
        <v>0</v>
      </c>
      <c r="L585" t="n">
        <v>0</v>
      </c>
      <c r="M585" t="n">
        <v>0</v>
      </c>
      <c r="N585" t="n">
        <v>0</v>
      </c>
      <c r="O585" t="n">
        <v>0</v>
      </c>
      <c r="P585" t="n">
        <v>0</v>
      </c>
      <c r="Q585" t="n">
        <v>0</v>
      </c>
      <c r="R585" t="n">
        <v>0</v>
      </c>
      <c r="S585" t="n">
        <v>0</v>
      </c>
      <c r="T585" t="n">
        <v>0</v>
      </c>
      <c r="U585" s="2" t="inlineStr"/>
    </row>
    <row r="586" ht="15" customHeight="1">
      <c r="A586" t="inlineStr">
        <is>
          <t>A 31218-2024</t>
        </is>
      </c>
      <c r="B586" t="inlineStr">
        <is>
          <t>avverkningsanmälan</t>
        </is>
      </c>
      <c r="C586" t="inlineStr">
        <is>
          <t>Föryngringsavverkning</t>
        </is>
      </c>
      <c r="D586" s="1" t="n">
        <v>45503</v>
      </c>
      <c r="E586" s="1" t="n">
        <v>46216</v>
      </c>
      <c r="F586" t="inlineStr">
        <is>
          <t>BLEKINGE LÄN</t>
        </is>
      </c>
      <c r="G586" t="inlineStr">
        <is>
          <t>RONNEBY</t>
        </is>
      </c>
      <c r="I586" t="n">
        <v>1.6</v>
      </c>
      <c r="J586" t="n">
        <v>0</v>
      </c>
      <c r="K586" t="n">
        <v>0</v>
      </c>
      <c r="L586" t="n">
        <v>0</v>
      </c>
      <c r="M586" t="n">
        <v>0</v>
      </c>
      <c r="N586" t="n">
        <v>0</v>
      </c>
      <c r="O586" t="n">
        <v>0</v>
      </c>
      <c r="P586" t="n">
        <v>0</v>
      </c>
      <c r="Q586" t="n">
        <v>0</v>
      </c>
      <c r="R586" t="n">
        <v>0</v>
      </c>
      <c r="S586" t="n">
        <v>0</v>
      </c>
      <c r="T586" t="n">
        <v>0</v>
      </c>
      <c r="U586" s="2" t="inlineStr"/>
    </row>
    <row r="587" ht="15" customHeight="1">
      <c r="A587" t="inlineStr">
        <is>
          <t>A 54513-2021</t>
        </is>
      </c>
      <c r="B587" t="inlineStr">
        <is>
          <t>avverkningsanmälan</t>
        </is>
      </c>
      <c r="C587" t="inlineStr">
        <is>
          <t>Föryngringsavverkning</t>
        </is>
      </c>
      <c r="D587" s="1" t="n">
        <v>44473</v>
      </c>
      <c r="E587" s="1" t="n">
        <v>46216</v>
      </c>
      <c r="F587" t="inlineStr">
        <is>
          <t>BLEKINGE LÄN</t>
        </is>
      </c>
      <c r="G587" t="inlineStr">
        <is>
          <t>OLOFSTRÖM</t>
        </is>
      </c>
      <c r="I587" t="n">
        <v>1.8</v>
      </c>
      <c r="J587" t="n">
        <v>0</v>
      </c>
      <c r="K587" t="n">
        <v>0</v>
      </c>
      <c r="L587" t="n">
        <v>0</v>
      </c>
      <c r="M587" t="n">
        <v>0</v>
      </c>
      <c r="N587" t="n">
        <v>0</v>
      </c>
      <c r="O587" t="n">
        <v>0</v>
      </c>
      <c r="P587" t="n">
        <v>0</v>
      </c>
      <c r="Q587" t="n">
        <v>0</v>
      </c>
      <c r="R587" t="n">
        <v>0</v>
      </c>
      <c r="S587" t="n">
        <v>0</v>
      </c>
      <c r="T587" t="n">
        <v>0</v>
      </c>
      <c r="U587" s="2" t="inlineStr"/>
    </row>
    <row r="588" ht="15" customHeight="1">
      <c r="A588" t="inlineStr">
        <is>
          <t>A 13984-2025</t>
        </is>
      </c>
      <c r="B588" t="inlineStr">
        <is>
          <t>avverkningsanmälan</t>
        </is>
      </c>
      <c r="C588" t="inlineStr">
        <is>
          <t>Föryngringsavverkning</t>
        </is>
      </c>
      <c r="D588" s="1" t="n">
        <v>45739</v>
      </c>
      <c r="E588" s="1" t="n">
        <v>46216</v>
      </c>
      <c r="F588" t="inlineStr">
        <is>
          <t>BLEKINGE LÄN</t>
        </is>
      </c>
      <c r="G588" t="inlineStr">
        <is>
          <t>RONNEBY</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21486-2022</t>
        </is>
      </c>
      <c r="B589" t="inlineStr">
        <is>
          <t>avverkningsanmälan</t>
        </is>
      </c>
      <c r="C589" t="inlineStr">
        <is>
          <t>Föryngringsavverkning</t>
        </is>
      </c>
      <c r="D589" s="1" t="n">
        <v>44706</v>
      </c>
      <c r="E589" s="1" t="n">
        <v>46216</v>
      </c>
      <c r="F589" t="inlineStr">
        <is>
          <t>BLEKINGE LÄN</t>
        </is>
      </c>
      <c r="G589" t="inlineStr">
        <is>
          <t>KARLSKRONA</t>
        </is>
      </c>
      <c r="I589" t="n">
        <v>3.2</v>
      </c>
      <c r="J589" t="n">
        <v>0</v>
      </c>
      <c r="K589" t="n">
        <v>0</v>
      </c>
      <c r="L589" t="n">
        <v>0</v>
      </c>
      <c r="M589" t="n">
        <v>0</v>
      </c>
      <c r="N589" t="n">
        <v>0</v>
      </c>
      <c r="O589" t="n">
        <v>0</v>
      </c>
      <c r="P589" t="n">
        <v>0</v>
      </c>
      <c r="Q589" t="n">
        <v>0</v>
      </c>
      <c r="R589" t="n">
        <v>0</v>
      </c>
      <c r="S589" t="n">
        <v>0</v>
      </c>
      <c r="T589" t="n">
        <v>0</v>
      </c>
      <c r="U589" s="2" t="inlineStr"/>
    </row>
    <row r="590" ht="15" customHeight="1">
      <c r="A590" t="inlineStr">
        <is>
          <t>A 10505-2023</t>
        </is>
      </c>
      <c r="B590" t="inlineStr">
        <is>
          <t>avverkningsanmälan</t>
        </is>
      </c>
      <c r="C590" t="inlineStr">
        <is>
          <t>Föryngringsavverkning</t>
        </is>
      </c>
      <c r="D590" s="1" t="n">
        <v>44987</v>
      </c>
      <c r="E590" s="1" t="n">
        <v>46216</v>
      </c>
      <c r="F590" t="inlineStr">
        <is>
          <t>BLEKINGE LÄN</t>
        </is>
      </c>
      <c r="G590" t="inlineStr">
        <is>
          <t>RONNEBY</t>
        </is>
      </c>
      <c r="I590" t="n">
        <v>0.7</v>
      </c>
      <c r="J590" t="n">
        <v>0</v>
      </c>
      <c r="K590" t="n">
        <v>0</v>
      </c>
      <c r="L590" t="n">
        <v>0</v>
      </c>
      <c r="M590" t="n">
        <v>0</v>
      </c>
      <c r="N590" t="n">
        <v>0</v>
      </c>
      <c r="O590" t="n">
        <v>0</v>
      </c>
      <c r="P590" t="n">
        <v>0</v>
      </c>
      <c r="Q590" t="n">
        <v>0</v>
      </c>
      <c r="R590" t="n">
        <v>0</v>
      </c>
      <c r="S590" t="n">
        <v>0</v>
      </c>
      <c r="T590" t="n">
        <v>0</v>
      </c>
      <c r="U590" s="2" t="inlineStr"/>
    </row>
    <row r="591" ht="15" customHeight="1">
      <c r="A591" t="inlineStr">
        <is>
          <t>A 10506-2023</t>
        </is>
      </c>
      <c r="B591" t="inlineStr">
        <is>
          <t>avverkningsanmälan</t>
        </is>
      </c>
      <c r="C591" t="inlineStr">
        <is>
          <t>Föryngringsavverkning</t>
        </is>
      </c>
      <c r="D591" s="1" t="n">
        <v>44987</v>
      </c>
      <c r="E591" s="1" t="n">
        <v>46216</v>
      </c>
      <c r="F591" t="inlineStr">
        <is>
          <t>BLEKINGE LÄN</t>
        </is>
      </c>
      <c r="G591" t="inlineStr">
        <is>
          <t>RONNEBY</t>
        </is>
      </c>
      <c r="I591" t="n">
        <v>0.5</v>
      </c>
      <c r="J591" t="n">
        <v>0</v>
      </c>
      <c r="K591" t="n">
        <v>0</v>
      </c>
      <c r="L591" t="n">
        <v>0</v>
      </c>
      <c r="M591" t="n">
        <v>0</v>
      </c>
      <c r="N591" t="n">
        <v>0</v>
      </c>
      <c r="O591" t="n">
        <v>0</v>
      </c>
      <c r="P591" t="n">
        <v>0</v>
      </c>
      <c r="Q591" t="n">
        <v>0</v>
      </c>
      <c r="R591" t="n">
        <v>0</v>
      </c>
      <c r="S591" t="n">
        <v>0</v>
      </c>
      <c r="T591" t="n">
        <v>0</v>
      </c>
      <c r="U591" s="2" t="inlineStr"/>
    </row>
    <row r="592" ht="15" customHeight="1">
      <c r="A592" t="inlineStr">
        <is>
          <t>A 55351-2023</t>
        </is>
      </c>
      <c r="B592" t="inlineStr">
        <is>
          <t>avverkningsanmälan</t>
        </is>
      </c>
      <c r="C592" t="inlineStr">
        <is>
          <t>Föryngringsavverkning</t>
        </is>
      </c>
      <c r="D592" s="1" t="n">
        <v>45238</v>
      </c>
      <c r="E592" s="1" t="n">
        <v>46216</v>
      </c>
      <c r="F592" t="inlineStr">
        <is>
          <t>BLEKINGE LÄN</t>
        </is>
      </c>
      <c r="G592" t="inlineStr">
        <is>
          <t>RONNEBY</t>
        </is>
      </c>
      <c r="I592" t="n">
        <v>1.5</v>
      </c>
      <c r="J592" t="n">
        <v>0</v>
      </c>
      <c r="K592" t="n">
        <v>0</v>
      </c>
      <c r="L592" t="n">
        <v>0</v>
      </c>
      <c r="M592" t="n">
        <v>0</v>
      </c>
      <c r="N592" t="n">
        <v>0</v>
      </c>
      <c r="O592" t="n">
        <v>0</v>
      </c>
      <c r="P592" t="n">
        <v>0</v>
      </c>
      <c r="Q592" t="n">
        <v>0</v>
      </c>
      <c r="R592" t="n">
        <v>0</v>
      </c>
      <c r="S592" t="n">
        <v>0</v>
      </c>
      <c r="T592" t="n">
        <v>0</v>
      </c>
      <c r="U592" s="2" t="inlineStr"/>
    </row>
    <row r="593" ht="15" customHeight="1">
      <c r="A593" t="inlineStr">
        <is>
          <t>A 9870-2024</t>
        </is>
      </c>
      <c r="B593" t="inlineStr">
        <is>
          <t>avverkningsanmälan</t>
        </is>
      </c>
      <c r="C593" t="inlineStr">
        <is>
          <t>Föryngringsavverkning</t>
        </is>
      </c>
      <c r="D593" s="1" t="n">
        <v>45363</v>
      </c>
      <c r="E593" s="1" t="n">
        <v>46216</v>
      </c>
      <c r="F593" t="inlineStr">
        <is>
          <t>BLEKINGE LÄN</t>
        </is>
      </c>
      <c r="G593" t="inlineStr">
        <is>
          <t>RONNEBY</t>
        </is>
      </c>
      <c r="I593" t="n">
        <v>4.2</v>
      </c>
      <c r="J593" t="n">
        <v>0</v>
      </c>
      <c r="K593" t="n">
        <v>0</v>
      </c>
      <c r="L593" t="n">
        <v>0</v>
      </c>
      <c r="M593" t="n">
        <v>0</v>
      </c>
      <c r="N593" t="n">
        <v>0</v>
      </c>
      <c r="O593" t="n">
        <v>0</v>
      </c>
      <c r="P593" t="n">
        <v>0</v>
      </c>
      <c r="Q593" t="n">
        <v>0</v>
      </c>
      <c r="R593" t="n">
        <v>0</v>
      </c>
      <c r="S593" t="n">
        <v>0</v>
      </c>
      <c r="T593" t="n">
        <v>0</v>
      </c>
      <c r="U593" s="2" t="inlineStr"/>
    </row>
    <row r="594" ht="15" customHeight="1">
      <c r="A594" t="inlineStr">
        <is>
          <t>A 1214-2023</t>
        </is>
      </c>
      <c r="B594" t="inlineStr">
        <is>
          <t>avverkningsanmälan</t>
        </is>
      </c>
      <c r="C594" t="inlineStr">
        <is>
          <t>Föryngringsavverkning</t>
        </is>
      </c>
      <c r="D594" s="1" t="n">
        <v>44935</v>
      </c>
      <c r="E594" s="1" t="n">
        <v>46216</v>
      </c>
      <c r="F594" t="inlineStr">
        <is>
          <t>BLEKINGE LÄN</t>
        </is>
      </c>
      <c r="G594" t="inlineStr">
        <is>
          <t>KARLSHAMN</t>
        </is>
      </c>
      <c r="I594" t="n">
        <v>1.4</v>
      </c>
      <c r="J594" t="n">
        <v>0</v>
      </c>
      <c r="K594" t="n">
        <v>0</v>
      </c>
      <c r="L594" t="n">
        <v>0</v>
      </c>
      <c r="M594" t="n">
        <v>0</v>
      </c>
      <c r="N594" t="n">
        <v>0</v>
      </c>
      <c r="O594" t="n">
        <v>0</v>
      </c>
      <c r="P594" t="n">
        <v>0</v>
      </c>
      <c r="Q594" t="n">
        <v>0</v>
      </c>
      <c r="R594" t="n">
        <v>0</v>
      </c>
      <c r="S594" t="n">
        <v>0</v>
      </c>
      <c r="T594" t="n">
        <v>0</v>
      </c>
      <c r="U594" s="2" t="inlineStr"/>
    </row>
    <row r="595" ht="15" customHeight="1">
      <c r="A595" t="inlineStr">
        <is>
          <t>A 1523-2025</t>
        </is>
      </c>
      <c r="B595" t="inlineStr">
        <is>
          <t>avverkningsanmälan</t>
        </is>
      </c>
      <c r="C595" t="inlineStr">
        <is>
          <t>Föryngringsavverkning</t>
        </is>
      </c>
      <c r="D595" s="1" t="n">
        <v>45670</v>
      </c>
      <c r="E595" s="1" t="n">
        <v>46216</v>
      </c>
      <c r="F595" t="inlineStr">
        <is>
          <t>BLEKINGE LÄN</t>
        </is>
      </c>
      <c r="G595" t="inlineStr">
        <is>
          <t>RONNEBY</t>
        </is>
      </c>
      <c r="I595" t="n">
        <v>0</v>
      </c>
      <c r="J595" t="n">
        <v>0</v>
      </c>
      <c r="K595" t="n">
        <v>0</v>
      </c>
      <c r="L595" t="n">
        <v>0</v>
      </c>
      <c r="M595" t="n">
        <v>0</v>
      </c>
      <c r="N595" t="n">
        <v>0</v>
      </c>
      <c r="O595" t="n">
        <v>0</v>
      </c>
      <c r="P595" t="n">
        <v>0</v>
      </c>
      <c r="Q595" t="n">
        <v>0</v>
      </c>
      <c r="R595" t="n">
        <v>0</v>
      </c>
      <c r="S595" t="n">
        <v>0</v>
      </c>
      <c r="T595" t="n">
        <v>0</v>
      </c>
      <c r="U595" s="2" t="inlineStr"/>
    </row>
    <row r="596" ht="15" customHeight="1">
      <c r="A596" t="inlineStr">
        <is>
          <t>A 14938-2025</t>
        </is>
      </c>
      <c r="B596" t="inlineStr">
        <is>
          <t>avverkningsanmälan</t>
        </is>
      </c>
      <c r="C596" t="inlineStr">
        <is>
          <t>Föryngringsavverkning</t>
        </is>
      </c>
      <c r="D596" s="1" t="n">
        <v>45743</v>
      </c>
      <c r="E596" s="1" t="n">
        <v>46216</v>
      </c>
      <c r="F596" t="inlineStr">
        <is>
          <t>BLEKINGE LÄN</t>
        </is>
      </c>
      <c r="G596" t="inlineStr">
        <is>
          <t>KARLSKRONA</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20997-2023</t>
        </is>
      </c>
      <c r="B597" t="inlineStr">
        <is>
          <t>avverkningsanmälan</t>
        </is>
      </c>
      <c r="C597" t="inlineStr">
        <is>
          <t>Föryngringsavverkning</t>
        </is>
      </c>
      <c r="D597" s="1" t="n">
        <v>45061</v>
      </c>
      <c r="E597" s="1" t="n">
        <v>46216</v>
      </c>
      <c r="F597" t="inlineStr">
        <is>
          <t>BLEKINGE LÄN</t>
        </is>
      </c>
      <c r="G597" t="inlineStr">
        <is>
          <t>RONNEBY</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19610-2024</t>
        </is>
      </c>
      <c r="B598" t="inlineStr">
        <is>
          <t>avverkningsanmälan</t>
        </is>
      </c>
      <c r="C598" t="inlineStr">
        <is>
          <t>Föryngringsavverkning</t>
        </is>
      </c>
      <c r="D598" s="1" t="n">
        <v>45432</v>
      </c>
      <c r="E598" s="1" t="n">
        <v>46216</v>
      </c>
      <c r="F598" t="inlineStr">
        <is>
          <t>BLEKINGE LÄN</t>
        </is>
      </c>
      <c r="G598" t="inlineStr">
        <is>
          <t>RONNEBY</t>
        </is>
      </c>
      <c r="I598" t="n">
        <v>3.6</v>
      </c>
      <c r="J598" t="n">
        <v>0</v>
      </c>
      <c r="K598" t="n">
        <v>0</v>
      </c>
      <c r="L598" t="n">
        <v>0</v>
      </c>
      <c r="M598" t="n">
        <v>0</v>
      </c>
      <c r="N598" t="n">
        <v>0</v>
      </c>
      <c r="O598" t="n">
        <v>0</v>
      </c>
      <c r="P598" t="n">
        <v>0</v>
      </c>
      <c r="Q598" t="n">
        <v>0</v>
      </c>
      <c r="R598" t="n">
        <v>0</v>
      </c>
      <c r="S598" t="n">
        <v>0</v>
      </c>
      <c r="T598" t="n">
        <v>0</v>
      </c>
      <c r="U598" s="2" t="inlineStr"/>
    </row>
    <row r="599" ht="15" customHeight="1">
      <c r="A599" t="inlineStr">
        <is>
          <t>A 11639-2025</t>
        </is>
      </c>
      <c r="B599" t="inlineStr">
        <is>
          <t>avverkningsanmälan</t>
        </is>
      </c>
      <c r="C599" t="inlineStr">
        <is>
          <t>Föryngringsavverkning</t>
        </is>
      </c>
      <c r="D599" s="1" t="n">
        <v>45727</v>
      </c>
      <c r="E599" s="1" t="n">
        <v>46216</v>
      </c>
      <c r="F599" t="inlineStr">
        <is>
          <t>BLEKINGE LÄN</t>
        </is>
      </c>
      <c r="G599" t="inlineStr">
        <is>
          <t>KARLSKRONA</t>
        </is>
      </c>
      <c r="I599" t="n">
        <v>2.7</v>
      </c>
      <c r="J599" t="n">
        <v>0</v>
      </c>
      <c r="K599" t="n">
        <v>0</v>
      </c>
      <c r="L599" t="n">
        <v>0</v>
      </c>
      <c r="M599" t="n">
        <v>0</v>
      </c>
      <c r="N599" t="n">
        <v>0</v>
      </c>
      <c r="O599" t="n">
        <v>0</v>
      </c>
      <c r="P599" t="n">
        <v>0</v>
      </c>
      <c r="Q599" t="n">
        <v>0</v>
      </c>
      <c r="R599" t="n">
        <v>0</v>
      </c>
      <c r="S599" t="n">
        <v>0</v>
      </c>
      <c r="T599" t="n">
        <v>0</v>
      </c>
      <c r="U599" s="2" t="inlineStr"/>
    </row>
    <row r="600" ht="15" customHeight="1">
      <c r="A600" t="inlineStr">
        <is>
          <t>A 57125-2022</t>
        </is>
      </c>
      <c r="B600" t="inlineStr">
        <is>
          <t>avverkningsanmälan</t>
        </is>
      </c>
      <c r="C600" t="inlineStr">
        <is>
          <t>Föryngringsavverkning</t>
        </is>
      </c>
      <c r="D600" s="1" t="n">
        <v>44895</v>
      </c>
      <c r="E600" s="1" t="n">
        <v>46216</v>
      </c>
      <c r="F600" t="inlineStr">
        <is>
          <t>BLEKINGE LÄN</t>
        </is>
      </c>
      <c r="G600" t="inlineStr">
        <is>
          <t>KARLSHAMN</t>
        </is>
      </c>
      <c r="I600" t="n">
        <v>0.7</v>
      </c>
      <c r="J600" t="n">
        <v>0</v>
      </c>
      <c r="K600" t="n">
        <v>0</v>
      </c>
      <c r="L600" t="n">
        <v>0</v>
      </c>
      <c r="M600" t="n">
        <v>0</v>
      </c>
      <c r="N600" t="n">
        <v>0</v>
      </c>
      <c r="O600" t="n">
        <v>0</v>
      </c>
      <c r="P600" t="n">
        <v>0</v>
      </c>
      <c r="Q600" t="n">
        <v>0</v>
      </c>
      <c r="R600" t="n">
        <v>0</v>
      </c>
      <c r="S600" t="n">
        <v>0</v>
      </c>
      <c r="T600" t="n">
        <v>0</v>
      </c>
      <c r="U600" s="2" t="inlineStr"/>
    </row>
    <row r="601" ht="15" customHeight="1">
      <c r="A601" t="inlineStr">
        <is>
          <t>A 49298-2022</t>
        </is>
      </c>
      <c r="B601" t="inlineStr">
        <is>
          <t>avverkningsanmälan</t>
        </is>
      </c>
      <c r="C601" t="inlineStr">
        <is>
          <t>Föryngringsavverkning</t>
        </is>
      </c>
      <c r="D601" s="1" t="n">
        <v>44858</v>
      </c>
      <c r="E601" s="1" t="n">
        <v>46216</v>
      </c>
      <c r="F601" t="inlineStr">
        <is>
          <t>BLEKINGE LÄN</t>
        </is>
      </c>
      <c r="G601" t="inlineStr">
        <is>
          <t>OLOFSTRÖM</t>
        </is>
      </c>
      <c r="I601" t="n">
        <v>9.6</v>
      </c>
      <c r="J601" t="n">
        <v>0</v>
      </c>
      <c r="K601" t="n">
        <v>0</v>
      </c>
      <c r="L601" t="n">
        <v>0</v>
      </c>
      <c r="M601" t="n">
        <v>0</v>
      </c>
      <c r="N601" t="n">
        <v>0</v>
      </c>
      <c r="O601" t="n">
        <v>0</v>
      </c>
      <c r="P601" t="n">
        <v>0</v>
      </c>
      <c r="Q601" t="n">
        <v>0</v>
      </c>
      <c r="R601" t="n">
        <v>0</v>
      </c>
      <c r="S601" t="n">
        <v>0</v>
      </c>
      <c r="T601" t="n">
        <v>0</v>
      </c>
      <c r="U601" s="2" t="inlineStr"/>
    </row>
    <row r="602" ht="15" customHeight="1">
      <c r="A602" t="inlineStr">
        <is>
          <t>A 52208-2024</t>
        </is>
      </c>
      <c r="B602" t="inlineStr">
        <is>
          <t>avverkningsanmälan</t>
        </is>
      </c>
      <c r="C602" t="inlineStr">
        <is>
          <t>Föryngringsavverkning</t>
        </is>
      </c>
      <c r="D602" s="1" t="n">
        <v>45608</v>
      </c>
      <c r="E602" s="1" t="n">
        <v>46216</v>
      </c>
      <c r="F602" t="inlineStr">
        <is>
          <t>BLEKINGE LÄN</t>
        </is>
      </c>
      <c r="G602" t="inlineStr">
        <is>
          <t>OLOFSTRÖM</t>
        </is>
      </c>
      <c r="I602" t="n">
        <v>7.4</v>
      </c>
      <c r="J602" t="n">
        <v>0</v>
      </c>
      <c r="K602" t="n">
        <v>0</v>
      </c>
      <c r="L602" t="n">
        <v>0</v>
      </c>
      <c r="M602" t="n">
        <v>0</v>
      </c>
      <c r="N602" t="n">
        <v>0</v>
      </c>
      <c r="O602" t="n">
        <v>0</v>
      </c>
      <c r="P602" t="n">
        <v>0</v>
      </c>
      <c r="Q602" t="n">
        <v>0</v>
      </c>
      <c r="R602" t="n">
        <v>0</v>
      </c>
      <c r="S602" t="n">
        <v>0</v>
      </c>
      <c r="T602" t="n">
        <v>0</v>
      </c>
      <c r="U602" s="2" t="inlineStr"/>
    </row>
    <row r="603" ht="15" customHeight="1">
      <c r="A603" t="inlineStr">
        <is>
          <t>A 5962-2024</t>
        </is>
      </c>
      <c r="B603" t="inlineStr">
        <is>
          <t>avverkningsanmälan</t>
        </is>
      </c>
      <c r="C603" t="inlineStr">
        <is>
          <t>Föryngringsavverkning</t>
        </is>
      </c>
      <c r="D603" s="1" t="n">
        <v>45335</v>
      </c>
      <c r="E603" s="1" t="n">
        <v>46216</v>
      </c>
      <c r="F603" t="inlineStr">
        <is>
          <t>BLEKINGE LÄN</t>
        </is>
      </c>
      <c r="G603" t="inlineStr">
        <is>
          <t>KARLSKRONA</t>
        </is>
      </c>
      <c r="I603" t="n">
        <v>0.5</v>
      </c>
      <c r="J603" t="n">
        <v>0</v>
      </c>
      <c r="K603" t="n">
        <v>0</v>
      </c>
      <c r="L603" t="n">
        <v>0</v>
      </c>
      <c r="M603" t="n">
        <v>0</v>
      </c>
      <c r="N603" t="n">
        <v>0</v>
      </c>
      <c r="O603" t="n">
        <v>0</v>
      </c>
      <c r="P603" t="n">
        <v>0</v>
      </c>
      <c r="Q603" t="n">
        <v>0</v>
      </c>
      <c r="R603" t="n">
        <v>0</v>
      </c>
      <c r="S603" t="n">
        <v>0</v>
      </c>
      <c r="T603" t="n">
        <v>0</v>
      </c>
      <c r="U603" s="2" t="inlineStr"/>
    </row>
    <row r="604" ht="15" customHeight="1">
      <c r="A604" t="inlineStr">
        <is>
          <t>A 4119-2023</t>
        </is>
      </c>
      <c r="B604" t="inlineStr">
        <is>
          <t>avverkningsanmälan</t>
        </is>
      </c>
      <c r="C604" t="inlineStr">
        <is>
          <t>Föryngringsavverkning</t>
        </is>
      </c>
      <c r="D604" s="1" t="n">
        <v>44952</v>
      </c>
      <c r="E604" s="1" t="n">
        <v>46216</v>
      </c>
      <c r="F604" t="inlineStr">
        <is>
          <t>BLEKINGE LÄN</t>
        </is>
      </c>
      <c r="G604" t="inlineStr">
        <is>
          <t>KARLSHAMN</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4120-2023</t>
        </is>
      </c>
      <c r="B605" t="inlineStr">
        <is>
          <t>avverkningsanmälan</t>
        </is>
      </c>
      <c r="C605" t="inlineStr">
        <is>
          <t>Föryngringsavverkning</t>
        </is>
      </c>
      <c r="D605" s="1" t="n">
        <v>44952</v>
      </c>
      <c r="E605" s="1" t="n">
        <v>46216</v>
      </c>
      <c r="F605" t="inlineStr">
        <is>
          <t>BLEKINGE LÄN</t>
        </is>
      </c>
      <c r="G605" t="inlineStr">
        <is>
          <t>KARLSHAMN</t>
        </is>
      </c>
      <c r="I605" t="n">
        <v>1</v>
      </c>
      <c r="J605" t="n">
        <v>0</v>
      </c>
      <c r="K605" t="n">
        <v>0</v>
      </c>
      <c r="L605" t="n">
        <v>0</v>
      </c>
      <c r="M605" t="n">
        <v>0</v>
      </c>
      <c r="N605" t="n">
        <v>0</v>
      </c>
      <c r="O605" t="n">
        <v>0</v>
      </c>
      <c r="P605" t="n">
        <v>0</v>
      </c>
      <c r="Q605" t="n">
        <v>0</v>
      </c>
      <c r="R605" t="n">
        <v>0</v>
      </c>
      <c r="S605" t="n">
        <v>0</v>
      </c>
      <c r="T605" t="n">
        <v>0</v>
      </c>
      <c r="U605" s="2" t="inlineStr"/>
    </row>
    <row r="606" ht="15" customHeight="1">
      <c r="A606" t="inlineStr">
        <is>
          <t>A 30106-2022</t>
        </is>
      </c>
      <c r="B606" t="inlineStr">
        <is>
          <t>avverkningsanmälan</t>
        </is>
      </c>
      <c r="C606" t="inlineStr">
        <is>
          <t>Föryngringsavverkning</t>
        </is>
      </c>
      <c r="D606" s="1" t="n">
        <v>44757</v>
      </c>
      <c r="E606" s="1" t="n">
        <v>46216</v>
      </c>
      <c r="F606" t="inlineStr">
        <is>
          <t>BLEKINGE LÄN</t>
        </is>
      </c>
      <c r="G606" t="inlineStr">
        <is>
          <t>KARLSKRONA</t>
        </is>
      </c>
      <c r="I606" t="n">
        <v>11.2</v>
      </c>
      <c r="J606" t="n">
        <v>0</v>
      </c>
      <c r="K606" t="n">
        <v>0</v>
      </c>
      <c r="L606" t="n">
        <v>0</v>
      </c>
      <c r="M606" t="n">
        <v>0</v>
      </c>
      <c r="N606" t="n">
        <v>0</v>
      </c>
      <c r="O606" t="n">
        <v>0</v>
      </c>
      <c r="P606" t="n">
        <v>0</v>
      </c>
      <c r="Q606" t="n">
        <v>0</v>
      </c>
      <c r="R606" t="n">
        <v>0</v>
      </c>
      <c r="S606" t="n">
        <v>0</v>
      </c>
      <c r="T606" t="n">
        <v>0</v>
      </c>
      <c r="U606" s="2" t="inlineStr"/>
    </row>
    <row r="607" ht="15" customHeight="1">
      <c r="A607" t="inlineStr">
        <is>
          <t>A 29373-2024</t>
        </is>
      </c>
      <c r="B607" t="inlineStr">
        <is>
          <t>avverkningsanmälan</t>
        </is>
      </c>
      <c r="C607" t="inlineStr">
        <is>
          <t>Föryngringsavverkning</t>
        </is>
      </c>
      <c r="D607" s="1" t="n">
        <v>45483</v>
      </c>
      <c r="E607" s="1" t="n">
        <v>46216</v>
      </c>
      <c r="F607" t="inlineStr">
        <is>
          <t>BLEKINGE LÄN</t>
        </is>
      </c>
      <c r="G607" t="inlineStr">
        <is>
          <t>KARLSKRONA</t>
        </is>
      </c>
      <c r="I607" t="n">
        <v>2</v>
      </c>
      <c r="J607" t="n">
        <v>0</v>
      </c>
      <c r="K607" t="n">
        <v>0</v>
      </c>
      <c r="L607" t="n">
        <v>0</v>
      </c>
      <c r="M607" t="n">
        <v>0</v>
      </c>
      <c r="N607" t="n">
        <v>0</v>
      </c>
      <c r="O607" t="n">
        <v>0</v>
      </c>
      <c r="P607" t="n">
        <v>0</v>
      </c>
      <c r="Q607" t="n">
        <v>0</v>
      </c>
      <c r="R607" t="n">
        <v>0</v>
      </c>
      <c r="S607" t="n">
        <v>0</v>
      </c>
      <c r="T607" t="n">
        <v>0</v>
      </c>
      <c r="U607" s="2" t="inlineStr"/>
    </row>
    <row r="608" ht="15" customHeight="1">
      <c r="A608" t="inlineStr">
        <is>
          <t>A 4286-2024</t>
        </is>
      </c>
      <c r="B608" t="inlineStr">
        <is>
          <t>avverkningsanmälan</t>
        </is>
      </c>
      <c r="C608" t="inlineStr">
        <is>
          <t>Föryngringsavverkning</t>
        </is>
      </c>
      <c r="D608" s="1" t="n">
        <v>45324</v>
      </c>
      <c r="E608" s="1" t="n">
        <v>46216</v>
      </c>
      <c r="F608" t="inlineStr">
        <is>
          <t>BLEKINGE LÄN</t>
        </is>
      </c>
      <c r="G608" t="inlineStr">
        <is>
          <t>KARLSKRONA</t>
        </is>
      </c>
      <c r="I608" t="n">
        <v>2.3</v>
      </c>
      <c r="J608" t="n">
        <v>0</v>
      </c>
      <c r="K608" t="n">
        <v>0</v>
      </c>
      <c r="L608" t="n">
        <v>0</v>
      </c>
      <c r="M608" t="n">
        <v>0</v>
      </c>
      <c r="N608" t="n">
        <v>0</v>
      </c>
      <c r="O608" t="n">
        <v>0</v>
      </c>
      <c r="P608" t="n">
        <v>0</v>
      </c>
      <c r="Q608" t="n">
        <v>0</v>
      </c>
      <c r="R608" t="n">
        <v>0</v>
      </c>
      <c r="S608" t="n">
        <v>0</v>
      </c>
      <c r="T608" t="n">
        <v>0</v>
      </c>
      <c r="U608" s="2" t="inlineStr"/>
    </row>
    <row r="609" ht="15" customHeight="1">
      <c r="A609" t="inlineStr">
        <is>
          <t>A 7994-2025</t>
        </is>
      </c>
      <c r="B609" t="inlineStr">
        <is>
          <t>avverkningsanmälan</t>
        </is>
      </c>
      <c r="C609" t="inlineStr">
        <is>
          <t>Föryngringsavverkning</t>
        </is>
      </c>
      <c r="D609" s="1" t="n">
        <v>45707</v>
      </c>
      <c r="E609" s="1" t="n">
        <v>46216</v>
      </c>
      <c r="F609" t="inlineStr">
        <is>
          <t>BLEKINGE LÄN</t>
        </is>
      </c>
      <c r="G609" t="inlineStr">
        <is>
          <t>KARLSKRONA</t>
        </is>
      </c>
      <c r="I609" t="n">
        <v>1.3</v>
      </c>
      <c r="J609" t="n">
        <v>0</v>
      </c>
      <c r="K609" t="n">
        <v>0</v>
      </c>
      <c r="L609" t="n">
        <v>0</v>
      </c>
      <c r="M609" t="n">
        <v>0</v>
      </c>
      <c r="N609" t="n">
        <v>0</v>
      </c>
      <c r="O609" t="n">
        <v>0</v>
      </c>
      <c r="P609" t="n">
        <v>0</v>
      </c>
      <c r="Q609" t="n">
        <v>0</v>
      </c>
      <c r="R609" t="n">
        <v>0</v>
      </c>
      <c r="S609" t="n">
        <v>0</v>
      </c>
      <c r="T609" t="n">
        <v>0</v>
      </c>
      <c r="U609" s="2" t="inlineStr"/>
    </row>
    <row r="610" ht="15" customHeight="1">
      <c r="A610" t="inlineStr">
        <is>
          <t>A 39226-2024</t>
        </is>
      </c>
      <c r="B610" t="inlineStr">
        <is>
          <t>avverkningsanmälan</t>
        </is>
      </c>
      <c r="C610" t="inlineStr">
        <is>
          <t>Föryngringsavverkning</t>
        </is>
      </c>
      <c r="D610" s="1" t="n">
        <v>45550</v>
      </c>
      <c r="E610" s="1" t="n">
        <v>46216</v>
      </c>
      <c r="F610" t="inlineStr">
        <is>
          <t>BLEKINGE LÄN</t>
        </is>
      </c>
      <c r="G610" t="inlineStr">
        <is>
          <t>KARLSHAMN</t>
        </is>
      </c>
      <c r="I610" t="n">
        <v>1.3</v>
      </c>
      <c r="J610" t="n">
        <v>0</v>
      </c>
      <c r="K610" t="n">
        <v>0</v>
      </c>
      <c r="L610" t="n">
        <v>0</v>
      </c>
      <c r="M610" t="n">
        <v>0</v>
      </c>
      <c r="N610" t="n">
        <v>0</v>
      </c>
      <c r="O610" t="n">
        <v>0</v>
      </c>
      <c r="P610" t="n">
        <v>0</v>
      </c>
      <c r="Q610" t="n">
        <v>0</v>
      </c>
      <c r="R610" t="n">
        <v>0</v>
      </c>
      <c r="S610" t="n">
        <v>0</v>
      </c>
      <c r="T610" t="n">
        <v>0</v>
      </c>
      <c r="U610" s="2" t="inlineStr"/>
    </row>
    <row r="611" ht="15" customHeight="1">
      <c r="A611" t="inlineStr">
        <is>
          <t>A 4800-2024</t>
        </is>
      </c>
      <c r="B611" t="inlineStr">
        <is>
          <t>avverkningsanmälan</t>
        </is>
      </c>
      <c r="C611" t="inlineStr">
        <is>
          <t>Föryngringsavverkning</t>
        </is>
      </c>
      <c r="D611" s="1" t="n">
        <v>45328</v>
      </c>
      <c r="E611" s="1" t="n">
        <v>46216</v>
      </c>
      <c r="F611" t="inlineStr">
        <is>
          <t>BLEKINGE LÄN</t>
        </is>
      </c>
      <c r="G611" t="inlineStr">
        <is>
          <t>KARLSKRONA</t>
        </is>
      </c>
      <c r="I611" t="n">
        <v>1.2</v>
      </c>
      <c r="J611" t="n">
        <v>0</v>
      </c>
      <c r="K611" t="n">
        <v>0</v>
      </c>
      <c r="L611" t="n">
        <v>0</v>
      </c>
      <c r="M611" t="n">
        <v>0</v>
      </c>
      <c r="N611" t="n">
        <v>0</v>
      </c>
      <c r="O611" t="n">
        <v>0</v>
      </c>
      <c r="P611" t="n">
        <v>0</v>
      </c>
      <c r="Q611" t="n">
        <v>0</v>
      </c>
      <c r="R611" t="n">
        <v>0</v>
      </c>
      <c r="S611" t="n">
        <v>0</v>
      </c>
      <c r="T611" t="n">
        <v>0</v>
      </c>
      <c r="U611" s="2" t="inlineStr"/>
    </row>
    <row r="612" ht="15" customHeight="1">
      <c r="A612" t="inlineStr">
        <is>
          <t>A 29914-2023</t>
        </is>
      </c>
      <c r="B612" t="inlineStr">
        <is>
          <t>avverkningsanmälan</t>
        </is>
      </c>
      <c r="C612" t="inlineStr">
        <is>
          <t>Föryngringsavverkning</t>
        </is>
      </c>
      <c r="D612" s="1" t="n">
        <v>45107</v>
      </c>
      <c r="E612" s="1" t="n">
        <v>46216</v>
      </c>
      <c r="F612" t="inlineStr">
        <is>
          <t>BLEKINGE LÄN</t>
        </is>
      </c>
      <c r="G612" t="inlineStr">
        <is>
          <t>KARLSKRONA</t>
        </is>
      </c>
      <c r="I612" t="n">
        <v>0.9</v>
      </c>
      <c r="J612" t="n">
        <v>0</v>
      </c>
      <c r="K612" t="n">
        <v>0</v>
      </c>
      <c r="L612" t="n">
        <v>0</v>
      </c>
      <c r="M612" t="n">
        <v>0</v>
      </c>
      <c r="N612" t="n">
        <v>0</v>
      </c>
      <c r="O612" t="n">
        <v>0</v>
      </c>
      <c r="P612" t="n">
        <v>0</v>
      </c>
      <c r="Q612" t="n">
        <v>0</v>
      </c>
      <c r="R612" t="n">
        <v>0</v>
      </c>
      <c r="S612" t="n">
        <v>0</v>
      </c>
      <c r="T612" t="n">
        <v>0</v>
      </c>
      <c r="U612" s="2" t="inlineStr"/>
    </row>
    <row r="613" ht="15" customHeight="1">
      <c r="A613" t="inlineStr">
        <is>
          <t>A 698-2023</t>
        </is>
      </c>
      <c r="B613" t="inlineStr">
        <is>
          <t>avverkningsanmälan</t>
        </is>
      </c>
      <c r="C613" t="inlineStr">
        <is>
          <t>Föryngringsavverkning</t>
        </is>
      </c>
      <c r="D613" s="1" t="n">
        <v>44930</v>
      </c>
      <c r="E613" s="1" t="n">
        <v>46216</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s="2" t="inlineStr"/>
    </row>
    <row r="614" ht="15" customHeight="1">
      <c r="A614" t="inlineStr">
        <is>
          <t>A 46901-2022</t>
        </is>
      </c>
      <c r="B614" t="inlineStr">
        <is>
          <t>avverkningsanmälan</t>
        </is>
      </c>
      <c r="C614" t="inlineStr">
        <is>
          <t>Föryngringsavverkning</t>
        </is>
      </c>
      <c r="D614" s="1" t="n">
        <v>44851</v>
      </c>
      <c r="E614" s="1" t="n">
        <v>46216</v>
      </c>
      <c r="F614" t="inlineStr">
        <is>
          <t>BLEKINGE LÄN</t>
        </is>
      </c>
      <c r="G614" t="inlineStr">
        <is>
          <t>KARLSKRONA</t>
        </is>
      </c>
      <c r="I614" t="n">
        <v>4.4</v>
      </c>
      <c r="J614" t="n">
        <v>0</v>
      </c>
      <c r="K614" t="n">
        <v>0</v>
      </c>
      <c r="L614" t="n">
        <v>0</v>
      </c>
      <c r="M614" t="n">
        <v>0</v>
      </c>
      <c r="N614" t="n">
        <v>0</v>
      </c>
      <c r="O614" t="n">
        <v>0</v>
      </c>
      <c r="P614" t="n">
        <v>0</v>
      </c>
      <c r="Q614" t="n">
        <v>0</v>
      </c>
      <c r="R614" t="n">
        <v>0</v>
      </c>
      <c r="S614" t="n">
        <v>0</v>
      </c>
      <c r="T614" t="n">
        <v>0</v>
      </c>
      <c r="U614" s="2" t="inlineStr"/>
    </row>
    <row r="615" ht="15" customHeight="1">
      <c r="A615" t="inlineStr">
        <is>
          <t>A 4919-2022</t>
        </is>
      </c>
      <c r="B615" t="inlineStr">
        <is>
          <t>avverkningsanmälan</t>
        </is>
      </c>
      <c r="C615" t="inlineStr">
        <is>
          <t>Föryngringsavverkning</t>
        </is>
      </c>
      <c r="D615" s="1" t="n">
        <v>44593</v>
      </c>
      <c r="E615" s="1" t="n">
        <v>46216</v>
      </c>
      <c r="F615" t="inlineStr">
        <is>
          <t>BLEKINGE LÄN</t>
        </is>
      </c>
      <c r="G615" t="inlineStr">
        <is>
          <t>KARLSKRONA</t>
        </is>
      </c>
      <c r="I615" t="n">
        <v>2.4</v>
      </c>
      <c r="J615" t="n">
        <v>0</v>
      </c>
      <c r="K615" t="n">
        <v>0</v>
      </c>
      <c r="L615" t="n">
        <v>0</v>
      </c>
      <c r="M615" t="n">
        <v>0</v>
      </c>
      <c r="N615" t="n">
        <v>0</v>
      </c>
      <c r="O615" t="n">
        <v>0</v>
      </c>
      <c r="P615" t="n">
        <v>0</v>
      </c>
      <c r="Q615" t="n">
        <v>0</v>
      </c>
      <c r="R615" t="n">
        <v>0</v>
      </c>
      <c r="S615" t="n">
        <v>0</v>
      </c>
      <c r="T615" t="n">
        <v>0</v>
      </c>
      <c r="U615" s="2" t="inlineStr"/>
    </row>
    <row r="616" ht="15" customHeight="1">
      <c r="A616" t="inlineStr">
        <is>
          <t>A 43287-2023</t>
        </is>
      </c>
      <c r="B616" t="inlineStr">
        <is>
          <t>avverkningsanmälan</t>
        </is>
      </c>
      <c r="C616" t="inlineStr">
        <is>
          <t>Föryngringsavverkning</t>
        </is>
      </c>
      <c r="D616" s="1" t="n">
        <v>45183</v>
      </c>
      <c r="E616" s="1" t="n">
        <v>46216</v>
      </c>
      <c r="F616" t="inlineStr">
        <is>
          <t>BLEKINGE LÄN</t>
        </is>
      </c>
      <c r="G616" t="inlineStr">
        <is>
          <t>OLOFSTRÖM</t>
        </is>
      </c>
      <c r="I616" t="n">
        <v>5.6</v>
      </c>
      <c r="J616" t="n">
        <v>0</v>
      </c>
      <c r="K616" t="n">
        <v>0</v>
      </c>
      <c r="L616" t="n">
        <v>0</v>
      </c>
      <c r="M616" t="n">
        <v>0</v>
      </c>
      <c r="N616" t="n">
        <v>0</v>
      </c>
      <c r="O616" t="n">
        <v>0</v>
      </c>
      <c r="P616" t="n">
        <v>0</v>
      </c>
      <c r="Q616" t="n">
        <v>0</v>
      </c>
      <c r="R616" t="n">
        <v>0</v>
      </c>
      <c r="S616" t="n">
        <v>0</v>
      </c>
      <c r="T616" t="n">
        <v>0</v>
      </c>
      <c r="U616" s="2" t="inlineStr"/>
    </row>
    <row r="617" ht="15" customHeight="1">
      <c r="A617" t="inlineStr">
        <is>
          <t>A 46914-2023</t>
        </is>
      </c>
      <c r="B617" t="inlineStr">
        <is>
          <t>avverkningsanmälan</t>
        </is>
      </c>
      <c r="C617" t="inlineStr">
        <is>
          <t>Föryngringsavverkning</t>
        </is>
      </c>
      <c r="D617" s="1" t="n">
        <v>45201</v>
      </c>
      <c r="E617" s="1" t="n">
        <v>46216</v>
      </c>
      <c r="F617" t="inlineStr">
        <is>
          <t>BLEKINGE LÄN</t>
        </is>
      </c>
      <c r="G617" t="inlineStr">
        <is>
          <t>RONNEBY</t>
        </is>
      </c>
      <c r="I617" t="n">
        <v>0.1</v>
      </c>
      <c r="J617" t="n">
        <v>0</v>
      </c>
      <c r="K617" t="n">
        <v>0</v>
      </c>
      <c r="L617" t="n">
        <v>0</v>
      </c>
      <c r="M617" t="n">
        <v>0</v>
      </c>
      <c r="N617" t="n">
        <v>0</v>
      </c>
      <c r="O617" t="n">
        <v>0</v>
      </c>
      <c r="P617" t="n">
        <v>0</v>
      </c>
      <c r="Q617" t="n">
        <v>0</v>
      </c>
      <c r="R617" t="n">
        <v>0</v>
      </c>
      <c r="S617" t="n">
        <v>0</v>
      </c>
      <c r="T617" t="n">
        <v>0</v>
      </c>
      <c r="U617" s="2" t="inlineStr"/>
    </row>
    <row r="618" ht="15" customHeight="1">
      <c r="A618" t="inlineStr">
        <is>
          <t>A 47000-2023</t>
        </is>
      </c>
      <c r="B618" t="inlineStr">
        <is>
          <t>avverkningsanmälan</t>
        </is>
      </c>
      <c r="C618" t="inlineStr">
        <is>
          <t>Föryngringsavverkning</t>
        </is>
      </c>
      <c r="D618" s="1" t="n">
        <v>45201</v>
      </c>
      <c r="E618" s="1" t="n">
        <v>46216</v>
      </c>
      <c r="F618" t="inlineStr">
        <is>
          <t>BLEKINGE LÄN</t>
        </is>
      </c>
      <c r="G618" t="inlineStr">
        <is>
          <t>RONNEBY</t>
        </is>
      </c>
      <c r="I618" t="n">
        <v>1.3</v>
      </c>
      <c r="J618" t="n">
        <v>0</v>
      </c>
      <c r="K618" t="n">
        <v>0</v>
      </c>
      <c r="L618" t="n">
        <v>0</v>
      </c>
      <c r="M618" t="n">
        <v>0</v>
      </c>
      <c r="N618" t="n">
        <v>0</v>
      </c>
      <c r="O618" t="n">
        <v>0</v>
      </c>
      <c r="P618" t="n">
        <v>0</v>
      </c>
      <c r="Q618" t="n">
        <v>0</v>
      </c>
      <c r="R618" t="n">
        <v>0</v>
      </c>
      <c r="S618" t="n">
        <v>0</v>
      </c>
      <c r="T618" t="n">
        <v>0</v>
      </c>
      <c r="U618" s="2" t="inlineStr"/>
    </row>
    <row r="619" ht="15" customHeight="1">
      <c r="A619" t="inlineStr">
        <is>
          <t>A 39880-2023</t>
        </is>
      </c>
      <c r="B619" t="inlineStr">
        <is>
          <t>avverkningsanmälan</t>
        </is>
      </c>
      <c r="C619" t="inlineStr">
        <is>
          <t>Föryngringsavverkning</t>
        </is>
      </c>
      <c r="D619" s="1" t="n">
        <v>45168</v>
      </c>
      <c r="E619" s="1" t="n">
        <v>46216</v>
      </c>
      <c r="F619" t="inlineStr">
        <is>
          <t>BLEKINGE LÄN</t>
        </is>
      </c>
      <c r="G619" t="inlineStr">
        <is>
          <t>OLOFSTRÖM</t>
        </is>
      </c>
      <c r="I619" t="n">
        <v>1.1</v>
      </c>
      <c r="J619" t="n">
        <v>0</v>
      </c>
      <c r="K619" t="n">
        <v>0</v>
      </c>
      <c r="L619" t="n">
        <v>0</v>
      </c>
      <c r="M619" t="n">
        <v>0</v>
      </c>
      <c r="N619" t="n">
        <v>0</v>
      </c>
      <c r="O619" t="n">
        <v>0</v>
      </c>
      <c r="P619" t="n">
        <v>0</v>
      </c>
      <c r="Q619" t="n">
        <v>0</v>
      </c>
      <c r="R619" t="n">
        <v>0</v>
      </c>
      <c r="S619" t="n">
        <v>0</v>
      </c>
      <c r="T619" t="n">
        <v>0</v>
      </c>
      <c r="U619" s="2" t="inlineStr"/>
    </row>
    <row r="620" ht="15" customHeight="1">
      <c r="A620" t="inlineStr">
        <is>
          <t>A 18517-2022</t>
        </is>
      </c>
      <c r="B620" t="inlineStr">
        <is>
          <t>avverkningsanmälan</t>
        </is>
      </c>
      <c r="C620" t="inlineStr">
        <is>
          <t>Föryngringsavverkning</t>
        </is>
      </c>
      <c r="D620" s="1" t="n">
        <v>44686</v>
      </c>
      <c r="E620" s="1" t="n">
        <v>46216</v>
      </c>
      <c r="F620" t="inlineStr">
        <is>
          <t>BLEKINGE LÄN</t>
        </is>
      </c>
      <c r="G620" t="inlineStr">
        <is>
          <t>KARLSHAMN</t>
        </is>
      </c>
      <c r="I620" t="n">
        <v>4.1</v>
      </c>
      <c r="J620" t="n">
        <v>0</v>
      </c>
      <c r="K620" t="n">
        <v>0</v>
      </c>
      <c r="L620" t="n">
        <v>0</v>
      </c>
      <c r="M620" t="n">
        <v>0</v>
      </c>
      <c r="N620" t="n">
        <v>0</v>
      </c>
      <c r="O620" t="n">
        <v>0</v>
      </c>
      <c r="P620" t="n">
        <v>0</v>
      </c>
      <c r="Q620" t="n">
        <v>0</v>
      </c>
      <c r="R620" t="n">
        <v>0</v>
      </c>
      <c r="S620" t="n">
        <v>0</v>
      </c>
      <c r="T620" t="n">
        <v>0</v>
      </c>
      <c r="U620" s="2" t="inlineStr"/>
    </row>
    <row r="621" ht="15" customHeight="1">
      <c r="A621" t="inlineStr">
        <is>
          <t>A 41076-2023</t>
        </is>
      </c>
      <c r="B621" t="inlineStr">
        <is>
          <t>avverkningsanmälan</t>
        </is>
      </c>
      <c r="C621" t="inlineStr">
        <is>
          <t>Föryngringsavverkning</t>
        </is>
      </c>
      <c r="D621" s="1" t="n">
        <v>45169</v>
      </c>
      <c r="E621" s="1" t="n">
        <v>46216</v>
      </c>
      <c r="F621" t="inlineStr">
        <is>
          <t>BLEKINGE LÄN</t>
        </is>
      </c>
      <c r="G621" t="inlineStr">
        <is>
          <t>RONNEBY</t>
        </is>
      </c>
      <c r="I621" t="n">
        <v>3.2</v>
      </c>
      <c r="J621" t="n">
        <v>0</v>
      </c>
      <c r="K621" t="n">
        <v>0</v>
      </c>
      <c r="L621" t="n">
        <v>0</v>
      </c>
      <c r="M621" t="n">
        <v>0</v>
      </c>
      <c r="N621" t="n">
        <v>0</v>
      </c>
      <c r="O621" t="n">
        <v>0</v>
      </c>
      <c r="P621" t="n">
        <v>0</v>
      </c>
      <c r="Q621" t="n">
        <v>0</v>
      </c>
      <c r="R621" t="n">
        <v>0</v>
      </c>
      <c r="S621" t="n">
        <v>0</v>
      </c>
      <c r="T621" t="n">
        <v>0</v>
      </c>
      <c r="U621" s="2" t="inlineStr"/>
    </row>
    <row r="622" ht="15" customHeight="1">
      <c r="A622" t="inlineStr">
        <is>
          <t>A 31501-2023</t>
        </is>
      </c>
      <c r="B622" t="inlineStr">
        <is>
          <t>avverkningsanmälan</t>
        </is>
      </c>
      <c r="C622" t="inlineStr">
        <is>
          <t>Föryngringsavverkning</t>
        </is>
      </c>
      <c r="D622" s="1" t="n">
        <v>45115</v>
      </c>
      <c r="E622" s="1" t="n">
        <v>46216</v>
      </c>
      <c r="F622" t="inlineStr">
        <is>
          <t>BLEKINGE LÄN</t>
        </is>
      </c>
      <c r="G622" t="inlineStr">
        <is>
          <t>RONNEBY</t>
        </is>
      </c>
      <c r="I622" t="n">
        <v>5.1</v>
      </c>
      <c r="J622" t="n">
        <v>0</v>
      </c>
      <c r="K622" t="n">
        <v>0</v>
      </c>
      <c r="L622" t="n">
        <v>0</v>
      </c>
      <c r="M622" t="n">
        <v>0</v>
      </c>
      <c r="N622" t="n">
        <v>0</v>
      </c>
      <c r="O622" t="n">
        <v>0</v>
      </c>
      <c r="P622" t="n">
        <v>0</v>
      </c>
      <c r="Q622" t="n">
        <v>0</v>
      </c>
      <c r="R622" t="n">
        <v>0</v>
      </c>
      <c r="S622" t="n">
        <v>0</v>
      </c>
      <c r="T622" t="n">
        <v>0</v>
      </c>
      <c r="U622" s="2" t="inlineStr"/>
    </row>
    <row r="623" ht="15" customHeight="1">
      <c r="A623" t="inlineStr">
        <is>
          <t>A 59676-2022</t>
        </is>
      </c>
      <c r="B623" t="inlineStr">
        <is>
          <t>avverkningsanmälan</t>
        </is>
      </c>
      <c r="C623" t="inlineStr">
        <is>
          <t>Föryngringsavverkning</t>
        </is>
      </c>
      <c r="D623" s="1" t="n">
        <v>44908</v>
      </c>
      <c r="E623" s="1" t="n">
        <v>46216</v>
      </c>
      <c r="F623" t="inlineStr">
        <is>
          <t>BLEKINGE LÄN</t>
        </is>
      </c>
      <c r="G623" t="inlineStr">
        <is>
          <t>RONNEBY</t>
        </is>
      </c>
      <c r="I623" t="n">
        <v>5.8</v>
      </c>
      <c r="J623" t="n">
        <v>0</v>
      </c>
      <c r="K623" t="n">
        <v>0</v>
      </c>
      <c r="L623" t="n">
        <v>0</v>
      </c>
      <c r="M623" t="n">
        <v>0</v>
      </c>
      <c r="N623" t="n">
        <v>0</v>
      </c>
      <c r="O623" t="n">
        <v>0</v>
      </c>
      <c r="P623" t="n">
        <v>0</v>
      </c>
      <c r="Q623" t="n">
        <v>0</v>
      </c>
      <c r="R623" t="n">
        <v>0</v>
      </c>
      <c r="S623" t="n">
        <v>0</v>
      </c>
      <c r="T623" t="n">
        <v>0</v>
      </c>
      <c r="U623" s="2" t="inlineStr"/>
    </row>
    <row r="624" ht="15" customHeight="1">
      <c r="A624" t="inlineStr">
        <is>
          <t>A 45566-2022</t>
        </is>
      </c>
      <c r="B624" t="inlineStr">
        <is>
          <t>avverkningsanmälan</t>
        </is>
      </c>
      <c r="C624" t="inlineStr">
        <is>
          <t>Föryngringsavverkning</t>
        </is>
      </c>
      <c r="D624" s="1" t="n">
        <v>44845</v>
      </c>
      <c r="E624" s="1" t="n">
        <v>46216</v>
      </c>
      <c r="F624" t="inlineStr">
        <is>
          <t>BLEKINGE LÄN</t>
        </is>
      </c>
      <c r="G624" t="inlineStr">
        <is>
          <t>KARLSHAMN</t>
        </is>
      </c>
      <c r="I624" t="n">
        <v>0.2</v>
      </c>
      <c r="J624" t="n">
        <v>0</v>
      </c>
      <c r="K624" t="n">
        <v>0</v>
      </c>
      <c r="L624" t="n">
        <v>0</v>
      </c>
      <c r="M624" t="n">
        <v>0</v>
      </c>
      <c r="N624" t="n">
        <v>0</v>
      </c>
      <c r="O624" t="n">
        <v>0</v>
      </c>
      <c r="P624" t="n">
        <v>0</v>
      </c>
      <c r="Q624" t="n">
        <v>0</v>
      </c>
      <c r="R624" t="n">
        <v>0</v>
      </c>
      <c r="S624" t="n">
        <v>0</v>
      </c>
      <c r="T624" t="n">
        <v>0</v>
      </c>
      <c r="U624" s="2" t="inlineStr"/>
    </row>
    <row r="625" ht="15" customHeight="1">
      <c r="A625" t="inlineStr">
        <is>
          <t>A 22717-2023</t>
        </is>
      </c>
      <c r="B625" t="inlineStr">
        <is>
          <t>avverkningsanmälan</t>
        </is>
      </c>
      <c r="C625" t="inlineStr">
        <is>
          <t>Föryngringsavverkning</t>
        </is>
      </c>
      <c r="D625" s="1" t="n">
        <v>45071</v>
      </c>
      <c r="E625" s="1" t="n">
        <v>46216</v>
      </c>
      <c r="F625" t="inlineStr">
        <is>
          <t>BLEKINGE LÄN</t>
        </is>
      </c>
      <c r="G625" t="inlineStr">
        <is>
          <t>OLOFSTRÖM</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58986-2024</t>
        </is>
      </c>
      <c r="B626" t="inlineStr">
        <is>
          <t>avverkningsanmälan</t>
        </is>
      </c>
      <c r="C626" t="inlineStr">
        <is>
          <t>Föryngringsavverkning</t>
        </is>
      </c>
      <c r="D626" s="1" t="n">
        <v>45636</v>
      </c>
      <c r="E626" s="1" t="n">
        <v>46216</v>
      </c>
      <c r="F626" t="inlineStr">
        <is>
          <t>BLEKINGE LÄN</t>
        </is>
      </c>
      <c r="G626" t="inlineStr">
        <is>
          <t>KARLSHAMN</t>
        </is>
      </c>
      <c r="I626" t="n">
        <v>0.8</v>
      </c>
      <c r="J626" t="n">
        <v>0</v>
      </c>
      <c r="K626" t="n">
        <v>0</v>
      </c>
      <c r="L626" t="n">
        <v>0</v>
      </c>
      <c r="M626" t="n">
        <v>0</v>
      </c>
      <c r="N626" t="n">
        <v>0</v>
      </c>
      <c r="O626" t="n">
        <v>0</v>
      </c>
      <c r="P626" t="n">
        <v>0</v>
      </c>
      <c r="Q626" t="n">
        <v>0</v>
      </c>
      <c r="R626" t="n">
        <v>0</v>
      </c>
      <c r="S626" t="n">
        <v>0</v>
      </c>
      <c r="T626" t="n">
        <v>0</v>
      </c>
      <c r="U626" s="2" t="inlineStr"/>
    </row>
    <row r="627" ht="15" customHeight="1">
      <c r="A627" t="inlineStr">
        <is>
          <t>A 46500-2023</t>
        </is>
      </c>
      <c r="B627" t="inlineStr">
        <is>
          <t>avverkningsanmälan</t>
        </is>
      </c>
      <c r="C627" t="inlineStr">
        <is>
          <t>Föryngringsavverkning</t>
        </is>
      </c>
      <c r="D627" s="1" t="n">
        <v>45197</v>
      </c>
      <c r="E627" s="1" t="n">
        <v>46216</v>
      </c>
      <c r="F627" t="inlineStr">
        <is>
          <t>BLEKINGE LÄN</t>
        </is>
      </c>
      <c r="G627" t="inlineStr">
        <is>
          <t>SÖLVESBORG</t>
        </is>
      </c>
      <c r="I627" t="n">
        <v>0.5</v>
      </c>
      <c r="J627" t="n">
        <v>0</v>
      </c>
      <c r="K627" t="n">
        <v>0</v>
      </c>
      <c r="L627" t="n">
        <v>0</v>
      </c>
      <c r="M627" t="n">
        <v>0</v>
      </c>
      <c r="N627" t="n">
        <v>0</v>
      </c>
      <c r="O627" t="n">
        <v>0</v>
      </c>
      <c r="P627" t="n">
        <v>0</v>
      </c>
      <c r="Q627" t="n">
        <v>0</v>
      </c>
      <c r="R627" t="n">
        <v>0</v>
      </c>
      <c r="S627" t="n">
        <v>0</v>
      </c>
      <c r="T627" t="n">
        <v>0</v>
      </c>
      <c r="U627" s="2" t="inlineStr"/>
    </row>
    <row r="628" ht="15" customHeight="1">
      <c r="A628" t="inlineStr">
        <is>
          <t>A 40749-2021</t>
        </is>
      </c>
      <c r="B628" t="inlineStr">
        <is>
          <t>avverkningsanmälan</t>
        </is>
      </c>
      <c r="C628" t="inlineStr">
        <is>
          <t>Föryngringsavverkning</t>
        </is>
      </c>
      <c r="D628" s="1" t="n">
        <v>44420</v>
      </c>
      <c r="E628" s="1" t="n">
        <v>46216</v>
      </c>
      <c r="F628" t="inlineStr">
        <is>
          <t>BLEKINGE LÄN</t>
        </is>
      </c>
      <c r="G628" t="inlineStr">
        <is>
          <t>OLOFSTRÖM</t>
        </is>
      </c>
      <c r="I628" t="n">
        <v>0.6</v>
      </c>
      <c r="J628" t="n">
        <v>0</v>
      </c>
      <c r="K628" t="n">
        <v>0</v>
      </c>
      <c r="L628" t="n">
        <v>0</v>
      </c>
      <c r="M628" t="n">
        <v>0</v>
      </c>
      <c r="N628" t="n">
        <v>0</v>
      </c>
      <c r="O628" t="n">
        <v>0</v>
      </c>
      <c r="P628" t="n">
        <v>0</v>
      </c>
      <c r="Q628" t="n">
        <v>0</v>
      </c>
      <c r="R628" t="n">
        <v>0</v>
      </c>
      <c r="S628" t="n">
        <v>0</v>
      </c>
      <c r="T628" t="n">
        <v>0</v>
      </c>
      <c r="U628" s="2" t="inlineStr"/>
    </row>
    <row r="629" ht="15" customHeight="1">
      <c r="A629" t="inlineStr">
        <is>
          <t>A 37487-2024</t>
        </is>
      </c>
      <c r="B629" t="inlineStr">
        <is>
          <t>avverkningsanmälan</t>
        </is>
      </c>
      <c r="C629" t="inlineStr">
        <is>
          <t>Föryngringsavverkning</t>
        </is>
      </c>
      <c r="D629" s="1" t="n">
        <v>45541</v>
      </c>
      <c r="E629" s="1" t="n">
        <v>46216</v>
      </c>
      <c r="F629" t="inlineStr">
        <is>
          <t>BLEKINGE LÄN</t>
        </is>
      </c>
      <c r="G629" t="inlineStr">
        <is>
          <t>KARLSKRONA</t>
        </is>
      </c>
      <c r="I629" t="n">
        <v>4.3</v>
      </c>
      <c r="J629" t="n">
        <v>0</v>
      </c>
      <c r="K629" t="n">
        <v>0</v>
      </c>
      <c r="L629" t="n">
        <v>0</v>
      </c>
      <c r="M629" t="n">
        <v>0</v>
      </c>
      <c r="N629" t="n">
        <v>0</v>
      </c>
      <c r="O629" t="n">
        <v>0</v>
      </c>
      <c r="P629" t="n">
        <v>0</v>
      </c>
      <c r="Q629" t="n">
        <v>0</v>
      </c>
      <c r="R629" t="n">
        <v>0</v>
      </c>
      <c r="S629" t="n">
        <v>0</v>
      </c>
      <c r="T629" t="n">
        <v>0</v>
      </c>
      <c r="U629" s="2" t="inlineStr"/>
    </row>
    <row r="630" ht="15" customHeight="1">
      <c r="A630" t="inlineStr">
        <is>
          <t>A 35081-2022</t>
        </is>
      </c>
      <c r="B630" t="inlineStr">
        <is>
          <t>avverkningsanmälan</t>
        </is>
      </c>
      <c r="C630" t="inlineStr">
        <is>
          <t>Föryngringsavverkning</t>
        </is>
      </c>
      <c r="D630" s="1" t="n">
        <v>44797</v>
      </c>
      <c r="E630" s="1" t="n">
        <v>46216</v>
      </c>
      <c r="F630" t="inlineStr">
        <is>
          <t>BLEKINGE LÄN</t>
        </is>
      </c>
      <c r="G630" t="inlineStr">
        <is>
          <t>KARLSHAMN</t>
        </is>
      </c>
      <c r="I630" t="n">
        <v>3.7</v>
      </c>
      <c r="J630" t="n">
        <v>0</v>
      </c>
      <c r="K630" t="n">
        <v>0</v>
      </c>
      <c r="L630" t="n">
        <v>0</v>
      </c>
      <c r="M630" t="n">
        <v>0</v>
      </c>
      <c r="N630" t="n">
        <v>0</v>
      </c>
      <c r="O630" t="n">
        <v>0</v>
      </c>
      <c r="P630" t="n">
        <v>0</v>
      </c>
      <c r="Q630" t="n">
        <v>0</v>
      </c>
      <c r="R630" t="n">
        <v>0</v>
      </c>
      <c r="S630" t="n">
        <v>0</v>
      </c>
      <c r="T630" t="n">
        <v>0</v>
      </c>
      <c r="U630" s="2" t="inlineStr"/>
    </row>
    <row r="631" ht="15" customHeight="1">
      <c r="A631" t="inlineStr">
        <is>
          <t>A 54637-2023</t>
        </is>
      </c>
      <c r="B631" t="inlineStr">
        <is>
          <t>avverkningsanmälan</t>
        </is>
      </c>
      <c r="C631" t="inlineStr">
        <is>
          <t>Föryngringsavverkning</t>
        </is>
      </c>
      <c r="D631" s="1" t="n">
        <v>45234</v>
      </c>
      <c r="E631" s="1" t="n">
        <v>46216</v>
      </c>
      <c r="F631" t="inlineStr">
        <is>
          <t>BLEKINGE LÄN</t>
        </is>
      </c>
      <c r="G631" t="inlineStr">
        <is>
          <t>KARLSKRONA</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44487-2023</t>
        </is>
      </c>
      <c r="B632" t="inlineStr">
        <is>
          <t>avverkningsanmälan</t>
        </is>
      </c>
      <c r="C632" t="inlineStr">
        <is>
          <t>Föryngringsavverkning</t>
        </is>
      </c>
      <c r="D632" s="1" t="n">
        <v>45187</v>
      </c>
      <c r="E632" s="1" t="n">
        <v>46216</v>
      </c>
      <c r="F632" t="inlineStr">
        <is>
          <t>BLEKINGE LÄN</t>
        </is>
      </c>
      <c r="G632" t="inlineStr">
        <is>
          <t>KARLSHAMN</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12796-2025</t>
        </is>
      </c>
      <c r="B633" t="inlineStr">
        <is>
          <t>avverkningsanmälan</t>
        </is>
      </c>
      <c r="C633" t="inlineStr">
        <is>
          <t>Föryngringsavverkning</t>
        </is>
      </c>
      <c r="D633" s="1" t="n">
        <v>45733</v>
      </c>
      <c r="E633" s="1" t="n">
        <v>46216</v>
      </c>
      <c r="F633" t="inlineStr">
        <is>
          <t>BLEKINGE LÄN</t>
        </is>
      </c>
      <c r="G633" t="inlineStr">
        <is>
          <t>OLOFSTRÖM</t>
        </is>
      </c>
      <c r="I633" t="n">
        <v>2.3</v>
      </c>
      <c r="J633" t="n">
        <v>0</v>
      </c>
      <c r="K633" t="n">
        <v>0</v>
      </c>
      <c r="L633" t="n">
        <v>0</v>
      </c>
      <c r="M633" t="n">
        <v>0</v>
      </c>
      <c r="N633" t="n">
        <v>0</v>
      </c>
      <c r="O633" t="n">
        <v>0</v>
      </c>
      <c r="P633" t="n">
        <v>0</v>
      </c>
      <c r="Q633" t="n">
        <v>0</v>
      </c>
      <c r="R633" t="n">
        <v>0</v>
      </c>
      <c r="S633" t="n">
        <v>0</v>
      </c>
      <c r="T633" t="n">
        <v>0</v>
      </c>
      <c r="U633" s="2" t="inlineStr"/>
    </row>
    <row r="634" ht="15" customHeight="1">
      <c r="A634" t="inlineStr">
        <is>
          <t>A 12180-2022</t>
        </is>
      </c>
      <c r="B634" t="inlineStr">
        <is>
          <t>avverkningsanmälan</t>
        </is>
      </c>
      <c r="C634" t="inlineStr">
        <is>
          <t>Föryngringsavverkning</t>
        </is>
      </c>
      <c r="D634" s="1" t="n">
        <v>44636</v>
      </c>
      <c r="E634" s="1" t="n">
        <v>46216</v>
      </c>
      <c r="F634" t="inlineStr">
        <is>
          <t>BLEKINGE LÄN</t>
        </is>
      </c>
      <c r="G634" t="inlineStr">
        <is>
          <t>KARLSKRONA</t>
        </is>
      </c>
      <c r="I634" t="n">
        <v>2.5</v>
      </c>
      <c r="J634" t="n">
        <v>0</v>
      </c>
      <c r="K634" t="n">
        <v>0</v>
      </c>
      <c r="L634" t="n">
        <v>0</v>
      </c>
      <c r="M634" t="n">
        <v>0</v>
      </c>
      <c r="N634" t="n">
        <v>0</v>
      </c>
      <c r="O634" t="n">
        <v>0</v>
      </c>
      <c r="P634" t="n">
        <v>0</v>
      </c>
      <c r="Q634" t="n">
        <v>0</v>
      </c>
      <c r="R634" t="n">
        <v>0</v>
      </c>
      <c r="S634" t="n">
        <v>0</v>
      </c>
      <c r="T634" t="n">
        <v>0</v>
      </c>
      <c r="U634" s="2" t="inlineStr"/>
    </row>
    <row r="635" ht="15" customHeight="1">
      <c r="A635" t="inlineStr">
        <is>
          <t>A 3012-2024</t>
        </is>
      </c>
      <c r="B635" t="inlineStr">
        <is>
          <t>avverkningsanmälan</t>
        </is>
      </c>
      <c r="C635" t="inlineStr">
        <is>
          <t>Föryngringsavverkning</t>
        </is>
      </c>
      <c r="D635" s="1" t="n">
        <v>45315</v>
      </c>
      <c r="E635" s="1" t="n">
        <v>46216</v>
      </c>
      <c r="F635" t="inlineStr">
        <is>
          <t>BLEKINGE LÄN</t>
        </is>
      </c>
      <c r="G635" t="inlineStr">
        <is>
          <t>KARLSKRONA</t>
        </is>
      </c>
      <c r="I635" t="n">
        <v>2.3</v>
      </c>
      <c r="J635" t="n">
        <v>0</v>
      </c>
      <c r="K635" t="n">
        <v>0</v>
      </c>
      <c r="L635" t="n">
        <v>0</v>
      </c>
      <c r="M635" t="n">
        <v>0</v>
      </c>
      <c r="N635" t="n">
        <v>0</v>
      </c>
      <c r="O635" t="n">
        <v>0</v>
      </c>
      <c r="P635" t="n">
        <v>0</v>
      </c>
      <c r="Q635" t="n">
        <v>0</v>
      </c>
      <c r="R635" t="n">
        <v>0</v>
      </c>
      <c r="S635" t="n">
        <v>0</v>
      </c>
      <c r="T635" t="n">
        <v>0</v>
      </c>
      <c r="U635" s="2" t="inlineStr"/>
    </row>
    <row r="636" ht="15" customHeight="1">
      <c r="A636" t="inlineStr">
        <is>
          <t>A 69510-2021</t>
        </is>
      </c>
      <c r="B636" t="inlineStr">
        <is>
          <t>avverkningsanmälan</t>
        </is>
      </c>
      <c r="C636" t="inlineStr">
        <is>
          <t>Föryngringsavverkning</t>
        </is>
      </c>
      <c r="D636" s="1" t="n">
        <v>44531</v>
      </c>
      <c r="E636" s="1" t="n">
        <v>46216</v>
      </c>
      <c r="F636" t="inlineStr">
        <is>
          <t>BLEKINGE LÄN</t>
        </is>
      </c>
      <c r="G636" t="inlineStr">
        <is>
          <t>OLOFSTRÖM</t>
        </is>
      </c>
      <c r="I636" t="n">
        <v>1.9</v>
      </c>
      <c r="J636" t="n">
        <v>0</v>
      </c>
      <c r="K636" t="n">
        <v>0</v>
      </c>
      <c r="L636" t="n">
        <v>0</v>
      </c>
      <c r="M636" t="n">
        <v>0</v>
      </c>
      <c r="N636" t="n">
        <v>0</v>
      </c>
      <c r="O636" t="n">
        <v>0</v>
      </c>
      <c r="P636" t="n">
        <v>0</v>
      </c>
      <c r="Q636" t="n">
        <v>0</v>
      </c>
      <c r="R636" t="n">
        <v>0</v>
      </c>
      <c r="S636" t="n">
        <v>0</v>
      </c>
      <c r="T636" t="n">
        <v>0</v>
      </c>
      <c r="U636" s="2" t="inlineStr"/>
    </row>
    <row r="637" ht="15" customHeight="1">
      <c r="A637" t="inlineStr">
        <is>
          <t>A 49939-2024</t>
        </is>
      </c>
      <c r="B637" t="inlineStr">
        <is>
          <t>avverkningsanmälan</t>
        </is>
      </c>
      <c r="C637" t="inlineStr">
        <is>
          <t>Föryngringsavverkning</t>
        </is>
      </c>
      <c r="D637" s="1" t="n">
        <v>45597</v>
      </c>
      <c r="E637" s="1" t="n">
        <v>46216</v>
      </c>
      <c r="F637" t="inlineStr">
        <is>
          <t>BLEKINGE LÄN</t>
        </is>
      </c>
      <c r="G637" t="inlineStr">
        <is>
          <t>RONNEBY</t>
        </is>
      </c>
      <c r="I637" t="n">
        <v>1.3</v>
      </c>
      <c r="J637" t="n">
        <v>0</v>
      </c>
      <c r="K637" t="n">
        <v>0</v>
      </c>
      <c r="L637" t="n">
        <v>0</v>
      </c>
      <c r="M637" t="n">
        <v>0</v>
      </c>
      <c r="N637" t="n">
        <v>0</v>
      </c>
      <c r="O637" t="n">
        <v>0</v>
      </c>
      <c r="P637" t="n">
        <v>0</v>
      </c>
      <c r="Q637" t="n">
        <v>0</v>
      </c>
      <c r="R637" t="n">
        <v>0</v>
      </c>
      <c r="S637" t="n">
        <v>0</v>
      </c>
      <c r="T637" t="n">
        <v>0</v>
      </c>
      <c r="U637" s="2" t="inlineStr"/>
    </row>
    <row r="638" ht="15" customHeight="1">
      <c r="A638" t="inlineStr">
        <is>
          <t>A 43444-2024</t>
        </is>
      </c>
      <c r="B638" t="inlineStr">
        <is>
          <t>avverkningsanmälan</t>
        </is>
      </c>
      <c r="C638" t="inlineStr">
        <is>
          <t>Föryngringsavverkning</t>
        </is>
      </c>
      <c r="D638" s="1" t="n">
        <v>45568</v>
      </c>
      <c r="E638" s="1" t="n">
        <v>46216</v>
      </c>
      <c r="F638" t="inlineStr">
        <is>
          <t>BLEKINGE LÄN</t>
        </is>
      </c>
      <c r="G638" t="inlineStr">
        <is>
          <t>KARLSKRONA</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38619-2023</t>
        </is>
      </c>
      <c r="B639" t="inlineStr">
        <is>
          <t>avverkningsanmälan</t>
        </is>
      </c>
      <c r="C639" t="inlineStr">
        <is>
          <t>Avverkning för annat ändamål</t>
        </is>
      </c>
      <c r="D639" s="1" t="n">
        <v>45162</v>
      </c>
      <c r="E639" s="1" t="n">
        <v>46216</v>
      </c>
      <c r="F639" t="inlineStr">
        <is>
          <t>BLEKINGE LÄN</t>
        </is>
      </c>
      <c r="G639" t="inlineStr">
        <is>
          <t>KARLSKRONA</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45433-2023</t>
        </is>
      </c>
      <c r="B640" t="inlineStr">
        <is>
          <t>avverkningsanmälan</t>
        </is>
      </c>
      <c r="C640" t="inlineStr">
        <is>
          <t>Föryngringsavverkning</t>
        </is>
      </c>
      <c r="D640" s="1" t="n">
        <v>45194</v>
      </c>
      <c r="E640" s="1" t="n">
        <v>46216</v>
      </c>
      <c r="F640" t="inlineStr">
        <is>
          <t>BLEKINGE LÄN</t>
        </is>
      </c>
      <c r="G640" t="inlineStr">
        <is>
          <t>RONNEBY</t>
        </is>
      </c>
      <c r="I640" t="n">
        <v>2.4</v>
      </c>
      <c r="J640" t="n">
        <v>0</v>
      </c>
      <c r="K640" t="n">
        <v>0</v>
      </c>
      <c r="L640" t="n">
        <v>0</v>
      </c>
      <c r="M640" t="n">
        <v>0</v>
      </c>
      <c r="N640" t="n">
        <v>0</v>
      </c>
      <c r="O640" t="n">
        <v>0</v>
      </c>
      <c r="P640" t="n">
        <v>0</v>
      </c>
      <c r="Q640" t="n">
        <v>0</v>
      </c>
      <c r="R640" t="n">
        <v>0</v>
      </c>
      <c r="S640" t="n">
        <v>0</v>
      </c>
      <c r="T640" t="n">
        <v>0</v>
      </c>
      <c r="U640" s="2" t="inlineStr"/>
    </row>
    <row r="641" ht="15" customHeight="1">
      <c r="A641" t="inlineStr">
        <is>
          <t>A 53326-2022</t>
        </is>
      </c>
      <c r="B641" t="inlineStr">
        <is>
          <t>avverkningsanmälan</t>
        </is>
      </c>
      <c r="C641" t="inlineStr">
        <is>
          <t>Föryngringsavverkning</t>
        </is>
      </c>
      <c r="D641" s="1" t="n">
        <v>44879</v>
      </c>
      <c r="E641" s="1" t="n">
        <v>46216</v>
      </c>
      <c r="F641" t="inlineStr">
        <is>
          <t>BLEKINGE LÄN</t>
        </is>
      </c>
      <c r="G641" t="inlineStr">
        <is>
          <t>KARLSKRONA</t>
        </is>
      </c>
      <c r="I641" t="n">
        <v>1.2</v>
      </c>
      <c r="J641" t="n">
        <v>0</v>
      </c>
      <c r="K641" t="n">
        <v>0</v>
      </c>
      <c r="L641" t="n">
        <v>0</v>
      </c>
      <c r="M641" t="n">
        <v>0</v>
      </c>
      <c r="N641" t="n">
        <v>0</v>
      </c>
      <c r="O641" t="n">
        <v>0</v>
      </c>
      <c r="P641" t="n">
        <v>0</v>
      </c>
      <c r="Q641" t="n">
        <v>0</v>
      </c>
      <c r="R641" t="n">
        <v>0</v>
      </c>
      <c r="S641" t="n">
        <v>0</v>
      </c>
      <c r="T641" t="n">
        <v>0</v>
      </c>
      <c r="U641" s="2" t="inlineStr"/>
    </row>
    <row r="642" ht="15" customHeight="1">
      <c r="A642" t="inlineStr">
        <is>
          <t>A 16275-2023</t>
        </is>
      </c>
      <c r="B642" t="inlineStr">
        <is>
          <t>avverkningsanmälan</t>
        </is>
      </c>
      <c r="C642" t="inlineStr">
        <is>
          <t>Föryngringsavverkning</t>
        </is>
      </c>
      <c r="D642" s="1" t="n">
        <v>45028</v>
      </c>
      <c r="E642" s="1" t="n">
        <v>46216</v>
      </c>
      <c r="F642" t="inlineStr">
        <is>
          <t>BLEKINGE LÄN</t>
        </is>
      </c>
      <c r="G642" t="inlineStr">
        <is>
          <t>KARLSKRONA</t>
        </is>
      </c>
      <c r="I642" t="n">
        <v>1.5</v>
      </c>
      <c r="J642" t="n">
        <v>0</v>
      </c>
      <c r="K642" t="n">
        <v>0</v>
      </c>
      <c r="L642" t="n">
        <v>0</v>
      </c>
      <c r="M642" t="n">
        <v>0</v>
      </c>
      <c r="N642" t="n">
        <v>0</v>
      </c>
      <c r="O642" t="n">
        <v>0</v>
      </c>
      <c r="P642" t="n">
        <v>0</v>
      </c>
      <c r="Q642" t="n">
        <v>0</v>
      </c>
      <c r="R642" t="n">
        <v>0</v>
      </c>
      <c r="S642" t="n">
        <v>0</v>
      </c>
      <c r="T642" t="n">
        <v>0</v>
      </c>
      <c r="U642" s="2" t="inlineStr"/>
    </row>
    <row r="643" ht="15" customHeight="1">
      <c r="A643" t="inlineStr">
        <is>
          <t>A 16290-2023</t>
        </is>
      </c>
      <c r="B643" t="inlineStr">
        <is>
          <t>avverkningsanmälan</t>
        </is>
      </c>
      <c r="C643" t="inlineStr">
        <is>
          <t>Föryngringsavverkning</t>
        </is>
      </c>
      <c r="D643" s="1" t="n">
        <v>45028</v>
      </c>
      <c r="E643" s="1" t="n">
        <v>46216</v>
      </c>
      <c r="F643" t="inlineStr">
        <is>
          <t>BLEKINGE LÄN</t>
        </is>
      </c>
      <c r="G643" t="inlineStr">
        <is>
          <t>KARLSKRONA</t>
        </is>
      </c>
      <c r="I643" t="n">
        <v>0.4</v>
      </c>
      <c r="J643" t="n">
        <v>0</v>
      </c>
      <c r="K643" t="n">
        <v>0</v>
      </c>
      <c r="L643" t="n">
        <v>0</v>
      </c>
      <c r="M643" t="n">
        <v>0</v>
      </c>
      <c r="N643" t="n">
        <v>0</v>
      </c>
      <c r="O643" t="n">
        <v>0</v>
      </c>
      <c r="P643" t="n">
        <v>0</v>
      </c>
      <c r="Q643" t="n">
        <v>0</v>
      </c>
      <c r="R643" t="n">
        <v>0</v>
      </c>
      <c r="S643" t="n">
        <v>0</v>
      </c>
      <c r="T643" t="n">
        <v>0</v>
      </c>
      <c r="U643" s="2" t="inlineStr"/>
    </row>
    <row r="644" ht="15" customHeight="1">
      <c r="A644" t="inlineStr">
        <is>
          <t>A 6253-2025</t>
        </is>
      </c>
      <c r="B644" t="inlineStr">
        <is>
          <t>avverkningsanmälan</t>
        </is>
      </c>
      <c r="C644" t="inlineStr">
        <is>
          <t>Föryngringsavverkning</t>
        </is>
      </c>
      <c r="D644" s="1" t="n">
        <v>45698</v>
      </c>
      <c r="E644" s="1" t="n">
        <v>46216</v>
      </c>
      <c r="F644" t="inlineStr">
        <is>
          <t>BLEKINGE LÄN</t>
        </is>
      </c>
      <c r="G644" t="inlineStr">
        <is>
          <t>OLOFSTRÖM</t>
        </is>
      </c>
      <c r="I644" t="n">
        <v>0.7</v>
      </c>
      <c r="J644" t="n">
        <v>0</v>
      </c>
      <c r="K644" t="n">
        <v>0</v>
      </c>
      <c r="L644" t="n">
        <v>0</v>
      </c>
      <c r="M644" t="n">
        <v>0</v>
      </c>
      <c r="N644" t="n">
        <v>0</v>
      </c>
      <c r="O644" t="n">
        <v>0</v>
      </c>
      <c r="P644" t="n">
        <v>0</v>
      </c>
      <c r="Q644" t="n">
        <v>0</v>
      </c>
      <c r="R644" t="n">
        <v>0</v>
      </c>
      <c r="S644" t="n">
        <v>0</v>
      </c>
      <c r="T644" t="n">
        <v>0</v>
      </c>
      <c r="U644" s="2" t="inlineStr"/>
    </row>
    <row r="645" ht="15" customHeight="1">
      <c r="A645" t="inlineStr">
        <is>
          <t>A 57880-2023</t>
        </is>
      </c>
      <c r="B645" t="inlineStr">
        <is>
          <t>avverkningsanmälan</t>
        </is>
      </c>
      <c r="C645" t="inlineStr">
        <is>
          <t>Föryngringsavverkning</t>
        </is>
      </c>
      <c r="D645" s="1" t="n">
        <v>45247</v>
      </c>
      <c r="E645" s="1" t="n">
        <v>46216</v>
      </c>
      <c r="F645" t="inlineStr">
        <is>
          <t>BLEKINGE LÄN</t>
        </is>
      </c>
      <c r="G645" t="inlineStr">
        <is>
          <t>RONNEBY</t>
        </is>
      </c>
      <c r="I645" t="n">
        <v>4.9</v>
      </c>
      <c r="J645" t="n">
        <v>0</v>
      </c>
      <c r="K645" t="n">
        <v>0</v>
      </c>
      <c r="L645" t="n">
        <v>0</v>
      </c>
      <c r="M645" t="n">
        <v>0</v>
      </c>
      <c r="N645" t="n">
        <v>0</v>
      </c>
      <c r="O645" t="n">
        <v>0</v>
      </c>
      <c r="P645" t="n">
        <v>0</v>
      </c>
      <c r="Q645" t="n">
        <v>0</v>
      </c>
      <c r="R645" t="n">
        <v>0</v>
      </c>
      <c r="S645" t="n">
        <v>0</v>
      </c>
      <c r="T645" t="n">
        <v>0</v>
      </c>
      <c r="U645" s="2" t="inlineStr"/>
    </row>
    <row r="646" ht="15" customHeight="1">
      <c r="A646" t="inlineStr">
        <is>
          <t>A 14694-2023</t>
        </is>
      </c>
      <c r="B646" t="inlineStr">
        <is>
          <t>avverkningsanmälan</t>
        </is>
      </c>
      <c r="C646" t="inlineStr">
        <is>
          <t>Föryngringsavverkning</t>
        </is>
      </c>
      <c r="D646" s="1" t="n">
        <v>45012</v>
      </c>
      <c r="E646" s="1" t="n">
        <v>46216</v>
      </c>
      <c r="F646" t="inlineStr">
        <is>
          <t>BLEKINGE LÄN</t>
        </is>
      </c>
      <c r="G646" t="inlineStr">
        <is>
          <t>RONNEBY</t>
        </is>
      </c>
      <c r="H646" t="inlineStr">
        <is>
          <t>Övriga statliga verk och myndigheter</t>
        </is>
      </c>
      <c r="I646" t="n">
        <v>1.5</v>
      </c>
      <c r="J646" t="n">
        <v>0</v>
      </c>
      <c r="K646" t="n">
        <v>0</v>
      </c>
      <c r="L646" t="n">
        <v>0</v>
      </c>
      <c r="M646" t="n">
        <v>0</v>
      </c>
      <c r="N646" t="n">
        <v>0</v>
      </c>
      <c r="O646" t="n">
        <v>0</v>
      </c>
      <c r="P646" t="n">
        <v>0</v>
      </c>
      <c r="Q646" t="n">
        <v>0</v>
      </c>
      <c r="R646" t="n">
        <v>0</v>
      </c>
      <c r="S646" t="n">
        <v>0</v>
      </c>
      <c r="T646" t="n">
        <v>0</v>
      </c>
      <c r="U646" s="2" t="inlineStr"/>
    </row>
    <row r="647" ht="15" customHeight="1">
      <c r="A647" t="inlineStr">
        <is>
          <t>A 50201-2024</t>
        </is>
      </c>
      <c r="B647" t="inlineStr">
        <is>
          <t>avverkningsanmälan</t>
        </is>
      </c>
      <c r="C647" t="inlineStr">
        <is>
          <t>Föryngringsavverkning</t>
        </is>
      </c>
      <c r="D647" s="1" t="n">
        <v>45600</v>
      </c>
      <c r="E647" s="1" t="n">
        <v>46216</v>
      </c>
      <c r="F647" t="inlineStr">
        <is>
          <t>BLEKINGE LÄN</t>
        </is>
      </c>
      <c r="G647" t="inlineStr">
        <is>
          <t>RONNEBY</t>
        </is>
      </c>
      <c r="I647" t="n">
        <v>2.7</v>
      </c>
      <c r="J647" t="n">
        <v>0</v>
      </c>
      <c r="K647" t="n">
        <v>0</v>
      </c>
      <c r="L647" t="n">
        <v>0</v>
      </c>
      <c r="M647" t="n">
        <v>0</v>
      </c>
      <c r="N647" t="n">
        <v>0</v>
      </c>
      <c r="O647" t="n">
        <v>0</v>
      </c>
      <c r="P647" t="n">
        <v>0</v>
      </c>
      <c r="Q647" t="n">
        <v>0</v>
      </c>
      <c r="R647" t="n">
        <v>0</v>
      </c>
      <c r="S647" t="n">
        <v>0</v>
      </c>
      <c r="T647" t="n">
        <v>0</v>
      </c>
      <c r="U647" s="2" t="inlineStr"/>
    </row>
    <row r="648" ht="15" customHeight="1">
      <c r="A648" t="inlineStr">
        <is>
          <t>A 10735-2023</t>
        </is>
      </c>
      <c r="B648" t="inlineStr">
        <is>
          <t>avverkningsanmälan</t>
        </is>
      </c>
      <c r="C648" t="inlineStr">
        <is>
          <t>Föryngringsavverkning</t>
        </is>
      </c>
      <c r="D648" s="1" t="n">
        <v>44988</v>
      </c>
      <c r="E648" s="1" t="n">
        <v>46216</v>
      </c>
      <c r="F648" t="inlineStr">
        <is>
          <t>BLEKINGE LÄN</t>
        </is>
      </c>
      <c r="G648" t="inlineStr">
        <is>
          <t>KARLSKRONA</t>
        </is>
      </c>
      <c r="I648" t="n">
        <v>3.1</v>
      </c>
      <c r="J648" t="n">
        <v>0</v>
      </c>
      <c r="K648" t="n">
        <v>0</v>
      </c>
      <c r="L648" t="n">
        <v>0</v>
      </c>
      <c r="M648" t="n">
        <v>0</v>
      </c>
      <c r="N648" t="n">
        <v>0</v>
      </c>
      <c r="O648" t="n">
        <v>0</v>
      </c>
      <c r="P648" t="n">
        <v>0</v>
      </c>
      <c r="Q648" t="n">
        <v>0</v>
      </c>
      <c r="R648" t="n">
        <v>0</v>
      </c>
      <c r="S648" t="n">
        <v>0</v>
      </c>
      <c r="T648" t="n">
        <v>0</v>
      </c>
      <c r="U648" s="2" t="inlineStr"/>
    </row>
    <row r="649" ht="15" customHeight="1">
      <c r="A649" t="inlineStr">
        <is>
          <t>A 344-2026</t>
        </is>
      </c>
      <c r="B649" t="inlineStr">
        <is>
          <t>avverkningsanmälan</t>
        </is>
      </c>
      <c r="C649" t="inlineStr">
        <is>
          <t>Föryngringsavverkning</t>
        </is>
      </c>
      <c r="D649" s="1" t="n">
        <v>46027</v>
      </c>
      <c r="E649" s="1" t="n">
        <v>46216</v>
      </c>
      <c r="F649" t="inlineStr">
        <is>
          <t>BLEKINGE LÄN</t>
        </is>
      </c>
      <c r="G649" t="inlineStr">
        <is>
          <t>KARLSKRONA</t>
        </is>
      </c>
      <c r="I649" t="n">
        <v>1.8</v>
      </c>
      <c r="J649" t="n">
        <v>0</v>
      </c>
      <c r="K649" t="n">
        <v>0</v>
      </c>
      <c r="L649" t="n">
        <v>0</v>
      </c>
      <c r="M649" t="n">
        <v>0</v>
      </c>
      <c r="N649" t="n">
        <v>0</v>
      </c>
      <c r="O649" t="n">
        <v>0</v>
      </c>
      <c r="P649" t="n">
        <v>0</v>
      </c>
      <c r="Q649" t="n">
        <v>0</v>
      </c>
      <c r="R649" t="n">
        <v>0</v>
      </c>
      <c r="S649" t="n">
        <v>0</v>
      </c>
      <c r="T649" t="n">
        <v>0</v>
      </c>
      <c r="U649" s="2" t="inlineStr"/>
    </row>
    <row r="650" ht="15" customHeight="1">
      <c r="A650" t="inlineStr">
        <is>
          <t>A 3295-2022</t>
        </is>
      </c>
      <c r="B650" t="inlineStr">
        <is>
          <t>avverkningsanmälan</t>
        </is>
      </c>
      <c r="C650" t="inlineStr">
        <is>
          <t>Föryngringsavverkning</t>
        </is>
      </c>
      <c r="D650" s="1" t="n">
        <v>44584</v>
      </c>
      <c r="E650" s="1" t="n">
        <v>46216</v>
      </c>
      <c r="F650" t="inlineStr">
        <is>
          <t>BLEKINGE LÄN</t>
        </is>
      </c>
      <c r="G650" t="inlineStr">
        <is>
          <t>KARLSKRONA</t>
        </is>
      </c>
      <c r="I650" t="n">
        <v>0.5</v>
      </c>
      <c r="J650" t="n">
        <v>0</v>
      </c>
      <c r="K650" t="n">
        <v>0</v>
      </c>
      <c r="L650" t="n">
        <v>0</v>
      </c>
      <c r="M650" t="n">
        <v>0</v>
      </c>
      <c r="N650" t="n">
        <v>0</v>
      </c>
      <c r="O650" t="n">
        <v>0</v>
      </c>
      <c r="P650" t="n">
        <v>0</v>
      </c>
      <c r="Q650" t="n">
        <v>0</v>
      </c>
      <c r="R650" t="n">
        <v>0</v>
      </c>
      <c r="S650" t="n">
        <v>0</v>
      </c>
      <c r="T650" t="n">
        <v>0</v>
      </c>
      <c r="U650" s="2" t="inlineStr"/>
    </row>
    <row r="651" ht="15" customHeight="1">
      <c r="A651" t="inlineStr">
        <is>
          <t>A 242-2026</t>
        </is>
      </c>
      <c r="B651" t="inlineStr">
        <is>
          <t>avverkningsanmälan</t>
        </is>
      </c>
      <c r="C651" t="inlineStr">
        <is>
          <t>Föryngringsavverkning</t>
        </is>
      </c>
      <c r="D651" s="1" t="n">
        <v>46027</v>
      </c>
      <c r="E651" s="1" t="n">
        <v>46216</v>
      </c>
      <c r="F651" t="inlineStr">
        <is>
          <t>BLEKINGE LÄN</t>
        </is>
      </c>
      <c r="G651" t="inlineStr">
        <is>
          <t>OLOFSTRÖM</t>
        </is>
      </c>
      <c r="I651" t="n">
        <v>2.9</v>
      </c>
      <c r="J651" t="n">
        <v>0</v>
      </c>
      <c r="K651" t="n">
        <v>0</v>
      </c>
      <c r="L651" t="n">
        <v>0</v>
      </c>
      <c r="M651" t="n">
        <v>0</v>
      </c>
      <c r="N651" t="n">
        <v>0</v>
      </c>
      <c r="O651" t="n">
        <v>0</v>
      </c>
      <c r="P651" t="n">
        <v>0</v>
      </c>
      <c r="Q651" t="n">
        <v>0</v>
      </c>
      <c r="R651" t="n">
        <v>0</v>
      </c>
      <c r="S651" t="n">
        <v>0</v>
      </c>
      <c r="T651" t="n">
        <v>0</v>
      </c>
      <c r="U651" s="2" t="inlineStr"/>
    </row>
    <row r="652" ht="15" customHeight="1">
      <c r="A652" t="inlineStr">
        <is>
          <t>A 25741-2025</t>
        </is>
      </c>
      <c r="B652" t="inlineStr">
        <is>
          <t>avverkningsanmälan</t>
        </is>
      </c>
      <c r="C652" t="inlineStr">
        <is>
          <t>Föryngringsavverkning</t>
        </is>
      </c>
      <c r="D652" s="1" t="n">
        <v>45803</v>
      </c>
      <c r="E652" s="1" t="n">
        <v>46216</v>
      </c>
      <c r="F652" t="inlineStr">
        <is>
          <t>BLEKINGE LÄN</t>
        </is>
      </c>
      <c r="G652" t="inlineStr">
        <is>
          <t>OLOFSTRÖM</t>
        </is>
      </c>
      <c r="I652" t="n">
        <v>0.5</v>
      </c>
      <c r="J652" t="n">
        <v>0</v>
      </c>
      <c r="K652" t="n">
        <v>0</v>
      </c>
      <c r="L652" t="n">
        <v>0</v>
      </c>
      <c r="M652" t="n">
        <v>0</v>
      </c>
      <c r="N652" t="n">
        <v>0</v>
      </c>
      <c r="O652" t="n">
        <v>0</v>
      </c>
      <c r="P652" t="n">
        <v>0</v>
      </c>
      <c r="Q652" t="n">
        <v>0</v>
      </c>
      <c r="R652" t="n">
        <v>0</v>
      </c>
      <c r="S652" t="n">
        <v>0</v>
      </c>
      <c r="T652" t="n">
        <v>0</v>
      </c>
      <c r="U652" s="2" t="inlineStr"/>
    </row>
    <row r="653" ht="15" customHeight="1">
      <c r="A653" t="inlineStr">
        <is>
          <t>A 63571-2023</t>
        </is>
      </c>
      <c r="B653" t="inlineStr">
        <is>
          <t>avverkningsanmälan</t>
        </is>
      </c>
      <c r="C653" t="inlineStr">
        <is>
          <t>Föryngringsavverkning</t>
        </is>
      </c>
      <c r="D653" s="1" t="n">
        <v>45275</v>
      </c>
      <c r="E653" s="1" t="n">
        <v>46216</v>
      </c>
      <c r="F653" t="inlineStr">
        <is>
          <t>BLEKINGE LÄN</t>
        </is>
      </c>
      <c r="G653" t="inlineStr">
        <is>
          <t>SÖLVESBORG</t>
        </is>
      </c>
      <c r="I653" t="n">
        <v>1.8</v>
      </c>
      <c r="J653" t="n">
        <v>0</v>
      </c>
      <c r="K653" t="n">
        <v>0</v>
      </c>
      <c r="L653" t="n">
        <v>0</v>
      </c>
      <c r="M653" t="n">
        <v>0</v>
      </c>
      <c r="N653" t="n">
        <v>0</v>
      </c>
      <c r="O653" t="n">
        <v>0</v>
      </c>
      <c r="P653" t="n">
        <v>0</v>
      </c>
      <c r="Q653" t="n">
        <v>0</v>
      </c>
      <c r="R653" t="n">
        <v>0</v>
      </c>
      <c r="S653" t="n">
        <v>0</v>
      </c>
      <c r="T653" t="n">
        <v>0</v>
      </c>
      <c r="U653" s="2" t="inlineStr"/>
    </row>
    <row r="654" ht="15" customHeight="1">
      <c r="A654" t="inlineStr">
        <is>
          <t>A 45644-2024</t>
        </is>
      </c>
      <c r="B654" t="inlineStr">
        <is>
          <t>avverkningsanmälan</t>
        </is>
      </c>
      <c r="C654" t="inlineStr">
        <is>
          <t>Föryngringsavverkning</t>
        </is>
      </c>
      <c r="D654" s="1" t="n">
        <v>45579</v>
      </c>
      <c r="E654" s="1" t="n">
        <v>46216</v>
      </c>
      <c r="F654" t="inlineStr">
        <is>
          <t>BLEKINGE LÄN</t>
        </is>
      </c>
      <c r="G654" t="inlineStr">
        <is>
          <t>RONNEBY</t>
        </is>
      </c>
      <c r="I654" t="n">
        <v>1.3</v>
      </c>
      <c r="J654" t="n">
        <v>0</v>
      </c>
      <c r="K654" t="n">
        <v>0</v>
      </c>
      <c r="L654" t="n">
        <v>0</v>
      </c>
      <c r="M654" t="n">
        <v>0</v>
      </c>
      <c r="N654" t="n">
        <v>0</v>
      </c>
      <c r="O654" t="n">
        <v>0</v>
      </c>
      <c r="P654" t="n">
        <v>0</v>
      </c>
      <c r="Q654" t="n">
        <v>0</v>
      </c>
      <c r="R654" t="n">
        <v>0</v>
      </c>
      <c r="S654" t="n">
        <v>0</v>
      </c>
      <c r="T654" t="n">
        <v>0</v>
      </c>
      <c r="U654" s="2" t="inlineStr"/>
    </row>
    <row r="655" ht="15" customHeight="1">
      <c r="A655" t="inlineStr">
        <is>
          <t>A 58296-2024</t>
        </is>
      </c>
      <c r="B655" t="inlineStr">
        <is>
          <t>avverkningsanmälan</t>
        </is>
      </c>
      <c r="C655" t="inlineStr">
        <is>
          <t>Föryngringsavverkning</t>
        </is>
      </c>
      <c r="D655" s="1" t="n">
        <v>45632</v>
      </c>
      <c r="E655" s="1" t="n">
        <v>46216</v>
      </c>
      <c r="F655" t="inlineStr">
        <is>
          <t>BLEKINGE LÄN</t>
        </is>
      </c>
      <c r="G655" t="inlineStr">
        <is>
          <t>KARLSKRONA</t>
        </is>
      </c>
      <c r="I655" t="n">
        <v>1</v>
      </c>
      <c r="J655" t="n">
        <v>0</v>
      </c>
      <c r="K655" t="n">
        <v>0</v>
      </c>
      <c r="L655" t="n">
        <v>0</v>
      </c>
      <c r="M655" t="n">
        <v>0</v>
      </c>
      <c r="N655" t="n">
        <v>0</v>
      </c>
      <c r="O655" t="n">
        <v>0</v>
      </c>
      <c r="P655" t="n">
        <v>0</v>
      </c>
      <c r="Q655" t="n">
        <v>0</v>
      </c>
      <c r="R655" t="n">
        <v>0</v>
      </c>
      <c r="S655" t="n">
        <v>0</v>
      </c>
      <c r="T655" t="n">
        <v>0</v>
      </c>
      <c r="U655" s="2" t="inlineStr"/>
    </row>
    <row r="656" ht="15" customHeight="1">
      <c r="A656" t="inlineStr">
        <is>
          <t>A 39404-2023</t>
        </is>
      </c>
      <c r="B656" t="inlineStr">
        <is>
          <t>avverkningsanmälan</t>
        </is>
      </c>
      <c r="C656" t="inlineStr">
        <is>
          <t>Föryngringsavverkning</t>
        </is>
      </c>
      <c r="D656" s="1" t="n">
        <v>45166</v>
      </c>
      <c r="E656" s="1" t="n">
        <v>46216</v>
      </c>
      <c r="F656" t="inlineStr">
        <is>
          <t>BLEKINGE LÄN</t>
        </is>
      </c>
      <c r="G656" t="inlineStr">
        <is>
          <t>KARLSHAMN</t>
        </is>
      </c>
      <c r="I656" t="n">
        <v>4.3</v>
      </c>
      <c r="J656" t="n">
        <v>0</v>
      </c>
      <c r="K656" t="n">
        <v>0</v>
      </c>
      <c r="L656" t="n">
        <v>0</v>
      </c>
      <c r="M656" t="n">
        <v>0</v>
      </c>
      <c r="N656" t="n">
        <v>0</v>
      </c>
      <c r="O656" t="n">
        <v>0</v>
      </c>
      <c r="P656" t="n">
        <v>0</v>
      </c>
      <c r="Q656" t="n">
        <v>0</v>
      </c>
      <c r="R656" t="n">
        <v>0</v>
      </c>
      <c r="S656" t="n">
        <v>0</v>
      </c>
      <c r="T656" t="n">
        <v>0</v>
      </c>
      <c r="U656" s="2" t="inlineStr"/>
    </row>
    <row r="657" ht="15" customHeight="1">
      <c r="A657" t="inlineStr">
        <is>
          <t>A 40080-2023</t>
        </is>
      </c>
      <c r="B657" t="inlineStr">
        <is>
          <t>avverkningsanmälan</t>
        </is>
      </c>
      <c r="C657" t="inlineStr">
        <is>
          <t>Föryngringsavverkning</t>
        </is>
      </c>
      <c r="D657" s="1" t="n">
        <v>45168</v>
      </c>
      <c r="E657" s="1" t="n">
        <v>46216</v>
      </c>
      <c r="F657" t="inlineStr">
        <is>
          <t>BLEKINGE LÄN</t>
        </is>
      </c>
      <c r="G657" t="inlineStr">
        <is>
          <t>KARLSKRONA</t>
        </is>
      </c>
      <c r="I657" t="n">
        <v>1.1</v>
      </c>
      <c r="J657" t="n">
        <v>0</v>
      </c>
      <c r="K657" t="n">
        <v>0</v>
      </c>
      <c r="L657" t="n">
        <v>0</v>
      </c>
      <c r="M657" t="n">
        <v>0</v>
      </c>
      <c r="N657" t="n">
        <v>0</v>
      </c>
      <c r="O657" t="n">
        <v>0</v>
      </c>
      <c r="P657" t="n">
        <v>0</v>
      </c>
      <c r="Q657" t="n">
        <v>0</v>
      </c>
      <c r="R657" t="n">
        <v>0</v>
      </c>
      <c r="S657" t="n">
        <v>0</v>
      </c>
      <c r="T657" t="n">
        <v>0</v>
      </c>
      <c r="U657" s="2" t="inlineStr"/>
    </row>
    <row r="658" ht="15" customHeight="1">
      <c r="A658" t="inlineStr">
        <is>
          <t>A 25682-2025</t>
        </is>
      </c>
      <c r="B658" t="inlineStr">
        <is>
          <t>avverkningsanmälan</t>
        </is>
      </c>
      <c r="C658" t="inlineStr">
        <is>
          <t>Föryngringsavverkning</t>
        </is>
      </c>
      <c r="D658" s="1" t="n">
        <v>45803</v>
      </c>
      <c r="E658" s="1" t="n">
        <v>46216</v>
      </c>
      <c r="F658" t="inlineStr">
        <is>
          <t>BLEKINGE LÄN</t>
        </is>
      </c>
      <c r="G658" t="inlineStr">
        <is>
          <t>OLOFSTRÖM</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19710-2024</t>
        </is>
      </c>
      <c r="B659" t="inlineStr">
        <is>
          <t>avverkningsanmälan</t>
        </is>
      </c>
      <c r="C659" t="inlineStr">
        <is>
          <t>Föryngringsavverkning</t>
        </is>
      </c>
      <c r="D659" s="1" t="n">
        <v>45432</v>
      </c>
      <c r="E659" s="1" t="n">
        <v>46216</v>
      </c>
      <c r="F659" t="inlineStr">
        <is>
          <t>BLEKINGE LÄN</t>
        </is>
      </c>
      <c r="G659" t="inlineStr">
        <is>
          <t>OLOFSTRÖM</t>
        </is>
      </c>
      <c r="H659" t="inlineStr">
        <is>
          <t>Kommuner</t>
        </is>
      </c>
      <c r="I659" t="n">
        <v>3.4</v>
      </c>
      <c r="J659" t="n">
        <v>0</v>
      </c>
      <c r="K659" t="n">
        <v>0</v>
      </c>
      <c r="L659" t="n">
        <v>0</v>
      </c>
      <c r="M659" t="n">
        <v>0</v>
      </c>
      <c r="N659" t="n">
        <v>0</v>
      </c>
      <c r="O659" t="n">
        <v>0</v>
      </c>
      <c r="P659" t="n">
        <v>0</v>
      </c>
      <c r="Q659" t="n">
        <v>0</v>
      </c>
      <c r="R659" t="n">
        <v>0</v>
      </c>
      <c r="S659" t="n">
        <v>0</v>
      </c>
      <c r="T659" t="n">
        <v>0</v>
      </c>
      <c r="U659" s="2" t="inlineStr"/>
    </row>
    <row r="660" ht="15" customHeight="1">
      <c r="A660" t="inlineStr">
        <is>
          <t>A 30197-2024</t>
        </is>
      </c>
      <c r="B660" t="inlineStr">
        <is>
          <t>avverkningsanmälan</t>
        </is>
      </c>
      <c r="C660" t="inlineStr">
        <is>
          <t>Avverkning för annat ändamål</t>
        </is>
      </c>
      <c r="D660" s="1" t="n">
        <v>45490</v>
      </c>
      <c r="E660" s="1" t="n">
        <v>46216</v>
      </c>
      <c r="F660" t="inlineStr">
        <is>
          <t>BLEKINGE LÄN</t>
        </is>
      </c>
      <c r="G660" t="inlineStr">
        <is>
          <t>RONNEBY</t>
        </is>
      </c>
      <c r="I660" t="n">
        <v>4.6</v>
      </c>
      <c r="J660" t="n">
        <v>0</v>
      </c>
      <c r="K660" t="n">
        <v>0</v>
      </c>
      <c r="L660" t="n">
        <v>0</v>
      </c>
      <c r="M660" t="n">
        <v>0</v>
      </c>
      <c r="N660" t="n">
        <v>0</v>
      </c>
      <c r="O660" t="n">
        <v>0</v>
      </c>
      <c r="P660" t="n">
        <v>0</v>
      </c>
      <c r="Q660" t="n">
        <v>0</v>
      </c>
      <c r="R660" t="n">
        <v>0</v>
      </c>
      <c r="S660" t="n">
        <v>0</v>
      </c>
      <c r="T660" t="n">
        <v>0</v>
      </c>
      <c r="U660" s="2" t="inlineStr"/>
    </row>
    <row r="661" ht="15" customHeight="1">
      <c r="A661" t="inlineStr">
        <is>
          <t>A 4687-2022</t>
        </is>
      </c>
      <c r="B661" t="inlineStr">
        <is>
          <t>avverkningsanmälan</t>
        </is>
      </c>
      <c r="C661" t="inlineStr">
        <is>
          <t>Föryngringsavverkning</t>
        </is>
      </c>
      <c r="D661" s="1" t="n">
        <v>44592</v>
      </c>
      <c r="E661" s="1" t="n">
        <v>46216</v>
      </c>
      <c r="F661" t="inlineStr">
        <is>
          <t>BLEKINGE LÄN</t>
        </is>
      </c>
      <c r="G661" t="inlineStr">
        <is>
          <t>KARLSKRONA</t>
        </is>
      </c>
      <c r="I661" t="n">
        <v>11.8</v>
      </c>
      <c r="J661" t="n">
        <v>0</v>
      </c>
      <c r="K661" t="n">
        <v>0</v>
      </c>
      <c r="L661" t="n">
        <v>0</v>
      </c>
      <c r="M661" t="n">
        <v>0</v>
      </c>
      <c r="N661" t="n">
        <v>0</v>
      </c>
      <c r="O661" t="n">
        <v>0</v>
      </c>
      <c r="P661" t="n">
        <v>0</v>
      </c>
      <c r="Q661" t="n">
        <v>0</v>
      </c>
      <c r="R661" t="n">
        <v>0</v>
      </c>
      <c r="S661" t="n">
        <v>0</v>
      </c>
      <c r="T661" t="n">
        <v>0</v>
      </c>
      <c r="U661" s="2" t="inlineStr"/>
    </row>
    <row r="662" ht="15" customHeight="1">
      <c r="A662" t="inlineStr">
        <is>
          <t>A 13922-2025</t>
        </is>
      </c>
      <c r="B662" t="inlineStr">
        <is>
          <t>avverkningsanmälan</t>
        </is>
      </c>
      <c r="C662" t="inlineStr">
        <is>
          <t>Föryngringsavverkning</t>
        </is>
      </c>
      <c r="D662" s="1" t="n">
        <v>45737</v>
      </c>
      <c r="E662" s="1" t="n">
        <v>46216</v>
      </c>
      <c r="F662" t="inlineStr">
        <is>
          <t>BLEKINGE LÄN</t>
        </is>
      </c>
      <c r="G662" t="inlineStr">
        <is>
          <t>KARLSKRONA</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49719-2023</t>
        </is>
      </c>
      <c r="B663" t="inlineStr">
        <is>
          <t>avverkningsanmälan</t>
        </is>
      </c>
      <c r="C663" t="inlineStr">
        <is>
          <t>Föryngringsavverkning</t>
        </is>
      </c>
      <c r="D663" s="1" t="n">
        <v>45212</v>
      </c>
      <c r="E663" s="1" t="n">
        <v>46216</v>
      </c>
      <c r="F663" t="inlineStr">
        <is>
          <t>BLEKINGE LÄN</t>
        </is>
      </c>
      <c r="G663" t="inlineStr">
        <is>
          <t>KARLSHAMN</t>
        </is>
      </c>
      <c r="I663" t="n">
        <v>0.7</v>
      </c>
      <c r="J663" t="n">
        <v>0</v>
      </c>
      <c r="K663" t="n">
        <v>0</v>
      </c>
      <c r="L663" t="n">
        <v>0</v>
      </c>
      <c r="M663" t="n">
        <v>0</v>
      </c>
      <c r="N663" t="n">
        <v>0</v>
      </c>
      <c r="O663" t="n">
        <v>0</v>
      </c>
      <c r="P663" t="n">
        <v>0</v>
      </c>
      <c r="Q663" t="n">
        <v>0</v>
      </c>
      <c r="R663" t="n">
        <v>0</v>
      </c>
      <c r="S663" t="n">
        <v>0</v>
      </c>
      <c r="T663" t="n">
        <v>0</v>
      </c>
      <c r="U663" s="2" t="inlineStr"/>
    </row>
    <row r="664" ht="15" customHeight="1">
      <c r="A664" t="inlineStr">
        <is>
          <t>A 14511-2023</t>
        </is>
      </c>
      <c r="B664" t="inlineStr">
        <is>
          <t>avverkningsanmälan</t>
        </is>
      </c>
      <c r="C664" t="inlineStr">
        <is>
          <t>Avverkning för annat ändamål</t>
        </is>
      </c>
      <c r="D664" s="1" t="n">
        <v>45012</v>
      </c>
      <c r="E664" s="1" t="n">
        <v>46216</v>
      </c>
      <c r="F664" t="inlineStr">
        <is>
          <t>BLEKINGE LÄN</t>
        </is>
      </c>
      <c r="G664" t="inlineStr">
        <is>
          <t>KARLSKRONA</t>
        </is>
      </c>
      <c r="I664" t="n">
        <v>1.2</v>
      </c>
      <c r="J664" t="n">
        <v>0</v>
      </c>
      <c r="K664" t="n">
        <v>0</v>
      </c>
      <c r="L664" t="n">
        <v>0</v>
      </c>
      <c r="M664" t="n">
        <v>0</v>
      </c>
      <c r="N664" t="n">
        <v>0</v>
      </c>
      <c r="O664" t="n">
        <v>0</v>
      </c>
      <c r="P664" t="n">
        <v>0</v>
      </c>
      <c r="Q664" t="n">
        <v>0</v>
      </c>
      <c r="R664" t="n">
        <v>0</v>
      </c>
      <c r="S664" t="n">
        <v>0</v>
      </c>
      <c r="T664" t="n">
        <v>0</v>
      </c>
      <c r="U664" s="2" t="inlineStr"/>
    </row>
    <row r="665" ht="15" customHeight="1">
      <c r="A665" t="inlineStr">
        <is>
          <t>A 25861-2025</t>
        </is>
      </c>
      <c r="B665" t="inlineStr">
        <is>
          <t>avverkningsanmälan</t>
        </is>
      </c>
      <c r="C665" t="inlineStr">
        <is>
          <t>Föryngringsavverkning</t>
        </is>
      </c>
      <c r="D665" s="1" t="n">
        <v>45803</v>
      </c>
      <c r="E665" s="1" t="n">
        <v>46216</v>
      </c>
      <c r="F665" t="inlineStr">
        <is>
          <t>BLEKINGE LÄN</t>
        </is>
      </c>
      <c r="G665" t="inlineStr">
        <is>
          <t>RONNEBY</t>
        </is>
      </c>
      <c r="I665" t="n">
        <v>0.8</v>
      </c>
      <c r="J665" t="n">
        <v>0</v>
      </c>
      <c r="K665" t="n">
        <v>0</v>
      </c>
      <c r="L665" t="n">
        <v>0</v>
      </c>
      <c r="M665" t="n">
        <v>0</v>
      </c>
      <c r="N665" t="n">
        <v>0</v>
      </c>
      <c r="O665" t="n">
        <v>0</v>
      </c>
      <c r="P665" t="n">
        <v>0</v>
      </c>
      <c r="Q665" t="n">
        <v>0</v>
      </c>
      <c r="R665" t="n">
        <v>0</v>
      </c>
      <c r="S665" t="n">
        <v>0</v>
      </c>
      <c r="T665" t="n">
        <v>0</v>
      </c>
      <c r="U665" s="2" t="inlineStr"/>
    </row>
    <row r="666" ht="15" customHeight="1">
      <c r="A666" t="inlineStr">
        <is>
          <t>A 35589-2023</t>
        </is>
      </c>
      <c r="B666" t="inlineStr">
        <is>
          <t>avverkningsanmälan</t>
        </is>
      </c>
      <c r="C666" t="inlineStr">
        <is>
          <t>Föryngringsavverkning</t>
        </is>
      </c>
      <c r="D666" s="1" t="n">
        <v>45147</v>
      </c>
      <c r="E666" s="1" t="n">
        <v>46216</v>
      </c>
      <c r="F666" t="inlineStr">
        <is>
          <t>BLEKINGE LÄN</t>
        </is>
      </c>
      <c r="G666" t="inlineStr">
        <is>
          <t>RONNEBY</t>
        </is>
      </c>
      <c r="I666" t="n">
        <v>1.3</v>
      </c>
      <c r="J666" t="n">
        <v>0</v>
      </c>
      <c r="K666" t="n">
        <v>0</v>
      </c>
      <c r="L666" t="n">
        <v>0</v>
      </c>
      <c r="M666" t="n">
        <v>0</v>
      </c>
      <c r="N666" t="n">
        <v>0</v>
      </c>
      <c r="O666" t="n">
        <v>0</v>
      </c>
      <c r="P666" t="n">
        <v>0</v>
      </c>
      <c r="Q666" t="n">
        <v>0</v>
      </c>
      <c r="R666" t="n">
        <v>0</v>
      </c>
      <c r="S666" t="n">
        <v>0</v>
      </c>
      <c r="T666" t="n">
        <v>0</v>
      </c>
      <c r="U666" s="2" t="inlineStr"/>
    </row>
    <row r="667" ht="15" customHeight="1">
      <c r="A667" t="inlineStr">
        <is>
          <t>A 16897-2023</t>
        </is>
      </c>
      <c r="B667" t="inlineStr">
        <is>
          <t>avverkningsanmälan</t>
        </is>
      </c>
      <c r="C667" t="inlineStr">
        <is>
          <t>Avverkning för annat ändamål</t>
        </is>
      </c>
      <c r="D667" s="1" t="n">
        <v>45028</v>
      </c>
      <c r="E667" s="1" t="n">
        <v>46216</v>
      </c>
      <c r="F667" t="inlineStr">
        <is>
          <t>BLEKINGE LÄN</t>
        </is>
      </c>
      <c r="G667" t="inlineStr">
        <is>
          <t>KARLSHAMN</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14362-2024</t>
        </is>
      </c>
      <c r="B668" t="inlineStr">
        <is>
          <t>avverkningsanmälan</t>
        </is>
      </c>
      <c r="C668" t="inlineStr">
        <is>
          <t>Föryngringsavverkning</t>
        </is>
      </c>
      <c r="D668" s="1" t="n">
        <v>45393</v>
      </c>
      <c r="E668" s="1" t="n">
        <v>46216</v>
      </c>
      <c r="F668" t="inlineStr">
        <is>
          <t>BLEKINGE LÄN</t>
        </is>
      </c>
      <c r="G668" t="inlineStr">
        <is>
          <t>KARLSKRONA</t>
        </is>
      </c>
      <c r="I668" t="n">
        <v>2.4</v>
      </c>
      <c r="J668" t="n">
        <v>0</v>
      </c>
      <c r="K668" t="n">
        <v>0</v>
      </c>
      <c r="L668" t="n">
        <v>0</v>
      </c>
      <c r="M668" t="n">
        <v>0</v>
      </c>
      <c r="N668" t="n">
        <v>0</v>
      </c>
      <c r="O668" t="n">
        <v>0</v>
      </c>
      <c r="P668" t="n">
        <v>0</v>
      </c>
      <c r="Q668" t="n">
        <v>0</v>
      </c>
      <c r="R668" t="n">
        <v>0</v>
      </c>
      <c r="S668" t="n">
        <v>0</v>
      </c>
      <c r="T668" t="n">
        <v>0</v>
      </c>
      <c r="U668" s="2" t="inlineStr"/>
    </row>
    <row r="669" ht="15" customHeight="1">
      <c r="A669" t="inlineStr">
        <is>
          <t>A 53817-2022</t>
        </is>
      </c>
      <c r="B669" t="inlineStr">
        <is>
          <t>avverkningsanmälan</t>
        </is>
      </c>
      <c r="C669" t="inlineStr">
        <is>
          <t>Föryngringsavverkning</t>
        </is>
      </c>
      <c r="D669" s="1" t="n">
        <v>44880</v>
      </c>
      <c r="E669" s="1" t="n">
        <v>46216</v>
      </c>
      <c r="F669" t="inlineStr">
        <is>
          <t>BLEKINGE LÄN</t>
        </is>
      </c>
      <c r="G669" t="inlineStr">
        <is>
          <t>RONNEBY</t>
        </is>
      </c>
      <c r="I669" t="n">
        <v>1.4</v>
      </c>
      <c r="J669" t="n">
        <v>0</v>
      </c>
      <c r="K669" t="n">
        <v>0</v>
      </c>
      <c r="L669" t="n">
        <v>0</v>
      </c>
      <c r="M669" t="n">
        <v>0</v>
      </c>
      <c r="N669" t="n">
        <v>0</v>
      </c>
      <c r="O669" t="n">
        <v>0</v>
      </c>
      <c r="P669" t="n">
        <v>0</v>
      </c>
      <c r="Q669" t="n">
        <v>0</v>
      </c>
      <c r="R669" t="n">
        <v>0</v>
      </c>
      <c r="S669" t="n">
        <v>0</v>
      </c>
      <c r="T669" t="n">
        <v>0</v>
      </c>
      <c r="U669" s="2" t="inlineStr"/>
    </row>
    <row r="670" ht="15" customHeight="1">
      <c r="A670" t="inlineStr">
        <is>
          <t>A 9763-2022</t>
        </is>
      </c>
      <c r="B670" t="inlineStr">
        <is>
          <t>avverkningsanmälan</t>
        </is>
      </c>
      <c r="C670" t="inlineStr">
        <is>
          <t>Avverkning för annat ändamål</t>
        </is>
      </c>
      <c r="D670" s="1" t="n">
        <v>44619</v>
      </c>
      <c r="E670" s="1" t="n">
        <v>46216</v>
      </c>
      <c r="F670" t="inlineStr">
        <is>
          <t>BLEKINGE LÄN</t>
        </is>
      </c>
      <c r="G670" t="inlineStr">
        <is>
          <t>KARLSKRONA</t>
        </is>
      </c>
      <c r="I670" t="n">
        <v>11</v>
      </c>
      <c r="J670" t="n">
        <v>0</v>
      </c>
      <c r="K670" t="n">
        <v>0</v>
      </c>
      <c r="L670" t="n">
        <v>0</v>
      </c>
      <c r="M670" t="n">
        <v>0</v>
      </c>
      <c r="N670" t="n">
        <v>0</v>
      </c>
      <c r="O670" t="n">
        <v>0</v>
      </c>
      <c r="P670" t="n">
        <v>0</v>
      </c>
      <c r="Q670" t="n">
        <v>0</v>
      </c>
      <c r="R670" t="n">
        <v>0</v>
      </c>
      <c r="S670" t="n">
        <v>0</v>
      </c>
      <c r="T670" t="n">
        <v>0</v>
      </c>
      <c r="U670" s="2" t="inlineStr"/>
    </row>
    <row r="671" ht="15" customHeight="1">
      <c r="A671" t="inlineStr">
        <is>
          <t>A 38783-2025</t>
        </is>
      </c>
      <c r="B671" t="inlineStr">
        <is>
          <t>avverkningsanmälan</t>
        </is>
      </c>
      <c r="C671" t="inlineStr">
        <is>
          <t>Föryngringsavverkning</t>
        </is>
      </c>
      <c r="D671" s="1" t="n">
        <v>45887</v>
      </c>
      <c r="E671" s="1" t="n">
        <v>46216</v>
      </c>
      <c r="F671" t="inlineStr">
        <is>
          <t>BLEKINGE LÄN</t>
        </is>
      </c>
      <c r="G671" t="inlineStr">
        <is>
          <t>KARLSKRONA</t>
        </is>
      </c>
      <c r="I671" t="n">
        <v>1.3</v>
      </c>
      <c r="J671" t="n">
        <v>0</v>
      </c>
      <c r="K671" t="n">
        <v>0</v>
      </c>
      <c r="L671" t="n">
        <v>0</v>
      </c>
      <c r="M671" t="n">
        <v>0</v>
      </c>
      <c r="N671" t="n">
        <v>0</v>
      </c>
      <c r="O671" t="n">
        <v>0</v>
      </c>
      <c r="P671" t="n">
        <v>0</v>
      </c>
      <c r="Q671" t="n">
        <v>0</v>
      </c>
      <c r="R671" t="n">
        <v>0</v>
      </c>
      <c r="S671" t="n">
        <v>0</v>
      </c>
      <c r="T671" t="n">
        <v>0</v>
      </c>
      <c r="U671" s="2" t="inlineStr"/>
    </row>
    <row r="672" ht="15" customHeight="1">
      <c r="A672" t="inlineStr">
        <is>
          <t>A 1231-2026</t>
        </is>
      </c>
      <c r="B672" t="inlineStr">
        <is>
          <t>avverkningsanmälan</t>
        </is>
      </c>
      <c r="C672" t="inlineStr">
        <is>
          <t>Föryngringsavverkning</t>
        </is>
      </c>
      <c r="D672" s="1" t="n">
        <v>46031</v>
      </c>
      <c r="E672" s="1" t="n">
        <v>46216</v>
      </c>
      <c r="F672" t="inlineStr">
        <is>
          <t>BLEKINGE LÄN</t>
        </is>
      </c>
      <c r="G672" t="inlineStr">
        <is>
          <t>KARLSKRONA</t>
        </is>
      </c>
      <c r="I672" t="n">
        <v>1.2</v>
      </c>
      <c r="J672" t="n">
        <v>0</v>
      </c>
      <c r="K672" t="n">
        <v>0</v>
      </c>
      <c r="L672" t="n">
        <v>0</v>
      </c>
      <c r="M672" t="n">
        <v>0</v>
      </c>
      <c r="N672" t="n">
        <v>0</v>
      </c>
      <c r="O672" t="n">
        <v>0</v>
      </c>
      <c r="P672" t="n">
        <v>0</v>
      </c>
      <c r="Q672" t="n">
        <v>0</v>
      </c>
      <c r="R672" t="n">
        <v>0</v>
      </c>
      <c r="S672" t="n">
        <v>0</v>
      </c>
      <c r="T672" t="n">
        <v>0</v>
      </c>
      <c r="U672" s="2" t="inlineStr"/>
    </row>
    <row r="673" ht="15" customHeight="1">
      <c r="A673" t="inlineStr">
        <is>
          <t>A 10226-2024</t>
        </is>
      </c>
      <c r="B673" t="inlineStr">
        <is>
          <t>avverkningsanmälan</t>
        </is>
      </c>
      <c r="C673" t="inlineStr">
        <is>
          <t>Föryngringsavverkning</t>
        </is>
      </c>
      <c r="D673" s="1" t="n">
        <v>45365</v>
      </c>
      <c r="E673" s="1" t="n">
        <v>46216</v>
      </c>
      <c r="F673" t="inlineStr">
        <is>
          <t>BLEKINGE LÄN</t>
        </is>
      </c>
      <c r="G673" t="inlineStr">
        <is>
          <t>KARLSKRONA</t>
        </is>
      </c>
      <c r="I673" t="n">
        <v>1.6</v>
      </c>
      <c r="J673" t="n">
        <v>0</v>
      </c>
      <c r="K673" t="n">
        <v>0</v>
      </c>
      <c r="L673" t="n">
        <v>0</v>
      </c>
      <c r="M673" t="n">
        <v>0</v>
      </c>
      <c r="N673" t="n">
        <v>0</v>
      </c>
      <c r="O673" t="n">
        <v>0</v>
      </c>
      <c r="P673" t="n">
        <v>0</v>
      </c>
      <c r="Q673" t="n">
        <v>0</v>
      </c>
      <c r="R673" t="n">
        <v>0</v>
      </c>
      <c r="S673" t="n">
        <v>0</v>
      </c>
      <c r="T673" t="n">
        <v>0</v>
      </c>
      <c r="U673" s="2" t="inlineStr"/>
    </row>
    <row r="674" ht="15" customHeight="1">
      <c r="A674" t="inlineStr">
        <is>
          <t>A 1356-2026</t>
        </is>
      </c>
      <c r="B674" t="inlineStr">
        <is>
          <t>avverkningsanmälan</t>
        </is>
      </c>
      <c r="C674" t="inlineStr">
        <is>
          <t>Föryngringsavverkning</t>
        </is>
      </c>
      <c r="D674" s="1" t="n">
        <v>46031</v>
      </c>
      <c r="E674" s="1" t="n">
        <v>46216</v>
      </c>
      <c r="F674" t="inlineStr">
        <is>
          <t>BLEKINGE LÄN</t>
        </is>
      </c>
      <c r="G674" t="inlineStr">
        <is>
          <t>OLOFSTRÖM</t>
        </is>
      </c>
      <c r="I674" t="n">
        <v>1.6</v>
      </c>
      <c r="J674" t="n">
        <v>0</v>
      </c>
      <c r="K674" t="n">
        <v>0</v>
      </c>
      <c r="L674" t="n">
        <v>0</v>
      </c>
      <c r="M674" t="n">
        <v>0</v>
      </c>
      <c r="N674" t="n">
        <v>0</v>
      </c>
      <c r="O674" t="n">
        <v>0</v>
      </c>
      <c r="P674" t="n">
        <v>0</v>
      </c>
      <c r="Q674" t="n">
        <v>0</v>
      </c>
      <c r="R674" t="n">
        <v>0</v>
      </c>
      <c r="S674" t="n">
        <v>0</v>
      </c>
      <c r="T674" t="n">
        <v>0</v>
      </c>
      <c r="U674" s="2" t="inlineStr"/>
    </row>
    <row r="675" ht="15" customHeight="1">
      <c r="A675" t="inlineStr">
        <is>
          <t>A 22243-2025</t>
        </is>
      </c>
      <c r="B675" t="inlineStr">
        <is>
          <t>avverkningsanmälan</t>
        </is>
      </c>
      <c r="C675" t="inlineStr">
        <is>
          <t>Föryngringsavverkning</t>
        </is>
      </c>
      <c r="D675" s="1" t="n">
        <v>45785</v>
      </c>
      <c r="E675" s="1" t="n">
        <v>46216</v>
      </c>
      <c r="F675" t="inlineStr">
        <is>
          <t>BLEKINGE LÄN</t>
        </is>
      </c>
      <c r="G675" t="inlineStr">
        <is>
          <t>RONNEBY</t>
        </is>
      </c>
      <c r="H675" t="inlineStr">
        <is>
          <t>Övriga Aktiebolag</t>
        </is>
      </c>
      <c r="I675" t="n">
        <v>2.8</v>
      </c>
      <c r="J675" t="n">
        <v>0</v>
      </c>
      <c r="K675" t="n">
        <v>0</v>
      </c>
      <c r="L675" t="n">
        <v>0</v>
      </c>
      <c r="M675" t="n">
        <v>0</v>
      </c>
      <c r="N675" t="n">
        <v>0</v>
      </c>
      <c r="O675" t="n">
        <v>0</v>
      </c>
      <c r="P675" t="n">
        <v>0</v>
      </c>
      <c r="Q675" t="n">
        <v>0</v>
      </c>
      <c r="R675" t="n">
        <v>0</v>
      </c>
      <c r="S675" t="n">
        <v>0</v>
      </c>
      <c r="T675" t="n">
        <v>0</v>
      </c>
      <c r="U675" s="2" t="inlineStr"/>
    </row>
    <row r="676" ht="15" customHeight="1">
      <c r="A676" t="inlineStr">
        <is>
          <t>A 26095-2025</t>
        </is>
      </c>
      <c r="B676" t="inlineStr">
        <is>
          <t>avverkningsanmälan</t>
        </is>
      </c>
      <c r="C676" t="inlineStr">
        <is>
          <t>Föryngringsavverkning</t>
        </is>
      </c>
      <c r="D676" s="1" t="n">
        <v>45805</v>
      </c>
      <c r="E676" s="1" t="n">
        <v>46216</v>
      </c>
      <c r="F676" t="inlineStr">
        <is>
          <t>BLEKINGE LÄN</t>
        </is>
      </c>
      <c r="G676" t="inlineStr">
        <is>
          <t>KARLSHAMN</t>
        </is>
      </c>
      <c r="I676" t="n">
        <v>0.7</v>
      </c>
      <c r="J676" t="n">
        <v>0</v>
      </c>
      <c r="K676" t="n">
        <v>0</v>
      </c>
      <c r="L676" t="n">
        <v>0</v>
      </c>
      <c r="M676" t="n">
        <v>0</v>
      </c>
      <c r="N676" t="n">
        <v>0</v>
      </c>
      <c r="O676" t="n">
        <v>0</v>
      </c>
      <c r="P676" t="n">
        <v>0</v>
      </c>
      <c r="Q676" t="n">
        <v>0</v>
      </c>
      <c r="R676" t="n">
        <v>0</v>
      </c>
      <c r="S676" t="n">
        <v>0</v>
      </c>
      <c r="T676" t="n">
        <v>0</v>
      </c>
      <c r="U676" s="2" t="inlineStr"/>
    </row>
    <row r="677" ht="15" customHeight="1">
      <c r="A677" t="inlineStr">
        <is>
          <t>A 7465-2023</t>
        </is>
      </c>
      <c r="B677" t="inlineStr">
        <is>
          <t>avverkningsanmälan</t>
        </is>
      </c>
      <c r="C677" t="inlineStr">
        <is>
          <t>Föryngringsavverkning</t>
        </is>
      </c>
      <c r="D677" s="1" t="n">
        <v>44971</v>
      </c>
      <c r="E677" s="1" t="n">
        <v>46216</v>
      </c>
      <c r="F677" t="inlineStr">
        <is>
          <t>BLEKINGE LÄN</t>
        </is>
      </c>
      <c r="G677" t="inlineStr">
        <is>
          <t>OLOFSTRÖM</t>
        </is>
      </c>
      <c r="I677" t="n">
        <v>2.8</v>
      </c>
      <c r="J677" t="n">
        <v>0</v>
      </c>
      <c r="K677" t="n">
        <v>0</v>
      </c>
      <c r="L677" t="n">
        <v>0</v>
      </c>
      <c r="M677" t="n">
        <v>0</v>
      </c>
      <c r="N677" t="n">
        <v>0</v>
      </c>
      <c r="O677" t="n">
        <v>0</v>
      </c>
      <c r="P677" t="n">
        <v>0</v>
      </c>
      <c r="Q677" t="n">
        <v>0</v>
      </c>
      <c r="R677" t="n">
        <v>0</v>
      </c>
      <c r="S677" t="n">
        <v>0</v>
      </c>
      <c r="T677" t="n">
        <v>0</v>
      </c>
      <c r="U677" s="2" t="inlineStr"/>
    </row>
    <row r="678" ht="15" customHeight="1">
      <c r="A678" t="inlineStr">
        <is>
          <t>A 36576-2024</t>
        </is>
      </c>
      <c r="B678" t="inlineStr">
        <is>
          <t>avverkningsanmälan</t>
        </is>
      </c>
      <c r="C678" t="inlineStr">
        <is>
          <t>Föryngringsavverkning</t>
        </is>
      </c>
      <c r="D678" s="1" t="n">
        <v>45537</v>
      </c>
      <c r="E678" s="1" t="n">
        <v>46216</v>
      </c>
      <c r="F678" t="inlineStr">
        <is>
          <t>BLEKINGE LÄN</t>
        </is>
      </c>
      <c r="G678" t="inlineStr">
        <is>
          <t>KARLSKRONA</t>
        </is>
      </c>
      <c r="I678" t="n">
        <v>0.5</v>
      </c>
      <c r="J678" t="n">
        <v>0</v>
      </c>
      <c r="K678" t="n">
        <v>0</v>
      </c>
      <c r="L678" t="n">
        <v>0</v>
      </c>
      <c r="M678" t="n">
        <v>0</v>
      </c>
      <c r="N678" t="n">
        <v>0</v>
      </c>
      <c r="O678" t="n">
        <v>0</v>
      </c>
      <c r="P678" t="n">
        <v>0</v>
      </c>
      <c r="Q678" t="n">
        <v>0</v>
      </c>
      <c r="R678" t="n">
        <v>0</v>
      </c>
      <c r="S678" t="n">
        <v>0</v>
      </c>
      <c r="T678" t="n">
        <v>0</v>
      </c>
      <c r="U678" s="2" t="inlineStr"/>
    </row>
    <row r="679" ht="15" customHeight="1">
      <c r="A679" t="inlineStr">
        <is>
          <t>A 40300-2022</t>
        </is>
      </c>
      <c r="B679" t="inlineStr">
        <is>
          <t>avverkningsanmälan</t>
        </is>
      </c>
      <c r="C679" t="inlineStr">
        <is>
          <t>Föryngringsavverkning</t>
        </is>
      </c>
      <c r="D679" s="1" t="n">
        <v>44822</v>
      </c>
      <c r="E679" s="1" t="n">
        <v>46216</v>
      </c>
      <c r="F679" t="inlineStr">
        <is>
          <t>BLEKINGE LÄN</t>
        </is>
      </c>
      <c r="G679" t="inlineStr">
        <is>
          <t>RONNEBY</t>
        </is>
      </c>
      <c r="I679" t="n">
        <v>2.3</v>
      </c>
      <c r="J679" t="n">
        <v>0</v>
      </c>
      <c r="K679" t="n">
        <v>0</v>
      </c>
      <c r="L679" t="n">
        <v>0</v>
      </c>
      <c r="M679" t="n">
        <v>0</v>
      </c>
      <c r="N679" t="n">
        <v>0</v>
      </c>
      <c r="O679" t="n">
        <v>0</v>
      </c>
      <c r="P679" t="n">
        <v>0</v>
      </c>
      <c r="Q679" t="n">
        <v>0</v>
      </c>
      <c r="R679" t="n">
        <v>0</v>
      </c>
      <c r="S679" t="n">
        <v>0</v>
      </c>
      <c r="T679" t="n">
        <v>0</v>
      </c>
      <c r="U679" s="2" t="inlineStr"/>
    </row>
    <row r="680" ht="15" customHeight="1">
      <c r="A680" t="inlineStr">
        <is>
          <t>A 9959-2025</t>
        </is>
      </c>
      <c r="B680" t="inlineStr">
        <is>
          <t>avverkningsanmälan</t>
        </is>
      </c>
      <c r="C680" t="inlineStr">
        <is>
          <t>Föryngringsavverkning</t>
        </is>
      </c>
      <c r="D680" s="1" t="n">
        <v>45719</v>
      </c>
      <c r="E680" s="1" t="n">
        <v>46216</v>
      </c>
      <c r="F680" t="inlineStr">
        <is>
          <t>BLEKINGE LÄN</t>
        </is>
      </c>
      <c r="G680" t="inlineStr">
        <is>
          <t>RONNEBY</t>
        </is>
      </c>
      <c r="I680" t="n">
        <v>0.9</v>
      </c>
      <c r="J680" t="n">
        <v>0</v>
      </c>
      <c r="K680" t="n">
        <v>0</v>
      </c>
      <c r="L680" t="n">
        <v>0</v>
      </c>
      <c r="M680" t="n">
        <v>0</v>
      </c>
      <c r="N680" t="n">
        <v>0</v>
      </c>
      <c r="O680" t="n">
        <v>0</v>
      </c>
      <c r="P680" t="n">
        <v>0</v>
      </c>
      <c r="Q680" t="n">
        <v>0</v>
      </c>
      <c r="R680" t="n">
        <v>0</v>
      </c>
      <c r="S680" t="n">
        <v>0</v>
      </c>
      <c r="T680" t="n">
        <v>0</v>
      </c>
      <c r="U680" s="2" t="inlineStr"/>
    </row>
    <row r="681" ht="15" customHeight="1">
      <c r="A681" t="inlineStr">
        <is>
          <t>A 56506-2021</t>
        </is>
      </c>
      <c r="B681" t="inlineStr">
        <is>
          <t>avverkningsanmälan</t>
        </is>
      </c>
      <c r="C681" t="inlineStr">
        <is>
          <t>Föryngringsavverkning</t>
        </is>
      </c>
      <c r="D681" s="1" t="n">
        <v>44480</v>
      </c>
      <c r="E681" s="1" t="n">
        <v>46216</v>
      </c>
      <c r="F681" t="inlineStr">
        <is>
          <t>BLEKINGE LÄN</t>
        </is>
      </c>
      <c r="G681" t="inlineStr">
        <is>
          <t>KARLSHAMN</t>
        </is>
      </c>
      <c r="I681" t="n">
        <v>1.8</v>
      </c>
      <c r="J681" t="n">
        <v>0</v>
      </c>
      <c r="K681" t="n">
        <v>0</v>
      </c>
      <c r="L681" t="n">
        <v>0</v>
      </c>
      <c r="M681" t="n">
        <v>0</v>
      </c>
      <c r="N681" t="n">
        <v>0</v>
      </c>
      <c r="O681" t="n">
        <v>0</v>
      </c>
      <c r="P681" t="n">
        <v>0</v>
      </c>
      <c r="Q681" t="n">
        <v>0</v>
      </c>
      <c r="R681" t="n">
        <v>0</v>
      </c>
      <c r="S681" t="n">
        <v>0</v>
      </c>
      <c r="T681" t="n">
        <v>0</v>
      </c>
      <c r="U681" s="2" t="inlineStr"/>
    </row>
    <row r="682" ht="15" customHeight="1">
      <c r="A682" t="inlineStr">
        <is>
          <t>A 38973-2024</t>
        </is>
      </c>
      <c r="B682" t="inlineStr">
        <is>
          <t>avverkningsanmälan</t>
        </is>
      </c>
      <c r="C682" t="inlineStr">
        <is>
          <t>Föryngringsavverkning</t>
        </is>
      </c>
      <c r="D682" s="1" t="n">
        <v>45548</v>
      </c>
      <c r="E682" s="1" t="n">
        <v>46216</v>
      </c>
      <c r="F682" t="inlineStr">
        <is>
          <t>BLEKINGE LÄN</t>
        </is>
      </c>
      <c r="G682" t="inlineStr">
        <is>
          <t>OLOFSTRÖM</t>
        </is>
      </c>
      <c r="I682" t="n">
        <v>11.3</v>
      </c>
      <c r="J682" t="n">
        <v>0</v>
      </c>
      <c r="K682" t="n">
        <v>0</v>
      </c>
      <c r="L682" t="n">
        <v>0</v>
      </c>
      <c r="M682" t="n">
        <v>0</v>
      </c>
      <c r="N682" t="n">
        <v>0</v>
      </c>
      <c r="O682" t="n">
        <v>0</v>
      </c>
      <c r="P682" t="n">
        <v>0</v>
      </c>
      <c r="Q682" t="n">
        <v>0</v>
      </c>
      <c r="R682" t="n">
        <v>0</v>
      </c>
      <c r="S682" t="n">
        <v>0</v>
      </c>
      <c r="T682" t="n">
        <v>0</v>
      </c>
      <c r="U682" s="2" t="inlineStr"/>
    </row>
    <row r="683" ht="15" customHeight="1">
      <c r="A683" t="inlineStr">
        <is>
          <t>A 64820-2021</t>
        </is>
      </c>
      <c r="B683" t="inlineStr">
        <is>
          <t>avverkningsanmälan</t>
        </is>
      </c>
      <c r="C683" t="inlineStr">
        <is>
          <t>Föryngringsavverkning</t>
        </is>
      </c>
      <c r="D683" s="1" t="n">
        <v>44512</v>
      </c>
      <c r="E683" s="1" t="n">
        <v>46216</v>
      </c>
      <c r="F683" t="inlineStr">
        <is>
          <t>BLEKINGE LÄN</t>
        </is>
      </c>
      <c r="G683" t="inlineStr">
        <is>
          <t>KARLSKRONA</t>
        </is>
      </c>
      <c r="I683" t="n">
        <v>1.1</v>
      </c>
      <c r="J683" t="n">
        <v>0</v>
      </c>
      <c r="K683" t="n">
        <v>0</v>
      </c>
      <c r="L683" t="n">
        <v>0</v>
      </c>
      <c r="M683" t="n">
        <v>0</v>
      </c>
      <c r="N683" t="n">
        <v>0</v>
      </c>
      <c r="O683" t="n">
        <v>0</v>
      </c>
      <c r="P683" t="n">
        <v>0</v>
      </c>
      <c r="Q683" t="n">
        <v>0</v>
      </c>
      <c r="R683" t="n">
        <v>0</v>
      </c>
      <c r="S683" t="n">
        <v>0</v>
      </c>
      <c r="T683" t="n">
        <v>0</v>
      </c>
      <c r="U683" s="2" t="inlineStr"/>
    </row>
    <row r="684" ht="15" customHeight="1">
      <c r="A684" t="inlineStr">
        <is>
          <t>A 24951-2023</t>
        </is>
      </c>
      <c r="B684" t="inlineStr">
        <is>
          <t>avverkningsanmälan</t>
        </is>
      </c>
      <c r="C684" t="inlineStr">
        <is>
          <t>Föryngringsavverkning</t>
        </is>
      </c>
      <c r="D684" s="1" t="n">
        <v>45085</v>
      </c>
      <c r="E684" s="1" t="n">
        <v>46216</v>
      </c>
      <c r="F684" t="inlineStr">
        <is>
          <t>BLEKINGE LÄN</t>
        </is>
      </c>
      <c r="G684" t="inlineStr">
        <is>
          <t>KARLSKRONA</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26645-2025</t>
        </is>
      </c>
      <c r="B685" t="inlineStr">
        <is>
          <t>avverkningsanmälan</t>
        </is>
      </c>
      <c r="C685" t="inlineStr">
        <is>
          <t>Föryngringsavverkning</t>
        </is>
      </c>
      <c r="D685" s="1" t="n">
        <v>45810</v>
      </c>
      <c r="E685" s="1" t="n">
        <v>46216</v>
      </c>
      <c r="F685" t="inlineStr">
        <is>
          <t>BLEKINGE LÄN</t>
        </is>
      </c>
      <c r="G685" t="inlineStr">
        <is>
          <t>KARLSHAMN</t>
        </is>
      </c>
      <c r="I685" t="n">
        <v>0.9</v>
      </c>
      <c r="J685" t="n">
        <v>0</v>
      </c>
      <c r="K685" t="n">
        <v>0</v>
      </c>
      <c r="L685" t="n">
        <v>0</v>
      </c>
      <c r="M685" t="n">
        <v>0</v>
      </c>
      <c r="N685" t="n">
        <v>0</v>
      </c>
      <c r="O685" t="n">
        <v>0</v>
      </c>
      <c r="P685" t="n">
        <v>0</v>
      </c>
      <c r="Q685" t="n">
        <v>0</v>
      </c>
      <c r="R685" t="n">
        <v>0</v>
      </c>
      <c r="S685" t="n">
        <v>0</v>
      </c>
      <c r="T685" t="n">
        <v>0</v>
      </c>
      <c r="U685" s="2" t="inlineStr"/>
    </row>
    <row r="686" ht="15" customHeight="1">
      <c r="A686" t="inlineStr">
        <is>
          <t>A 21880-2024</t>
        </is>
      </c>
      <c r="B686" t="inlineStr">
        <is>
          <t>avverkningsanmälan</t>
        </is>
      </c>
      <c r="C686" t="inlineStr">
        <is>
          <t>Avverkning för annat ändamål</t>
        </is>
      </c>
      <c r="D686" s="1" t="n">
        <v>45443</v>
      </c>
      <c r="E686" s="1" t="n">
        <v>46216</v>
      </c>
      <c r="F686" t="inlineStr">
        <is>
          <t>BLEKINGE LÄN</t>
        </is>
      </c>
      <c r="G686" t="inlineStr">
        <is>
          <t>KARLSKRONA</t>
        </is>
      </c>
      <c r="I686" t="n">
        <v>1.6</v>
      </c>
      <c r="J686" t="n">
        <v>0</v>
      </c>
      <c r="K686" t="n">
        <v>0</v>
      </c>
      <c r="L686" t="n">
        <v>0</v>
      </c>
      <c r="M686" t="n">
        <v>0</v>
      </c>
      <c r="N686" t="n">
        <v>0</v>
      </c>
      <c r="O686" t="n">
        <v>0</v>
      </c>
      <c r="P686" t="n">
        <v>0</v>
      </c>
      <c r="Q686" t="n">
        <v>0</v>
      </c>
      <c r="R686" t="n">
        <v>0</v>
      </c>
      <c r="S686" t="n">
        <v>0</v>
      </c>
      <c r="T686" t="n">
        <v>0</v>
      </c>
      <c r="U686" s="2" t="inlineStr"/>
    </row>
    <row r="687" ht="15" customHeight="1">
      <c r="A687" t="inlineStr">
        <is>
          <t>A 42004-2023</t>
        </is>
      </c>
      <c r="B687" t="inlineStr">
        <is>
          <t>avverkningsanmälan</t>
        </is>
      </c>
      <c r="C687" t="inlineStr">
        <is>
          <t>Föryngringsavverkning</t>
        </is>
      </c>
      <c r="D687" s="1" t="n">
        <v>45177</v>
      </c>
      <c r="E687" s="1" t="n">
        <v>46216</v>
      </c>
      <c r="F687" t="inlineStr">
        <is>
          <t>BLEKINGE LÄN</t>
        </is>
      </c>
      <c r="G687" t="inlineStr">
        <is>
          <t>OLOFSTRÖM</t>
        </is>
      </c>
      <c r="I687" t="n">
        <v>1</v>
      </c>
      <c r="J687" t="n">
        <v>0</v>
      </c>
      <c r="K687" t="n">
        <v>0</v>
      </c>
      <c r="L687" t="n">
        <v>0</v>
      </c>
      <c r="M687" t="n">
        <v>0</v>
      </c>
      <c r="N687" t="n">
        <v>0</v>
      </c>
      <c r="O687" t="n">
        <v>0</v>
      </c>
      <c r="P687" t="n">
        <v>0</v>
      </c>
      <c r="Q687" t="n">
        <v>0</v>
      </c>
      <c r="R687" t="n">
        <v>0</v>
      </c>
      <c r="S687" t="n">
        <v>0</v>
      </c>
      <c r="T687" t="n">
        <v>0</v>
      </c>
      <c r="U687" s="2" t="inlineStr"/>
    </row>
    <row r="688" ht="15" customHeight="1">
      <c r="A688" t="inlineStr">
        <is>
          <t>A 17612-2024</t>
        </is>
      </c>
      <c r="B688" t="inlineStr">
        <is>
          <t>avverkningsanmälan</t>
        </is>
      </c>
      <c r="C688" t="inlineStr">
        <is>
          <t>Föryngringsavverkning</t>
        </is>
      </c>
      <c r="D688" s="1" t="n">
        <v>45416</v>
      </c>
      <c r="E688" s="1" t="n">
        <v>46216</v>
      </c>
      <c r="F688" t="inlineStr">
        <is>
          <t>BLEKINGE LÄN</t>
        </is>
      </c>
      <c r="G688" t="inlineStr">
        <is>
          <t>SÖLVESBORG</t>
        </is>
      </c>
      <c r="I688" t="n">
        <v>1.5</v>
      </c>
      <c r="J688" t="n">
        <v>0</v>
      </c>
      <c r="K688" t="n">
        <v>0</v>
      </c>
      <c r="L688" t="n">
        <v>0</v>
      </c>
      <c r="M688" t="n">
        <v>0</v>
      </c>
      <c r="N688" t="n">
        <v>0</v>
      </c>
      <c r="O688" t="n">
        <v>0</v>
      </c>
      <c r="P688" t="n">
        <v>0</v>
      </c>
      <c r="Q688" t="n">
        <v>0</v>
      </c>
      <c r="R688" t="n">
        <v>0</v>
      </c>
      <c r="S688" t="n">
        <v>0</v>
      </c>
      <c r="T688" t="n">
        <v>0</v>
      </c>
      <c r="U688" s="2" t="inlineStr"/>
    </row>
    <row r="689" ht="15" customHeight="1">
      <c r="A689" t="inlineStr">
        <is>
          <t>A 13847-2022</t>
        </is>
      </c>
      <c r="B689" t="inlineStr">
        <is>
          <t>avverkningsanmälan</t>
        </is>
      </c>
      <c r="C689" t="inlineStr">
        <is>
          <t>Föryngringsavverkning</t>
        </is>
      </c>
      <c r="D689" s="1" t="n">
        <v>44649</v>
      </c>
      <c r="E689" s="1" t="n">
        <v>46216</v>
      </c>
      <c r="F689" t="inlineStr">
        <is>
          <t>BLEKINGE LÄN</t>
        </is>
      </c>
      <c r="G689" t="inlineStr">
        <is>
          <t>KARLSHAMN</t>
        </is>
      </c>
      <c r="I689" t="n">
        <v>1.7</v>
      </c>
      <c r="J689" t="n">
        <v>0</v>
      </c>
      <c r="K689" t="n">
        <v>0</v>
      </c>
      <c r="L689" t="n">
        <v>0</v>
      </c>
      <c r="M689" t="n">
        <v>0</v>
      </c>
      <c r="N689" t="n">
        <v>0</v>
      </c>
      <c r="O689" t="n">
        <v>0</v>
      </c>
      <c r="P689" t="n">
        <v>0</v>
      </c>
      <c r="Q689" t="n">
        <v>0</v>
      </c>
      <c r="R689" t="n">
        <v>0</v>
      </c>
      <c r="S689" t="n">
        <v>0</v>
      </c>
      <c r="T689" t="n">
        <v>0</v>
      </c>
      <c r="U689" s="2" t="inlineStr"/>
    </row>
    <row r="690" ht="15" customHeight="1">
      <c r="A690" t="inlineStr">
        <is>
          <t>A 18746-2024</t>
        </is>
      </c>
      <c r="B690" t="inlineStr">
        <is>
          <t>avverkningsanmälan</t>
        </is>
      </c>
      <c r="C690" t="inlineStr">
        <is>
          <t>Föryngringsavverkning</t>
        </is>
      </c>
      <c r="D690" s="1" t="n">
        <v>45426</v>
      </c>
      <c r="E690" s="1" t="n">
        <v>46216</v>
      </c>
      <c r="F690" t="inlineStr">
        <is>
          <t>BLEKINGE LÄN</t>
        </is>
      </c>
      <c r="G690" t="inlineStr">
        <is>
          <t>RONNEBY</t>
        </is>
      </c>
      <c r="I690" t="n">
        <v>2.2</v>
      </c>
      <c r="J690" t="n">
        <v>0</v>
      </c>
      <c r="K690" t="n">
        <v>0</v>
      </c>
      <c r="L690" t="n">
        <v>0</v>
      </c>
      <c r="M690" t="n">
        <v>0</v>
      </c>
      <c r="N690" t="n">
        <v>0</v>
      </c>
      <c r="O690" t="n">
        <v>0</v>
      </c>
      <c r="P690" t="n">
        <v>0</v>
      </c>
      <c r="Q690" t="n">
        <v>0</v>
      </c>
      <c r="R690" t="n">
        <v>0</v>
      </c>
      <c r="S690" t="n">
        <v>0</v>
      </c>
      <c r="T690" t="n">
        <v>0</v>
      </c>
      <c r="U690" s="2" t="inlineStr"/>
    </row>
    <row r="691" ht="15" customHeight="1">
      <c r="A691" t="inlineStr">
        <is>
          <t>A 7134-2023</t>
        </is>
      </c>
      <c r="B691" t="inlineStr">
        <is>
          <t>avverkningsanmälan</t>
        </is>
      </c>
      <c r="C691" t="inlineStr">
        <is>
          <t>Föryngringsavverkning</t>
        </is>
      </c>
      <c r="D691" s="1" t="n">
        <v>44970</v>
      </c>
      <c r="E691" s="1" t="n">
        <v>46216</v>
      </c>
      <c r="F691" t="inlineStr">
        <is>
          <t>BLEKINGE LÄN</t>
        </is>
      </c>
      <c r="G691" t="inlineStr">
        <is>
          <t>SÖLVESBORG</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1909-2023</t>
        </is>
      </c>
      <c r="B692" t="inlineStr">
        <is>
          <t>avverkningsanmälan</t>
        </is>
      </c>
      <c r="C692" t="inlineStr">
        <is>
          <t>Avverkning för annat ändamål</t>
        </is>
      </c>
      <c r="D692" s="1" t="n">
        <v>44939</v>
      </c>
      <c r="E692" s="1" t="n">
        <v>46216</v>
      </c>
      <c r="F692" t="inlineStr">
        <is>
          <t>BLEKINGE LÄN</t>
        </is>
      </c>
      <c r="G692" t="inlineStr">
        <is>
          <t>RONNEBY</t>
        </is>
      </c>
      <c r="I692" t="n">
        <v>1.4</v>
      </c>
      <c r="J692" t="n">
        <v>0</v>
      </c>
      <c r="K692" t="n">
        <v>0</v>
      </c>
      <c r="L692" t="n">
        <v>0</v>
      </c>
      <c r="M692" t="n">
        <v>0</v>
      </c>
      <c r="N692" t="n">
        <v>0</v>
      </c>
      <c r="O692" t="n">
        <v>0</v>
      </c>
      <c r="P692" t="n">
        <v>0</v>
      </c>
      <c r="Q692" t="n">
        <v>0</v>
      </c>
      <c r="R692" t="n">
        <v>0</v>
      </c>
      <c r="S692" t="n">
        <v>0</v>
      </c>
      <c r="T692" t="n">
        <v>0</v>
      </c>
      <c r="U692" s="2" t="inlineStr"/>
    </row>
    <row r="693" ht="15" customHeight="1">
      <c r="A693" t="inlineStr">
        <is>
          <t>A 61962-2023</t>
        </is>
      </c>
      <c r="B693" t="inlineStr">
        <is>
          <t>avverkningsanmälan</t>
        </is>
      </c>
      <c r="C693" t="inlineStr">
        <is>
          <t>Föryngringsavverkning</t>
        </is>
      </c>
      <c r="D693" s="1" t="n">
        <v>45266</v>
      </c>
      <c r="E693" s="1" t="n">
        <v>46216</v>
      </c>
      <c r="F693" t="inlineStr">
        <is>
          <t>BLEKINGE LÄN</t>
        </is>
      </c>
      <c r="G693" t="inlineStr">
        <is>
          <t>KARLSHAMN</t>
        </is>
      </c>
      <c r="I693" t="n">
        <v>0.3</v>
      </c>
      <c r="J693" t="n">
        <v>0</v>
      </c>
      <c r="K693" t="n">
        <v>0</v>
      </c>
      <c r="L693" t="n">
        <v>0</v>
      </c>
      <c r="M693" t="n">
        <v>0</v>
      </c>
      <c r="N693" t="n">
        <v>0</v>
      </c>
      <c r="O693" t="n">
        <v>0</v>
      </c>
      <c r="P693" t="n">
        <v>0</v>
      </c>
      <c r="Q693" t="n">
        <v>0</v>
      </c>
      <c r="R693" t="n">
        <v>0</v>
      </c>
      <c r="S693" t="n">
        <v>0</v>
      </c>
      <c r="T693" t="n">
        <v>0</v>
      </c>
      <c r="U693" s="2" t="inlineStr"/>
    </row>
    <row r="694" ht="15" customHeight="1">
      <c r="A694" t="inlineStr">
        <is>
          <t>A 27749-2024</t>
        </is>
      </c>
      <c r="B694" t="inlineStr">
        <is>
          <t>avverkningsanmälan</t>
        </is>
      </c>
      <c r="C694" t="inlineStr">
        <is>
          <t>Föryngringsavverkning</t>
        </is>
      </c>
      <c r="D694" s="1" t="n">
        <v>45475</v>
      </c>
      <c r="E694" s="1" t="n">
        <v>46216</v>
      </c>
      <c r="F694" t="inlineStr">
        <is>
          <t>BLEKINGE LÄN</t>
        </is>
      </c>
      <c r="G694" t="inlineStr">
        <is>
          <t>KARLSKRONA</t>
        </is>
      </c>
      <c r="I694" t="n">
        <v>0.6</v>
      </c>
      <c r="J694" t="n">
        <v>0</v>
      </c>
      <c r="K694" t="n">
        <v>0</v>
      </c>
      <c r="L694" t="n">
        <v>0</v>
      </c>
      <c r="M694" t="n">
        <v>0</v>
      </c>
      <c r="N694" t="n">
        <v>0</v>
      </c>
      <c r="O694" t="n">
        <v>0</v>
      </c>
      <c r="P694" t="n">
        <v>0</v>
      </c>
      <c r="Q694" t="n">
        <v>0</v>
      </c>
      <c r="R694" t="n">
        <v>0</v>
      </c>
      <c r="S694" t="n">
        <v>0</v>
      </c>
      <c r="T694" t="n">
        <v>0</v>
      </c>
      <c r="U694" s="2" t="inlineStr"/>
    </row>
    <row r="695" ht="15" customHeight="1">
      <c r="A695" t="inlineStr">
        <is>
          <t>A 12944-2023</t>
        </is>
      </c>
      <c r="B695" t="inlineStr">
        <is>
          <t>avverkningsanmälan</t>
        </is>
      </c>
      <c r="C695" t="inlineStr">
        <is>
          <t>Föryngringsavverkning</t>
        </is>
      </c>
      <c r="D695" s="1" t="n">
        <v>45001</v>
      </c>
      <c r="E695" s="1" t="n">
        <v>46216</v>
      </c>
      <c r="F695" t="inlineStr">
        <is>
          <t>BLEKINGE LÄN</t>
        </is>
      </c>
      <c r="G695" t="inlineStr">
        <is>
          <t>KARLSKRONA</t>
        </is>
      </c>
      <c r="I695" t="n">
        <v>1.5</v>
      </c>
      <c r="J695" t="n">
        <v>0</v>
      </c>
      <c r="K695" t="n">
        <v>0</v>
      </c>
      <c r="L695" t="n">
        <v>0</v>
      </c>
      <c r="M695" t="n">
        <v>0</v>
      </c>
      <c r="N695" t="n">
        <v>0</v>
      </c>
      <c r="O695" t="n">
        <v>0</v>
      </c>
      <c r="P695" t="n">
        <v>0</v>
      </c>
      <c r="Q695" t="n">
        <v>0</v>
      </c>
      <c r="R695" t="n">
        <v>0</v>
      </c>
      <c r="S695" t="n">
        <v>0</v>
      </c>
      <c r="T695" t="n">
        <v>0</v>
      </c>
      <c r="U695" s="2" t="inlineStr"/>
    </row>
    <row r="696" ht="15" customHeight="1">
      <c r="A696" t="inlineStr">
        <is>
          <t>A 27473-2025</t>
        </is>
      </c>
      <c r="B696" t="inlineStr">
        <is>
          <t>avverkningsanmälan</t>
        </is>
      </c>
      <c r="C696" t="inlineStr">
        <is>
          <t>Föryngringsavverkning</t>
        </is>
      </c>
      <c r="D696" s="1" t="n">
        <v>45813</v>
      </c>
      <c r="E696" s="1" t="n">
        <v>46216</v>
      </c>
      <c r="F696" t="inlineStr">
        <is>
          <t>BLEKINGE LÄN</t>
        </is>
      </c>
      <c r="G696" t="inlineStr">
        <is>
          <t>KARLSHAMN</t>
        </is>
      </c>
      <c r="I696" t="n">
        <v>0.5</v>
      </c>
      <c r="J696" t="n">
        <v>0</v>
      </c>
      <c r="K696" t="n">
        <v>0</v>
      </c>
      <c r="L696" t="n">
        <v>0</v>
      </c>
      <c r="M696" t="n">
        <v>0</v>
      </c>
      <c r="N696" t="n">
        <v>0</v>
      </c>
      <c r="O696" t="n">
        <v>0</v>
      </c>
      <c r="P696" t="n">
        <v>0</v>
      </c>
      <c r="Q696" t="n">
        <v>0</v>
      </c>
      <c r="R696" t="n">
        <v>0</v>
      </c>
      <c r="S696" t="n">
        <v>0</v>
      </c>
      <c r="T696" t="n">
        <v>0</v>
      </c>
      <c r="U696" s="2" t="inlineStr"/>
    </row>
    <row r="697" ht="15" customHeight="1">
      <c r="A697" t="inlineStr">
        <is>
          <t>A 63899-2023</t>
        </is>
      </c>
      <c r="B697" t="inlineStr">
        <is>
          <t>avverkningsanmälan</t>
        </is>
      </c>
      <c r="C697" t="inlineStr">
        <is>
          <t>Föryngringsavverkning</t>
        </is>
      </c>
      <c r="D697" s="1" t="n">
        <v>45278</v>
      </c>
      <c r="E697" s="1" t="n">
        <v>46216</v>
      </c>
      <c r="F697" t="inlineStr">
        <is>
          <t>BLEKINGE LÄN</t>
        </is>
      </c>
      <c r="G697" t="inlineStr">
        <is>
          <t>KARLSKRONA</t>
        </is>
      </c>
      <c r="I697" t="n">
        <v>1</v>
      </c>
      <c r="J697" t="n">
        <v>0</v>
      </c>
      <c r="K697" t="n">
        <v>0</v>
      </c>
      <c r="L697" t="n">
        <v>0</v>
      </c>
      <c r="M697" t="n">
        <v>0</v>
      </c>
      <c r="N697" t="n">
        <v>0</v>
      </c>
      <c r="O697" t="n">
        <v>0</v>
      </c>
      <c r="P697" t="n">
        <v>0</v>
      </c>
      <c r="Q697" t="n">
        <v>0</v>
      </c>
      <c r="R697" t="n">
        <v>0</v>
      </c>
      <c r="S697" t="n">
        <v>0</v>
      </c>
      <c r="T697" t="n">
        <v>0</v>
      </c>
      <c r="U697" s="2" t="inlineStr"/>
    </row>
    <row r="698" ht="15" customHeight="1">
      <c r="A698" t="inlineStr">
        <is>
          <t>A 27496-2025</t>
        </is>
      </c>
      <c r="B698" t="inlineStr">
        <is>
          <t>avverkningsanmälan</t>
        </is>
      </c>
      <c r="C698" t="inlineStr">
        <is>
          <t>Föryngringsavverkning</t>
        </is>
      </c>
      <c r="D698" s="1" t="n">
        <v>45813</v>
      </c>
      <c r="E698" s="1" t="n">
        <v>46216</v>
      </c>
      <c r="F698" t="inlineStr">
        <is>
          <t>BLEKINGE LÄN</t>
        </is>
      </c>
      <c r="G698" t="inlineStr">
        <is>
          <t>KARLSHAMN</t>
        </is>
      </c>
      <c r="I698" t="n">
        <v>0.5</v>
      </c>
      <c r="J698" t="n">
        <v>0</v>
      </c>
      <c r="K698" t="n">
        <v>0</v>
      </c>
      <c r="L698" t="n">
        <v>0</v>
      </c>
      <c r="M698" t="n">
        <v>0</v>
      </c>
      <c r="N698" t="n">
        <v>0</v>
      </c>
      <c r="O698" t="n">
        <v>0</v>
      </c>
      <c r="P698" t="n">
        <v>0</v>
      </c>
      <c r="Q698" t="n">
        <v>0</v>
      </c>
      <c r="R698" t="n">
        <v>0</v>
      </c>
      <c r="S698" t="n">
        <v>0</v>
      </c>
      <c r="T698" t="n">
        <v>0</v>
      </c>
      <c r="U698" s="2" t="inlineStr"/>
    </row>
    <row r="699" ht="15" customHeight="1">
      <c r="A699" t="inlineStr">
        <is>
          <t>A 27500-2025</t>
        </is>
      </c>
      <c r="B699" t="inlineStr">
        <is>
          <t>avverkningsanmälan</t>
        </is>
      </c>
      <c r="C699" t="inlineStr">
        <is>
          <t>Föryngringsavverkning</t>
        </is>
      </c>
      <c r="D699" s="1" t="n">
        <v>45813</v>
      </c>
      <c r="E699" s="1" t="n">
        <v>46216</v>
      </c>
      <c r="F699" t="inlineStr">
        <is>
          <t>BLEKINGE LÄN</t>
        </is>
      </c>
      <c r="G699" t="inlineStr">
        <is>
          <t>KARLSHAMN</t>
        </is>
      </c>
      <c r="I699" t="n">
        <v>0.7</v>
      </c>
      <c r="J699" t="n">
        <v>0</v>
      </c>
      <c r="K699" t="n">
        <v>0</v>
      </c>
      <c r="L699" t="n">
        <v>0</v>
      </c>
      <c r="M699" t="n">
        <v>0</v>
      </c>
      <c r="N699" t="n">
        <v>0</v>
      </c>
      <c r="O699" t="n">
        <v>0</v>
      </c>
      <c r="P699" t="n">
        <v>0</v>
      </c>
      <c r="Q699" t="n">
        <v>0</v>
      </c>
      <c r="R699" t="n">
        <v>0</v>
      </c>
      <c r="S699" t="n">
        <v>0</v>
      </c>
      <c r="T699" t="n">
        <v>0</v>
      </c>
      <c r="U699" s="2" t="inlineStr"/>
    </row>
    <row r="700" ht="15" customHeight="1">
      <c r="A700" t="inlineStr">
        <is>
          <t>A 39218-2025</t>
        </is>
      </c>
      <c r="B700" t="inlineStr">
        <is>
          <t>avverkningsanmälan</t>
        </is>
      </c>
      <c r="C700" t="inlineStr">
        <is>
          <t>Föryngringsavverkning</t>
        </is>
      </c>
      <c r="D700" s="1" t="n">
        <v>45888</v>
      </c>
      <c r="E700" s="1" t="n">
        <v>46216</v>
      </c>
      <c r="F700" t="inlineStr">
        <is>
          <t>BLEKINGE LÄN</t>
        </is>
      </c>
      <c r="G700" t="inlineStr">
        <is>
          <t>RONNEBY</t>
        </is>
      </c>
      <c r="I700" t="n">
        <v>1.1</v>
      </c>
      <c r="J700" t="n">
        <v>0</v>
      </c>
      <c r="K700" t="n">
        <v>0</v>
      </c>
      <c r="L700" t="n">
        <v>0</v>
      </c>
      <c r="M700" t="n">
        <v>0</v>
      </c>
      <c r="N700" t="n">
        <v>0</v>
      </c>
      <c r="O700" t="n">
        <v>0</v>
      </c>
      <c r="P700" t="n">
        <v>0</v>
      </c>
      <c r="Q700" t="n">
        <v>0</v>
      </c>
      <c r="R700" t="n">
        <v>0</v>
      </c>
      <c r="S700" t="n">
        <v>0</v>
      </c>
      <c r="T700" t="n">
        <v>0</v>
      </c>
      <c r="U700" s="2" t="inlineStr"/>
    </row>
    <row r="701" ht="15" customHeight="1">
      <c r="A701" t="inlineStr">
        <is>
          <t>A 14136-2025</t>
        </is>
      </c>
      <c r="B701" t="inlineStr">
        <is>
          <t>avverkningsanmälan</t>
        </is>
      </c>
      <c r="C701" t="inlineStr">
        <is>
          <t>Avverkning för annat ändamål</t>
        </is>
      </c>
      <c r="D701" s="1" t="n">
        <v>45738</v>
      </c>
      <c r="E701" s="1" t="n">
        <v>46216</v>
      </c>
      <c r="F701" t="inlineStr">
        <is>
          <t>BLEKINGE LÄN</t>
        </is>
      </c>
      <c r="G701" t="inlineStr">
        <is>
          <t>SÖLVESBORG</t>
        </is>
      </c>
      <c r="I701" t="n">
        <v>0.5</v>
      </c>
      <c r="J701" t="n">
        <v>0</v>
      </c>
      <c r="K701" t="n">
        <v>0</v>
      </c>
      <c r="L701" t="n">
        <v>0</v>
      </c>
      <c r="M701" t="n">
        <v>0</v>
      </c>
      <c r="N701" t="n">
        <v>0</v>
      </c>
      <c r="O701" t="n">
        <v>0</v>
      </c>
      <c r="P701" t="n">
        <v>0</v>
      </c>
      <c r="Q701" t="n">
        <v>0</v>
      </c>
      <c r="R701" t="n">
        <v>0</v>
      </c>
      <c r="S701" t="n">
        <v>0</v>
      </c>
      <c r="T701" t="n">
        <v>0</v>
      </c>
      <c r="U701" s="2" t="inlineStr"/>
    </row>
    <row r="702" ht="15" customHeight="1">
      <c r="A702" t="inlineStr">
        <is>
          <t>A 39308-2025</t>
        </is>
      </c>
      <c r="B702" t="inlineStr">
        <is>
          <t>avverkningsanmälan</t>
        </is>
      </c>
      <c r="C702" t="inlineStr">
        <is>
          <t>Föryngringsavverkning</t>
        </is>
      </c>
      <c r="D702" s="1" t="n">
        <v>45889</v>
      </c>
      <c r="E702" s="1" t="n">
        <v>46216</v>
      </c>
      <c r="F702" t="inlineStr">
        <is>
          <t>BLEKINGE LÄN</t>
        </is>
      </c>
      <c r="G702" t="inlineStr">
        <is>
          <t>RONNEBY</t>
        </is>
      </c>
      <c r="H702" t="inlineStr">
        <is>
          <t>Övriga Aktiebolag</t>
        </is>
      </c>
      <c r="I702" t="n">
        <v>1.4</v>
      </c>
      <c r="J702" t="n">
        <v>0</v>
      </c>
      <c r="K702" t="n">
        <v>0</v>
      </c>
      <c r="L702" t="n">
        <v>0</v>
      </c>
      <c r="M702" t="n">
        <v>0</v>
      </c>
      <c r="N702" t="n">
        <v>0</v>
      </c>
      <c r="O702" t="n">
        <v>0</v>
      </c>
      <c r="P702" t="n">
        <v>0</v>
      </c>
      <c r="Q702" t="n">
        <v>0</v>
      </c>
      <c r="R702" t="n">
        <v>0</v>
      </c>
      <c r="S702" t="n">
        <v>0</v>
      </c>
      <c r="T702" t="n">
        <v>0</v>
      </c>
      <c r="U702" s="2" t="inlineStr"/>
    </row>
    <row r="703" ht="15" customHeight="1">
      <c r="A703" t="inlineStr">
        <is>
          <t>A 39062-2025</t>
        </is>
      </c>
      <c r="B703" t="inlineStr">
        <is>
          <t>avverkningsanmälan</t>
        </is>
      </c>
      <c r="C703" t="inlineStr">
        <is>
          <t>Föryngringsavverkning</t>
        </is>
      </c>
      <c r="D703" s="1" t="n">
        <v>45888</v>
      </c>
      <c r="E703" s="1" t="n">
        <v>46216</v>
      </c>
      <c r="F703" t="inlineStr">
        <is>
          <t>BLEKINGE LÄN</t>
        </is>
      </c>
      <c r="G703" t="inlineStr">
        <is>
          <t>RONNEBY</t>
        </is>
      </c>
      <c r="H703" t="inlineStr">
        <is>
          <t>Övriga Aktiebolag</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27402-2025</t>
        </is>
      </c>
      <c r="B704" t="inlineStr">
        <is>
          <t>avverkningsanmälan</t>
        </is>
      </c>
      <c r="C704" t="inlineStr">
        <is>
          <t>Föryngringsavverkning</t>
        </is>
      </c>
      <c r="D704" s="1" t="n">
        <v>45812</v>
      </c>
      <c r="E704" s="1" t="n">
        <v>46216</v>
      </c>
      <c r="F704" t="inlineStr">
        <is>
          <t>BLEKINGE LÄN</t>
        </is>
      </c>
      <c r="G704" t="inlineStr">
        <is>
          <t>SÖLVESBORG</t>
        </is>
      </c>
      <c r="I704" t="n">
        <v>3.7</v>
      </c>
      <c r="J704" t="n">
        <v>0</v>
      </c>
      <c r="K704" t="n">
        <v>0</v>
      </c>
      <c r="L704" t="n">
        <v>0</v>
      </c>
      <c r="M704" t="n">
        <v>0</v>
      </c>
      <c r="N704" t="n">
        <v>0</v>
      </c>
      <c r="O704" t="n">
        <v>0</v>
      </c>
      <c r="P704" t="n">
        <v>0</v>
      </c>
      <c r="Q704" t="n">
        <v>0</v>
      </c>
      <c r="R704" t="n">
        <v>0</v>
      </c>
      <c r="S704" t="n">
        <v>0</v>
      </c>
      <c r="T704" t="n">
        <v>0</v>
      </c>
      <c r="U704" s="2" t="inlineStr"/>
    </row>
    <row r="705" ht="15" customHeight="1">
      <c r="A705" t="inlineStr">
        <is>
          <t>A 27478-2025</t>
        </is>
      </c>
      <c r="B705" t="inlineStr">
        <is>
          <t>avverkningsanmälan</t>
        </is>
      </c>
      <c r="C705" t="inlineStr">
        <is>
          <t>Föryngringsavverkning</t>
        </is>
      </c>
      <c r="D705" s="1" t="n">
        <v>45813</v>
      </c>
      <c r="E705" s="1" t="n">
        <v>46216</v>
      </c>
      <c r="F705" t="inlineStr">
        <is>
          <t>BLEKINGE LÄN</t>
        </is>
      </c>
      <c r="G705" t="inlineStr">
        <is>
          <t>KARLSHAMN</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27487-2025</t>
        </is>
      </c>
      <c r="B706" t="inlineStr">
        <is>
          <t>avverkningsanmälan</t>
        </is>
      </c>
      <c r="C706" t="inlineStr">
        <is>
          <t>Föryngringsavverkning</t>
        </is>
      </c>
      <c r="D706" s="1" t="n">
        <v>45813</v>
      </c>
      <c r="E706" s="1" t="n">
        <v>46216</v>
      </c>
      <c r="F706" t="inlineStr">
        <is>
          <t>BLEKINGE LÄN</t>
        </is>
      </c>
      <c r="G706" t="inlineStr">
        <is>
          <t>KARLSHAMN</t>
        </is>
      </c>
      <c r="I706" t="n">
        <v>0.6</v>
      </c>
      <c r="J706" t="n">
        <v>0</v>
      </c>
      <c r="K706" t="n">
        <v>0</v>
      </c>
      <c r="L706" t="n">
        <v>0</v>
      </c>
      <c r="M706" t="n">
        <v>0</v>
      </c>
      <c r="N706" t="n">
        <v>0</v>
      </c>
      <c r="O706" t="n">
        <v>0</v>
      </c>
      <c r="P706" t="n">
        <v>0</v>
      </c>
      <c r="Q706" t="n">
        <v>0</v>
      </c>
      <c r="R706" t="n">
        <v>0</v>
      </c>
      <c r="S706" t="n">
        <v>0</v>
      </c>
      <c r="T706" t="n">
        <v>0</v>
      </c>
      <c r="U706" s="2" t="inlineStr"/>
    </row>
    <row r="707" ht="15" customHeight="1">
      <c r="A707" t="inlineStr">
        <is>
          <t>A 44871-2023</t>
        </is>
      </c>
      <c r="B707" t="inlineStr">
        <is>
          <t>avverkningsanmälan</t>
        </is>
      </c>
      <c r="C707" t="inlineStr">
        <is>
          <t>Föryngringsavverkning</t>
        </is>
      </c>
      <c r="D707" s="1" t="n">
        <v>45190</v>
      </c>
      <c r="E707" s="1" t="n">
        <v>46216</v>
      </c>
      <c r="F707" t="inlineStr">
        <is>
          <t>BLEKINGE LÄN</t>
        </is>
      </c>
      <c r="G707" t="inlineStr">
        <is>
          <t>SÖLVESBORG</t>
        </is>
      </c>
      <c r="I707" t="n">
        <v>3.1</v>
      </c>
      <c r="J707" t="n">
        <v>0</v>
      </c>
      <c r="K707" t="n">
        <v>0</v>
      </c>
      <c r="L707" t="n">
        <v>0</v>
      </c>
      <c r="M707" t="n">
        <v>0</v>
      </c>
      <c r="N707" t="n">
        <v>0</v>
      </c>
      <c r="O707" t="n">
        <v>0</v>
      </c>
      <c r="P707" t="n">
        <v>0</v>
      </c>
      <c r="Q707" t="n">
        <v>0</v>
      </c>
      <c r="R707" t="n">
        <v>0</v>
      </c>
      <c r="S707" t="n">
        <v>0</v>
      </c>
      <c r="T707" t="n">
        <v>0</v>
      </c>
      <c r="U707" s="2" t="inlineStr"/>
    </row>
    <row r="708" ht="15" customHeight="1">
      <c r="A708" t="inlineStr">
        <is>
          <t>A 3928-2022</t>
        </is>
      </c>
      <c r="B708" t="inlineStr">
        <is>
          <t>avverkningsanmälan</t>
        </is>
      </c>
      <c r="C708" t="inlineStr">
        <is>
          <t>Föryngringsavverkning</t>
        </is>
      </c>
      <c r="D708" s="1" t="n">
        <v>44587</v>
      </c>
      <c r="E708" s="1" t="n">
        <v>46216</v>
      </c>
      <c r="F708" t="inlineStr">
        <is>
          <t>BLEKINGE LÄN</t>
        </is>
      </c>
      <c r="G708" t="inlineStr">
        <is>
          <t>KARLSKRONA</t>
        </is>
      </c>
      <c r="I708" t="n">
        <v>1.2</v>
      </c>
      <c r="J708" t="n">
        <v>0</v>
      </c>
      <c r="K708" t="n">
        <v>0</v>
      </c>
      <c r="L708" t="n">
        <v>0</v>
      </c>
      <c r="M708" t="n">
        <v>0</v>
      </c>
      <c r="N708" t="n">
        <v>0</v>
      </c>
      <c r="O708" t="n">
        <v>0</v>
      </c>
      <c r="P708" t="n">
        <v>0</v>
      </c>
      <c r="Q708" t="n">
        <v>0</v>
      </c>
      <c r="R708" t="n">
        <v>0</v>
      </c>
      <c r="S708" t="n">
        <v>0</v>
      </c>
      <c r="T708" t="n">
        <v>0</v>
      </c>
      <c r="U708" s="2" t="inlineStr"/>
    </row>
    <row r="709" ht="15" customHeight="1">
      <c r="A709" t="inlineStr">
        <is>
          <t>A 39455-2025</t>
        </is>
      </c>
      <c r="B709" t="inlineStr">
        <is>
          <t>avverkningsanmälan</t>
        </is>
      </c>
      <c r="C709" t="inlineStr">
        <is>
          <t>Föryngringsavverkning</t>
        </is>
      </c>
      <c r="D709" s="1" t="n">
        <v>45889</v>
      </c>
      <c r="E709" s="1" t="n">
        <v>46216</v>
      </c>
      <c r="F709" t="inlineStr">
        <is>
          <t>BLEKINGE LÄN</t>
        </is>
      </c>
      <c r="G709" t="inlineStr">
        <is>
          <t>RONNEBY</t>
        </is>
      </c>
      <c r="H709" t="inlineStr">
        <is>
          <t>Övriga Aktiebolag</t>
        </is>
      </c>
      <c r="I709" t="n">
        <v>2.6</v>
      </c>
      <c r="J709" t="n">
        <v>0</v>
      </c>
      <c r="K709" t="n">
        <v>0</v>
      </c>
      <c r="L709" t="n">
        <v>0</v>
      </c>
      <c r="M709" t="n">
        <v>0</v>
      </c>
      <c r="N709" t="n">
        <v>0</v>
      </c>
      <c r="O709" t="n">
        <v>0</v>
      </c>
      <c r="P709" t="n">
        <v>0</v>
      </c>
      <c r="Q709" t="n">
        <v>0</v>
      </c>
      <c r="R709" t="n">
        <v>0</v>
      </c>
      <c r="S709" t="n">
        <v>0</v>
      </c>
      <c r="T709" t="n">
        <v>0</v>
      </c>
      <c r="U709" s="2" t="inlineStr"/>
    </row>
    <row r="710" ht="15" customHeight="1">
      <c r="A710" t="inlineStr">
        <is>
          <t>A 27505-2025</t>
        </is>
      </c>
      <c r="B710" t="inlineStr">
        <is>
          <t>avverkningsanmälan</t>
        </is>
      </c>
      <c r="C710" t="inlineStr">
        <is>
          <t>Föryngringsavverkning</t>
        </is>
      </c>
      <c r="D710" s="1" t="n">
        <v>45813</v>
      </c>
      <c r="E710" s="1" t="n">
        <v>46216</v>
      </c>
      <c r="F710" t="inlineStr">
        <is>
          <t>BLEKINGE LÄN</t>
        </is>
      </c>
      <c r="G710" t="inlineStr">
        <is>
          <t>RONNEBY</t>
        </is>
      </c>
      <c r="I710" t="n">
        <v>0.5</v>
      </c>
      <c r="J710" t="n">
        <v>0</v>
      </c>
      <c r="K710" t="n">
        <v>0</v>
      </c>
      <c r="L710" t="n">
        <v>0</v>
      </c>
      <c r="M710" t="n">
        <v>0</v>
      </c>
      <c r="N710" t="n">
        <v>0</v>
      </c>
      <c r="O710" t="n">
        <v>0</v>
      </c>
      <c r="P710" t="n">
        <v>0</v>
      </c>
      <c r="Q710" t="n">
        <v>0</v>
      </c>
      <c r="R710" t="n">
        <v>0</v>
      </c>
      <c r="S710" t="n">
        <v>0</v>
      </c>
      <c r="T710" t="n">
        <v>0</v>
      </c>
      <c r="U710" s="2" t="inlineStr"/>
    </row>
    <row r="711" ht="15" customHeight="1">
      <c r="A711" t="inlineStr">
        <is>
          <t>A 39992-2024</t>
        </is>
      </c>
      <c r="B711" t="inlineStr">
        <is>
          <t>avverkningsanmälan</t>
        </is>
      </c>
      <c r="C711" t="inlineStr">
        <is>
          <t>Föryngringsavverkning</t>
        </is>
      </c>
      <c r="D711" s="1" t="n">
        <v>45553</v>
      </c>
      <c r="E711" s="1" t="n">
        <v>46216</v>
      </c>
      <c r="F711" t="inlineStr">
        <is>
          <t>BLEKINGE LÄN</t>
        </is>
      </c>
      <c r="G711" t="inlineStr">
        <is>
          <t>KARLSKRONA</t>
        </is>
      </c>
      <c r="I711" t="n">
        <v>5.4</v>
      </c>
      <c r="J711" t="n">
        <v>0</v>
      </c>
      <c r="K711" t="n">
        <v>0</v>
      </c>
      <c r="L711" t="n">
        <v>0</v>
      </c>
      <c r="M711" t="n">
        <v>0</v>
      </c>
      <c r="N711" t="n">
        <v>0</v>
      </c>
      <c r="O711" t="n">
        <v>0</v>
      </c>
      <c r="P711" t="n">
        <v>0</v>
      </c>
      <c r="Q711" t="n">
        <v>0</v>
      </c>
      <c r="R711" t="n">
        <v>0</v>
      </c>
      <c r="S711" t="n">
        <v>0</v>
      </c>
      <c r="T711" t="n">
        <v>0</v>
      </c>
      <c r="U711" s="2" t="inlineStr"/>
    </row>
    <row r="712" ht="15" customHeight="1">
      <c r="A712" t="inlineStr">
        <is>
          <t>A 39970-2025</t>
        </is>
      </c>
      <c r="B712" t="inlineStr">
        <is>
          <t>avverkningsanmälan</t>
        </is>
      </c>
      <c r="C712" t="inlineStr">
        <is>
          <t>Föryngringsavverkning</t>
        </is>
      </c>
      <c r="D712" s="1" t="n">
        <v>45892</v>
      </c>
      <c r="E712" s="1" t="n">
        <v>46216</v>
      </c>
      <c r="F712" t="inlineStr">
        <is>
          <t>BLEKINGE LÄN</t>
        </is>
      </c>
      <c r="G712" t="inlineStr">
        <is>
          <t>RONNEBY</t>
        </is>
      </c>
      <c r="I712" t="n">
        <v>1.2</v>
      </c>
      <c r="J712" t="n">
        <v>0</v>
      </c>
      <c r="K712" t="n">
        <v>0</v>
      </c>
      <c r="L712" t="n">
        <v>0</v>
      </c>
      <c r="M712" t="n">
        <v>0</v>
      </c>
      <c r="N712" t="n">
        <v>0</v>
      </c>
      <c r="O712" t="n">
        <v>0</v>
      </c>
      <c r="P712" t="n">
        <v>0</v>
      </c>
      <c r="Q712" t="n">
        <v>0</v>
      </c>
      <c r="R712" t="n">
        <v>0</v>
      </c>
      <c r="S712" t="n">
        <v>0</v>
      </c>
      <c r="T712" t="n">
        <v>0</v>
      </c>
      <c r="U712" s="2" t="inlineStr"/>
    </row>
    <row r="713" ht="15" customHeight="1">
      <c r="A713" t="inlineStr">
        <is>
          <t>A 25011-2024</t>
        </is>
      </c>
      <c r="B713" t="inlineStr">
        <is>
          <t>avverkningsanmälan</t>
        </is>
      </c>
      <c r="C713" t="inlineStr">
        <is>
          <t>Föryngringsavverkning</t>
        </is>
      </c>
      <c r="D713" s="1" t="n">
        <v>45461</v>
      </c>
      <c r="E713" s="1" t="n">
        <v>46216</v>
      </c>
      <c r="F713" t="inlineStr">
        <is>
          <t>BLEKINGE LÄN</t>
        </is>
      </c>
      <c r="G713" t="inlineStr">
        <is>
          <t>KARLSHAMN</t>
        </is>
      </c>
      <c r="H713" t="inlineStr">
        <is>
          <t>Övriga Aktiebolag</t>
        </is>
      </c>
      <c r="I713" t="n">
        <v>2.4</v>
      </c>
      <c r="J713" t="n">
        <v>0</v>
      </c>
      <c r="K713" t="n">
        <v>0</v>
      </c>
      <c r="L713" t="n">
        <v>0</v>
      </c>
      <c r="M713" t="n">
        <v>0</v>
      </c>
      <c r="N713" t="n">
        <v>0</v>
      </c>
      <c r="O713" t="n">
        <v>0</v>
      </c>
      <c r="P713" t="n">
        <v>0</v>
      </c>
      <c r="Q713" t="n">
        <v>0</v>
      </c>
      <c r="R713" t="n">
        <v>0</v>
      </c>
      <c r="S713" t="n">
        <v>0</v>
      </c>
      <c r="T713" t="n">
        <v>0</v>
      </c>
      <c r="U713" s="2" t="inlineStr"/>
    </row>
    <row r="714" ht="15" customHeight="1">
      <c r="A714" t="inlineStr">
        <is>
          <t>A 39944-2025</t>
        </is>
      </c>
      <c r="B714" t="inlineStr">
        <is>
          <t>avverkningsanmälan</t>
        </is>
      </c>
      <c r="C714" t="inlineStr">
        <is>
          <t>Föryngringsavverkning</t>
        </is>
      </c>
      <c r="D714" s="1" t="n">
        <v>45891</v>
      </c>
      <c r="E714" s="1" t="n">
        <v>46216</v>
      </c>
      <c r="F714" t="inlineStr">
        <is>
          <t>BLEKINGE LÄN</t>
        </is>
      </c>
      <c r="G714" t="inlineStr">
        <is>
          <t>OLOFSTRÖM</t>
        </is>
      </c>
      <c r="I714" t="n">
        <v>1.3</v>
      </c>
      <c r="J714" t="n">
        <v>0</v>
      </c>
      <c r="K714" t="n">
        <v>0</v>
      </c>
      <c r="L714" t="n">
        <v>0</v>
      </c>
      <c r="M714" t="n">
        <v>0</v>
      </c>
      <c r="N714" t="n">
        <v>0</v>
      </c>
      <c r="O714" t="n">
        <v>0</v>
      </c>
      <c r="P714" t="n">
        <v>0</v>
      </c>
      <c r="Q714" t="n">
        <v>0</v>
      </c>
      <c r="R714" t="n">
        <v>0</v>
      </c>
      <c r="S714" t="n">
        <v>0</v>
      </c>
      <c r="T714" t="n">
        <v>0</v>
      </c>
      <c r="U714" s="2" t="inlineStr"/>
    </row>
    <row r="715" ht="15" customHeight="1">
      <c r="A715" t="inlineStr">
        <is>
          <t>A 52951-2024</t>
        </is>
      </c>
      <c r="B715" t="inlineStr">
        <is>
          <t>avverkningsanmälan</t>
        </is>
      </c>
      <c r="C715" t="inlineStr">
        <is>
          <t>Föryngringsavverkning</t>
        </is>
      </c>
      <c r="D715" s="1" t="n">
        <v>45610</v>
      </c>
      <c r="E715" s="1" t="n">
        <v>46216</v>
      </c>
      <c r="F715" t="inlineStr">
        <is>
          <t>BLEKINGE LÄN</t>
        </is>
      </c>
      <c r="G715" t="inlineStr">
        <is>
          <t>KARLSKRONA</t>
        </is>
      </c>
      <c r="I715" t="n">
        <v>6</v>
      </c>
      <c r="J715" t="n">
        <v>0</v>
      </c>
      <c r="K715" t="n">
        <v>0</v>
      </c>
      <c r="L715" t="n">
        <v>0</v>
      </c>
      <c r="M715" t="n">
        <v>0</v>
      </c>
      <c r="N715" t="n">
        <v>0</v>
      </c>
      <c r="O715" t="n">
        <v>0</v>
      </c>
      <c r="P715" t="n">
        <v>0</v>
      </c>
      <c r="Q715" t="n">
        <v>0</v>
      </c>
      <c r="R715" t="n">
        <v>0</v>
      </c>
      <c r="S715" t="n">
        <v>0</v>
      </c>
      <c r="T715" t="n">
        <v>0</v>
      </c>
      <c r="U715" s="2" t="inlineStr"/>
    </row>
    <row r="716" ht="15" customHeight="1">
      <c r="A716" t="inlineStr">
        <is>
          <t>A 14644-2025</t>
        </is>
      </c>
      <c r="B716" t="inlineStr">
        <is>
          <t>avverkningsanmälan</t>
        </is>
      </c>
      <c r="C716" t="inlineStr">
        <is>
          <t>Föryngringsavverkning</t>
        </is>
      </c>
      <c r="D716" s="1" t="n">
        <v>45742</v>
      </c>
      <c r="E716" s="1" t="n">
        <v>46216</v>
      </c>
      <c r="F716" t="inlineStr">
        <is>
          <t>BLEKINGE LÄN</t>
        </is>
      </c>
      <c r="G716" t="inlineStr">
        <is>
          <t>KARLSKRONA</t>
        </is>
      </c>
      <c r="I716" t="n">
        <v>2.6</v>
      </c>
      <c r="J716" t="n">
        <v>0</v>
      </c>
      <c r="K716" t="n">
        <v>0</v>
      </c>
      <c r="L716" t="n">
        <v>0</v>
      </c>
      <c r="M716" t="n">
        <v>0</v>
      </c>
      <c r="N716" t="n">
        <v>0</v>
      </c>
      <c r="O716" t="n">
        <v>0</v>
      </c>
      <c r="P716" t="n">
        <v>0</v>
      </c>
      <c r="Q716" t="n">
        <v>0</v>
      </c>
      <c r="R716" t="n">
        <v>0</v>
      </c>
      <c r="S716" t="n">
        <v>0</v>
      </c>
      <c r="T716" t="n">
        <v>0</v>
      </c>
      <c r="U716" s="2" t="inlineStr"/>
    </row>
    <row r="717" ht="15" customHeight="1">
      <c r="A717" t="inlineStr">
        <is>
          <t>A 36582-2024</t>
        </is>
      </c>
      <c r="B717" t="inlineStr">
        <is>
          <t>avverkningsanmälan</t>
        </is>
      </c>
      <c r="C717" t="inlineStr">
        <is>
          <t>Föryngringsavverkning</t>
        </is>
      </c>
      <c r="D717" s="1" t="n">
        <v>45537</v>
      </c>
      <c r="E717" s="1" t="n">
        <v>46216</v>
      </c>
      <c r="F717" t="inlineStr">
        <is>
          <t>BLEKINGE LÄN</t>
        </is>
      </c>
      <c r="G717" t="inlineStr">
        <is>
          <t>KARLSKRONA</t>
        </is>
      </c>
      <c r="I717" t="n">
        <v>4.3</v>
      </c>
      <c r="J717" t="n">
        <v>0</v>
      </c>
      <c r="K717" t="n">
        <v>0</v>
      </c>
      <c r="L717" t="n">
        <v>0</v>
      </c>
      <c r="M717" t="n">
        <v>0</v>
      </c>
      <c r="N717" t="n">
        <v>0</v>
      </c>
      <c r="O717" t="n">
        <v>0</v>
      </c>
      <c r="P717" t="n">
        <v>0</v>
      </c>
      <c r="Q717" t="n">
        <v>0</v>
      </c>
      <c r="R717" t="n">
        <v>0</v>
      </c>
      <c r="S717" t="n">
        <v>0</v>
      </c>
      <c r="T717" t="n">
        <v>0</v>
      </c>
      <c r="U717" s="2" t="inlineStr"/>
    </row>
    <row r="718" ht="15" customHeight="1">
      <c r="A718" t="inlineStr">
        <is>
          <t>A 40518-2025</t>
        </is>
      </c>
      <c r="B718" t="inlineStr">
        <is>
          <t>avverkningsanmälan</t>
        </is>
      </c>
      <c r="C718" t="inlineStr">
        <is>
          <t>Föryngringsavverkning</t>
        </is>
      </c>
      <c r="D718" s="1" t="n">
        <v>45896</v>
      </c>
      <c r="E718" s="1" t="n">
        <v>46216</v>
      </c>
      <c r="F718" t="inlineStr">
        <is>
          <t>BLEKINGE LÄN</t>
        </is>
      </c>
      <c r="G718" t="inlineStr">
        <is>
          <t>OLOFSTRÖM</t>
        </is>
      </c>
      <c r="I718" t="n">
        <v>0.6</v>
      </c>
      <c r="J718" t="n">
        <v>0</v>
      </c>
      <c r="K718" t="n">
        <v>0</v>
      </c>
      <c r="L718" t="n">
        <v>0</v>
      </c>
      <c r="M718" t="n">
        <v>0</v>
      </c>
      <c r="N718" t="n">
        <v>0</v>
      </c>
      <c r="O718" t="n">
        <v>0</v>
      </c>
      <c r="P718" t="n">
        <v>0</v>
      </c>
      <c r="Q718" t="n">
        <v>0</v>
      </c>
      <c r="R718" t="n">
        <v>0</v>
      </c>
      <c r="S718" t="n">
        <v>0</v>
      </c>
      <c r="T718" t="n">
        <v>0</v>
      </c>
      <c r="U718" s="2" t="inlineStr"/>
    </row>
    <row r="719" ht="15" customHeight="1">
      <c r="A719" t="inlineStr">
        <is>
          <t>A 40523-2025</t>
        </is>
      </c>
      <c r="B719" t="inlineStr">
        <is>
          <t>avverkningsanmälan</t>
        </is>
      </c>
      <c r="C719" t="inlineStr">
        <is>
          <t>Föryngringsavverkning</t>
        </is>
      </c>
      <c r="D719" s="1" t="n">
        <v>45896</v>
      </c>
      <c r="E719" s="1" t="n">
        <v>46216</v>
      </c>
      <c r="F719" t="inlineStr">
        <is>
          <t>BLEKINGE LÄN</t>
        </is>
      </c>
      <c r="G719" t="inlineStr">
        <is>
          <t>OLOFSTRÖM</t>
        </is>
      </c>
      <c r="I719" t="n">
        <v>6.2</v>
      </c>
      <c r="J719" t="n">
        <v>0</v>
      </c>
      <c r="K719" t="n">
        <v>0</v>
      </c>
      <c r="L719" t="n">
        <v>0</v>
      </c>
      <c r="M719" t="n">
        <v>0</v>
      </c>
      <c r="N719" t="n">
        <v>0</v>
      </c>
      <c r="O719" t="n">
        <v>0</v>
      </c>
      <c r="P719" t="n">
        <v>0</v>
      </c>
      <c r="Q719" t="n">
        <v>0</v>
      </c>
      <c r="R719" t="n">
        <v>0</v>
      </c>
      <c r="S719" t="n">
        <v>0</v>
      </c>
      <c r="T719" t="n">
        <v>0</v>
      </c>
      <c r="U719" s="2" t="inlineStr"/>
    </row>
    <row r="720" ht="15" customHeight="1">
      <c r="A720" t="inlineStr">
        <is>
          <t>A 21111-2024</t>
        </is>
      </c>
      <c r="B720" t="inlineStr">
        <is>
          <t>avverkningsanmälan</t>
        </is>
      </c>
      <c r="C720" t="inlineStr">
        <is>
          <t>Föryngringsavverkning</t>
        </is>
      </c>
      <c r="D720" s="1" t="n">
        <v>45440</v>
      </c>
      <c r="E720" s="1" t="n">
        <v>46216</v>
      </c>
      <c r="F720" t="inlineStr">
        <is>
          <t>BLEKINGE LÄN</t>
        </is>
      </c>
      <c r="G720" t="inlineStr">
        <is>
          <t>RONNEBY</t>
        </is>
      </c>
      <c r="I720" t="n">
        <v>2.4</v>
      </c>
      <c r="J720" t="n">
        <v>0</v>
      </c>
      <c r="K720" t="n">
        <v>0</v>
      </c>
      <c r="L720" t="n">
        <v>0</v>
      </c>
      <c r="M720" t="n">
        <v>0</v>
      </c>
      <c r="N720" t="n">
        <v>0</v>
      </c>
      <c r="O720" t="n">
        <v>0</v>
      </c>
      <c r="P720" t="n">
        <v>0</v>
      </c>
      <c r="Q720" t="n">
        <v>0</v>
      </c>
      <c r="R720" t="n">
        <v>0</v>
      </c>
      <c r="S720" t="n">
        <v>0</v>
      </c>
      <c r="T720" t="n">
        <v>0</v>
      </c>
      <c r="U720" s="2" t="inlineStr"/>
    </row>
    <row r="721" ht="15" customHeight="1">
      <c r="A721" t="inlineStr">
        <is>
          <t>A 52086-2023</t>
        </is>
      </c>
      <c r="B721" t="inlineStr">
        <is>
          <t>avverkningsanmälan</t>
        </is>
      </c>
      <c r="C721" t="inlineStr">
        <is>
          <t>Föryngringsavverkning</t>
        </is>
      </c>
      <c r="D721" s="1" t="n">
        <v>45216</v>
      </c>
      <c r="E721" s="1" t="n">
        <v>46216</v>
      </c>
      <c r="F721" t="inlineStr">
        <is>
          <t>BLEKINGE LÄN</t>
        </is>
      </c>
      <c r="G721" t="inlineStr">
        <is>
          <t>SÖLVESBORG</t>
        </is>
      </c>
      <c r="I721" t="n">
        <v>8.1</v>
      </c>
      <c r="J721" t="n">
        <v>0</v>
      </c>
      <c r="K721" t="n">
        <v>0</v>
      </c>
      <c r="L721" t="n">
        <v>0</v>
      </c>
      <c r="M721" t="n">
        <v>0</v>
      </c>
      <c r="N721" t="n">
        <v>0</v>
      </c>
      <c r="O721" t="n">
        <v>0</v>
      </c>
      <c r="P721" t="n">
        <v>0</v>
      </c>
      <c r="Q721" t="n">
        <v>0</v>
      </c>
      <c r="R721" t="n">
        <v>0</v>
      </c>
      <c r="S721" t="n">
        <v>0</v>
      </c>
      <c r="T721" t="n">
        <v>0</v>
      </c>
      <c r="U721" s="2" t="inlineStr"/>
    </row>
    <row r="722" ht="15" customHeight="1">
      <c r="A722" t="inlineStr">
        <is>
          <t>A 22906-2024</t>
        </is>
      </c>
      <c r="B722" t="inlineStr">
        <is>
          <t>avverkningsanmälan</t>
        </is>
      </c>
      <c r="C722" t="inlineStr">
        <is>
          <t>Föryngringsavverkning</t>
        </is>
      </c>
      <c r="D722" s="1" t="n">
        <v>45448</v>
      </c>
      <c r="E722" s="1" t="n">
        <v>46216</v>
      </c>
      <c r="F722" t="inlineStr">
        <is>
          <t>BLEKINGE LÄN</t>
        </is>
      </c>
      <c r="G722" t="inlineStr">
        <is>
          <t>SÖLVESBORG</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40680-2025</t>
        </is>
      </c>
      <c r="B723" t="inlineStr">
        <is>
          <t>avverkningsanmälan</t>
        </is>
      </c>
      <c r="C723" t="inlineStr">
        <is>
          <t>Föryngringsavverkning</t>
        </is>
      </c>
      <c r="D723" s="1" t="n">
        <v>45896</v>
      </c>
      <c r="E723" s="1" t="n">
        <v>46216</v>
      </c>
      <c r="F723" t="inlineStr">
        <is>
          <t>BLEKINGE LÄN</t>
        </is>
      </c>
      <c r="G723" t="inlineStr">
        <is>
          <t>OLOFSTRÖM</t>
        </is>
      </c>
      <c r="I723" t="n">
        <v>0.6</v>
      </c>
      <c r="J723" t="n">
        <v>0</v>
      </c>
      <c r="K723" t="n">
        <v>0</v>
      </c>
      <c r="L723" t="n">
        <v>0</v>
      </c>
      <c r="M723" t="n">
        <v>0</v>
      </c>
      <c r="N723" t="n">
        <v>0</v>
      </c>
      <c r="O723" t="n">
        <v>0</v>
      </c>
      <c r="P723" t="n">
        <v>0</v>
      </c>
      <c r="Q723" t="n">
        <v>0</v>
      </c>
      <c r="R723" t="n">
        <v>0</v>
      </c>
      <c r="S723" t="n">
        <v>0</v>
      </c>
      <c r="T723" t="n">
        <v>0</v>
      </c>
      <c r="U723" s="2" t="inlineStr"/>
    </row>
    <row r="724" ht="15" customHeight="1">
      <c r="A724" t="inlineStr">
        <is>
          <t>A 46584-2024</t>
        </is>
      </c>
      <c r="B724" t="inlineStr">
        <is>
          <t>avverkningsanmälan</t>
        </is>
      </c>
      <c r="C724" t="inlineStr">
        <is>
          <t>Föryngringsavverkning</t>
        </is>
      </c>
      <c r="D724" s="1" t="n">
        <v>45582</v>
      </c>
      <c r="E724" s="1" t="n">
        <v>46216</v>
      </c>
      <c r="F724" t="inlineStr">
        <is>
          <t>BLEKINGE LÄN</t>
        </is>
      </c>
      <c r="G724" t="inlineStr">
        <is>
          <t>OLOFSTRÖM</t>
        </is>
      </c>
      <c r="I724" t="n">
        <v>11</v>
      </c>
      <c r="J724" t="n">
        <v>0</v>
      </c>
      <c r="K724" t="n">
        <v>0</v>
      </c>
      <c r="L724" t="n">
        <v>0</v>
      </c>
      <c r="M724" t="n">
        <v>0</v>
      </c>
      <c r="N724" t="n">
        <v>0</v>
      </c>
      <c r="O724" t="n">
        <v>0</v>
      </c>
      <c r="P724" t="n">
        <v>0</v>
      </c>
      <c r="Q724" t="n">
        <v>0</v>
      </c>
      <c r="R724" t="n">
        <v>0</v>
      </c>
      <c r="S724" t="n">
        <v>0</v>
      </c>
      <c r="T724" t="n">
        <v>0</v>
      </c>
      <c r="U724" s="2" t="inlineStr"/>
    </row>
    <row r="725" ht="15" customHeight="1">
      <c r="A725" t="inlineStr">
        <is>
          <t>A 41135-2025</t>
        </is>
      </c>
      <c r="B725" t="inlineStr">
        <is>
          <t>avverkningsanmälan</t>
        </is>
      </c>
      <c r="C725" t="inlineStr">
        <is>
          <t>Föryngringsavverkning</t>
        </is>
      </c>
      <c r="D725" s="1" t="n">
        <v>45898</v>
      </c>
      <c r="E725" s="1" t="n">
        <v>46216</v>
      </c>
      <c r="F725" t="inlineStr">
        <is>
          <t>BLEKINGE LÄN</t>
        </is>
      </c>
      <c r="G725" t="inlineStr">
        <is>
          <t>OLOFSTRÖM</t>
        </is>
      </c>
      <c r="I725" t="n">
        <v>0.7</v>
      </c>
      <c r="J725" t="n">
        <v>0</v>
      </c>
      <c r="K725" t="n">
        <v>0</v>
      </c>
      <c r="L725" t="n">
        <v>0</v>
      </c>
      <c r="M725" t="n">
        <v>0</v>
      </c>
      <c r="N725" t="n">
        <v>0</v>
      </c>
      <c r="O725" t="n">
        <v>0</v>
      </c>
      <c r="P725" t="n">
        <v>0</v>
      </c>
      <c r="Q725" t="n">
        <v>0</v>
      </c>
      <c r="R725" t="n">
        <v>0</v>
      </c>
      <c r="S725" t="n">
        <v>0</v>
      </c>
      <c r="T725" t="n">
        <v>0</v>
      </c>
      <c r="U725" s="2" t="inlineStr"/>
    </row>
    <row r="726" ht="15" customHeight="1">
      <c r="A726" t="inlineStr">
        <is>
          <t>A 41052-2025</t>
        </is>
      </c>
      <c r="B726" t="inlineStr">
        <is>
          <t>avverkningsanmälan</t>
        </is>
      </c>
      <c r="C726" t="inlineStr">
        <is>
          <t>Föryngringsavverkning</t>
        </is>
      </c>
      <c r="D726" s="1" t="n">
        <v>45898</v>
      </c>
      <c r="E726" s="1" t="n">
        <v>46216</v>
      </c>
      <c r="F726" t="inlineStr">
        <is>
          <t>BLEKINGE LÄN</t>
        </is>
      </c>
      <c r="G726" t="inlineStr">
        <is>
          <t>KARLSHAMN</t>
        </is>
      </c>
      <c r="H726" t="inlineStr">
        <is>
          <t>Sveaskog</t>
        </is>
      </c>
      <c r="I726" t="n">
        <v>7.8</v>
      </c>
      <c r="J726" t="n">
        <v>0</v>
      </c>
      <c r="K726" t="n">
        <v>0</v>
      </c>
      <c r="L726" t="n">
        <v>0</v>
      </c>
      <c r="M726" t="n">
        <v>0</v>
      </c>
      <c r="N726" t="n">
        <v>0</v>
      </c>
      <c r="O726" t="n">
        <v>0</v>
      </c>
      <c r="P726" t="n">
        <v>0</v>
      </c>
      <c r="Q726" t="n">
        <v>0</v>
      </c>
      <c r="R726" t="n">
        <v>0</v>
      </c>
      <c r="S726" t="n">
        <v>0</v>
      </c>
      <c r="T726" t="n">
        <v>0</v>
      </c>
      <c r="U726" s="2" t="inlineStr"/>
    </row>
    <row r="727" ht="15" customHeight="1">
      <c r="A727" t="inlineStr">
        <is>
          <t>A 22147-2023</t>
        </is>
      </c>
      <c r="B727" t="inlineStr">
        <is>
          <t>avverkningsanmälan</t>
        </is>
      </c>
      <c r="C727" t="inlineStr">
        <is>
          <t>Föryngringsavverkning</t>
        </is>
      </c>
      <c r="D727" s="1" t="n">
        <v>45069</v>
      </c>
      <c r="E727" s="1" t="n">
        <v>46216</v>
      </c>
      <c r="F727" t="inlineStr">
        <is>
          <t>BLEKINGE LÄN</t>
        </is>
      </c>
      <c r="G727" t="inlineStr">
        <is>
          <t>KARLSKRONA</t>
        </is>
      </c>
      <c r="I727" t="n">
        <v>1.9</v>
      </c>
      <c r="J727" t="n">
        <v>0</v>
      </c>
      <c r="K727" t="n">
        <v>0</v>
      </c>
      <c r="L727" t="n">
        <v>0</v>
      </c>
      <c r="M727" t="n">
        <v>0</v>
      </c>
      <c r="N727" t="n">
        <v>0</v>
      </c>
      <c r="O727" t="n">
        <v>0</v>
      </c>
      <c r="P727" t="n">
        <v>0</v>
      </c>
      <c r="Q727" t="n">
        <v>0</v>
      </c>
      <c r="R727" t="n">
        <v>0</v>
      </c>
      <c r="S727" t="n">
        <v>0</v>
      </c>
      <c r="T727" t="n">
        <v>0</v>
      </c>
      <c r="U727" s="2" t="inlineStr"/>
    </row>
    <row r="728" ht="15" customHeight="1">
      <c r="A728" t="inlineStr">
        <is>
          <t>A 19544-2024</t>
        </is>
      </c>
      <c r="B728" t="inlineStr">
        <is>
          <t>avverkningsanmälan</t>
        </is>
      </c>
      <c r="C728" t="inlineStr">
        <is>
          <t>Föryngringsavverkning</t>
        </is>
      </c>
      <c r="D728" s="1" t="n">
        <v>45429</v>
      </c>
      <c r="E728" s="1" t="n">
        <v>46216</v>
      </c>
      <c r="F728" t="inlineStr">
        <is>
          <t>BLEKINGE LÄN</t>
        </is>
      </c>
      <c r="G728" t="inlineStr">
        <is>
          <t>KARLSHAMN</t>
        </is>
      </c>
      <c r="I728" t="n">
        <v>6.2</v>
      </c>
      <c r="J728" t="n">
        <v>0</v>
      </c>
      <c r="K728" t="n">
        <v>0</v>
      </c>
      <c r="L728" t="n">
        <v>0</v>
      </c>
      <c r="M728" t="n">
        <v>0</v>
      </c>
      <c r="N728" t="n">
        <v>0</v>
      </c>
      <c r="O728" t="n">
        <v>0</v>
      </c>
      <c r="P728" t="n">
        <v>0</v>
      </c>
      <c r="Q728" t="n">
        <v>0</v>
      </c>
      <c r="R728" t="n">
        <v>0</v>
      </c>
      <c r="S728" t="n">
        <v>0</v>
      </c>
      <c r="T728" t="n">
        <v>0</v>
      </c>
      <c r="U728" s="2" t="inlineStr"/>
    </row>
    <row r="729" ht="15" customHeight="1">
      <c r="A729" t="inlineStr">
        <is>
          <t>A 41565-2025</t>
        </is>
      </c>
      <c r="B729" t="inlineStr">
        <is>
          <t>avverkningsanmälan</t>
        </is>
      </c>
      <c r="C729" t="inlineStr">
        <is>
          <t>Föryngringsavverkning</t>
        </is>
      </c>
      <c r="D729" s="1" t="n">
        <v>45901</v>
      </c>
      <c r="E729" s="1" t="n">
        <v>46216</v>
      </c>
      <c r="F729" t="inlineStr">
        <is>
          <t>BLEKINGE LÄN</t>
        </is>
      </c>
      <c r="G729" t="inlineStr">
        <is>
          <t>SÖLVESBORG</t>
        </is>
      </c>
      <c r="I729" t="n">
        <v>3.9</v>
      </c>
      <c r="J729" t="n">
        <v>0</v>
      </c>
      <c r="K729" t="n">
        <v>0</v>
      </c>
      <c r="L729" t="n">
        <v>0</v>
      </c>
      <c r="M729" t="n">
        <v>0</v>
      </c>
      <c r="N729" t="n">
        <v>0</v>
      </c>
      <c r="O729" t="n">
        <v>0</v>
      </c>
      <c r="P729" t="n">
        <v>0</v>
      </c>
      <c r="Q729" t="n">
        <v>0</v>
      </c>
      <c r="R729" t="n">
        <v>0</v>
      </c>
      <c r="S729" t="n">
        <v>0</v>
      </c>
      <c r="T729" t="n">
        <v>0</v>
      </c>
      <c r="U729" s="2" t="inlineStr"/>
    </row>
    <row r="730" ht="15" customHeight="1">
      <c r="A730" t="inlineStr">
        <is>
          <t>A 17193-2024</t>
        </is>
      </c>
      <c r="B730" t="inlineStr">
        <is>
          <t>avverkningsanmälan</t>
        </is>
      </c>
      <c r="C730" t="inlineStr">
        <is>
          <t>Föryngringsavverkning</t>
        </is>
      </c>
      <c r="D730" s="1" t="n">
        <v>45413</v>
      </c>
      <c r="E730" s="1" t="n">
        <v>46216</v>
      </c>
      <c r="F730" t="inlineStr">
        <is>
          <t>BLEKINGE LÄN</t>
        </is>
      </c>
      <c r="G730" t="inlineStr">
        <is>
          <t>RONNEBY</t>
        </is>
      </c>
      <c r="I730" t="n">
        <v>3.1</v>
      </c>
      <c r="J730" t="n">
        <v>0</v>
      </c>
      <c r="K730" t="n">
        <v>0</v>
      </c>
      <c r="L730" t="n">
        <v>0</v>
      </c>
      <c r="M730" t="n">
        <v>0</v>
      </c>
      <c r="N730" t="n">
        <v>0</v>
      </c>
      <c r="O730" t="n">
        <v>0</v>
      </c>
      <c r="P730" t="n">
        <v>0</v>
      </c>
      <c r="Q730" t="n">
        <v>0</v>
      </c>
      <c r="R730" t="n">
        <v>0</v>
      </c>
      <c r="S730" t="n">
        <v>0</v>
      </c>
      <c r="T730" t="n">
        <v>0</v>
      </c>
      <c r="U730" s="2" t="inlineStr"/>
    </row>
    <row r="731" ht="15" customHeight="1">
      <c r="A731" t="inlineStr">
        <is>
          <t>A 41061-2025</t>
        </is>
      </c>
      <c r="B731" t="inlineStr">
        <is>
          <t>avverkningsanmälan</t>
        </is>
      </c>
      <c r="C731" t="inlineStr">
        <is>
          <t>Föryngringsavverkning</t>
        </is>
      </c>
      <c r="D731" s="1" t="n">
        <v>45898</v>
      </c>
      <c r="E731" s="1" t="n">
        <v>46216</v>
      </c>
      <c r="F731" t="inlineStr">
        <is>
          <t>BLEKINGE LÄN</t>
        </is>
      </c>
      <c r="G731" t="inlineStr">
        <is>
          <t>KARLSHAMN</t>
        </is>
      </c>
      <c r="H731" t="inlineStr">
        <is>
          <t>Sveaskog</t>
        </is>
      </c>
      <c r="I731" t="n">
        <v>3.6</v>
      </c>
      <c r="J731" t="n">
        <v>0</v>
      </c>
      <c r="K731" t="n">
        <v>0</v>
      </c>
      <c r="L731" t="n">
        <v>0</v>
      </c>
      <c r="M731" t="n">
        <v>0</v>
      </c>
      <c r="N731" t="n">
        <v>0</v>
      </c>
      <c r="O731" t="n">
        <v>0</v>
      </c>
      <c r="P731" t="n">
        <v>0</v>
      </c>
      <c r="Q731" t="n">
        <v>0</v>
      </c>
      <c r="R731" t="n">
        <v>0</v>
      </c>
      <c r="S731" t="n">
        <v>0</v>
      </c>
      <c r="T731" t="n">
        <v>0</v>
      </c>
      <c r="U731" s="2" t="inlineStr"/>
    </row>
    <row r="732" ht="15" customHeight="1">
      <c r="A732" t="inlineStr">
        <is>
          <t>A 41258-2025</t>
        </is>
      </c>
      <c r="B732" t="inlineStr">
        <is>
          <t>avverkningsanmälan</t>
        </is>
      </c>
      <c r="C732" t="inlineStr">
        <is>
          <t>Föryngringsavverkning</t>
        </is>
      </c>
      <c r="D732" s="1" t="n">
        <v>45898</v>
      </c>
      <c r="E732" s="1" t="n">
        <v>46216</v>
      </c>
      <c r="F732" t="inlineStr">
        <is>
          <t>BLEKINGE LÄN</t>
        </is>
      </c>
      <c r="G732" t="inlineStr">
        <is>
          <t>OLOFSTRÖM</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41313-2025</t>
        </is>
      </c>
      <c r="B733" t="inlineStr">
        <is>
          <t>avverkningsanmälan</t>
        </is>
      </c>
      <c r="C733" t="inlineStr">
        <is>
          <t>Föryngringsavverkning</t>
        </is>
      </c>
      <c r="D733" s="1" t="n">
        <v>45898</v>
      </c>
      <c r="E733" s="1" t="n">
        <v>46216</v>
      </c>
      <c r="F733" t="inlineStr">
        <is>
          <t>BLEKINGE LÄN</t>
        </is>
      </c>
      <c r="G733" t="inlineStr">
        <is>
          <t>KARLSHAMN</t>
        </is>
      </c>
      <c r="H733" t="inlineStr">
        <is>
          <t>Sveaskog</t>
        </is>
      </c>
      <c r="I733" t="n">
        <v>6.9</v>
      </c>
      <c r="J733" t="n">
        <v>0</v>
      </c>
      <c r="K733" t="n">
        <v>0</v>
      </c>
      <c r="L733" t="n">
        <v>0</v>
      </c>
      <c r="M733" t="n">
        <v>0</v>
      </c>
      <c r="N733" t="n">
        <v>0</v>
      </c>
      <c r="O733" t="n">
        <v>0</v>
      </c>
      <c r="P733" t="n">
        <v>0</v>
      </c>
      <c r="Q733" t="n">
        <v>0</v>
      </c>
      <c r="R733" t="n">
        <v>0</v>
      </c>
      <c r="S733" t="n">
        <v>0</v>
      </c>
      <c r="T733" t="n">
        <v>0</v>
      </c>
      <c r="U733" s="2" t="inlineStr"/>
    </row>
    <row r="734" ht="15" customHeight="1">
      <c r="A734" t="inlineStr">
        <is>
          <t>A 35695-2024</t>
        </is>
      </c>
      <c r="B734" t="inlineStr">
        <is>
          <t>avverkningsanmälan</t>
        </is>
      </c>
      <c r="C734" t="inlineStr">
        <is>
          <t>Föryngringsavverkning</t>
        </is>
      </c>
      <c r="D734" s="1" t="n">
        <v>45532</v>
      </c>
      <c r="E734" s="1" t="n">
        <v>46216</v>
      </c>
      <c r="F734" t="inlineStr">
        <is>
          <t>BLEKINGE LÄN</t>
        </is>
      </c>
      <c r="G734" t="inlineStr">
        <is>
          <t>KARLSKRONA</t>
        </is>
      </c>
      <c r="I734" t="n">
        <v>2.8</v>
      </c>
      <c r="J734" t="n">
        <v>0</v>
      </c>
      <c r="K734" t="n">
        <v>0</v>
      </c>
      <c r="L734" t="n">
        <v>0</v>
      </c>
      <c r="M734" t="n">
        <v>0</v>
      </c>
      <c r="N734" t="n">
        <v>0</v>
      </c>
      <c r="O734" t="n">
        <v>0</v>
      </c>
      <c r="P734" t="n">
        <v>0</v>
      </c>
      <c r="Q734" t="n">
        <v>0</v>
      </c>
      <c r="R734" t="n">
        <v>0</v>
      </c>
      <c r="S734" t="n">
        <v>0</v>
      </c>
      <c r="T734" t="n">
        <v>0</v>
      </c>
      <c r="U734" s="2" t="inlineStr"/>
    </row>
    <row r="735" ht="15" customHeight="1">
      <c r="A735" t="inlineStr">
        <is>
          <t>A 35696-2024</t>
        </is>
      </c>
      <c r="B735" t="inlineStr">
        <is>
          <t>avverkningsanmälan</t>
        </is>
      </c>
      <c r="C735" t="inlineStr">
        <is>
          <t>Föryngringsavverkning</t>
        </is>
      </c>
      <c r="D735" s="1" t="n">
        <v>45532</v>
      </c>
      <c r="E735" s="1" t="n">
        <v>46216</v>
      </c>
      <c r="F735" t="inlineStr">
        <is>
          <t>BLEKINGE LÄN</t>
        </is>
      </c>
      <c r="G735" t="inlineStr">
        <is>
          <t>KARLSKRONA</t>
        </is>
      </c>
      <c r="I735" t="n">
        <v>1.5</v>
      </c>
      <c r="J735" t="n">
        <v>0</v>
      </c>
      <c r="K735" t="n">
        <v>0</v>
      </c>
      <c r="L735" t="n">
        <v>0</v>
      </c>
      <c r="M735" t="n">
        <v>0</v>
      </c>
      <c r="N735" t="n">
        <v>0</v>
      </c>
      <c r="O735" t="n">
        <v>0</v>
      </c>
      <c r="P735" t="n">
        <v>0</v>
      </c>
      <c r="Q735" t="n">
        <v>0</v>
      </c>
      <c r="R735" t="n">
        <v>0</v>
      </c>
      <c r="S735" t="n">
        <v>0</v>
      </c>
      <c r="T735" t="n">
        <v>0</v>
      </c>
      <c r="U735" s="2" t="inlineStr"/>
    </row>
    <row r="736" ht="15" customHeight="1">
      <c r="A736" t="inlineStr">
        <is>
          <t>A 63450-2023</t>
        </is>
      </c>
      <c r="B736" t="inlineStr">
        <is>
          <t>avverkningsanmälan</t>
        </is>
      </c>
      <c r="C736" t="inlineStr">
        <is>
          <t>Föryngringsavverkning</t>
        </is>
      </c>
      <c r="D736" s="1" t="n">
        <v>45274</v>
      </c>
      <c r="E736" s="1" t="n">
        <v>46216</v>
      </c>
      <c r="F736" t="inlineStr">
        <is>
          <t>BLEKINGE LÄN</t>
        </is>
      </c>
      <c r="G736" t="inlineStr">
        <is>
          <t>OLOFSTRÖM</t>
        </is>
      </c>
      <c r="I736" t="n">
        <v>0.8</v>
      </c>
      <c r="J736" t="n">
        <v>0</v>
      </c>
      <c r="K736" t="n">
        <v>0</v>
      </c>
      <c r="L736" t="n">
        <v>0</v>
      </c>
      <c r="M736" t="n">
        <v>0</v>
      </c>
      <c r="N736" t="n">
        <v>0</v>
      </c>
      <c r="O736" t="n">
        <v>0</v>
      </c>
      <c r="P736" t="n">
        <v>0</v>
      </c>
      <c r="Q736" t="n">
        <v>0</v>
      </c>
      <c r="R736" t="n">
        <v>0</v>
      </c>
      <c r="S736" t="n">
        <v>0</v>
      </c>
      <c r="T736" t="n">
        <v>0</v>
      </c>
      <c r="U736" s="2" t="inlineStr"/>
    </row>
    <row r="737" ht="15" customHeight="1">
      <c r="A737" t="inlineStr">
        <is>
          <t>A 29409-2025</t>
        </is>
      </c>
      <c r="B737" t="inlineStr">
        <is>
          <t>avverkningsanmälan</t>
        </is>
      </c>
      <c r="C737" t="inlineStr">
        <is>
          <t>Föryngringsavverkning</t>
        </is>
      </c>
      <c r="D737" s="1" t="n">
        <v>45824</v>
      </c>
      <c r="E737" s="1" t="n">
        <v>46216</v>
      </c>
      <c r="F737" t="inlineStr">
        <is>
          <t>BLEKINGE LÄN</t>
        </is>
      </c>
      <c r="G737" t="inlineStr">
        <is>
          <t>KARLSHAMN</t>
        </is>
      </c>
      <c r="I737" t="n">
        <v>0.4</v>
      </c>
      <c r="J737" t="n">
        <v>0</v>
      </c>
      <c r="K737" t="n">
        <v>0</v>
      </c>
      <c r="L737" t="n">
        <v>0</v>
      </c>
      <c r="M737" t="n">
        <v>0</v>
      </c>
      <c r="N737" t="n">
        <v>0</v>
      </c>
      <c r="O737" t="n">
        <v>0</v>
      </c>
      <c r="P737" t="n">
        <v>0</v>
      </c>
      <c r="Q737" t="n">
        <v>0</v>
      </c>
      <c r="R737" t="n">
        <v>0</v>
      </c>
      <c r="S737" t="n">
        <v>0</v>
      </c>
      <c r="T737" t="n">
        <v>0</v>
      </c>
      <c r="U737" s="2" t="inlineStr"/>
    </row>
    <row r="738" ht="15" customHeight="1">
      <c r="A738" t="inlineStr">
        <is>
          <t>A 29396-2025</t>
        </is>
      </c>
      <c r="B738" t="inlineStr">
        <is>
          <t>avverkningsanmälan</t>
        </is>
      </c>
      <c r="C738" t="inlineStr">
        <is>
          <t>Föryngringsavverkning</t>
        </is>
      </c>
      <c r="D738" s="1" t="n">
        <v>45824</v>
      </c>
      <c r="E738" s="1" t="n">
        <v>46216</v>
      </c>
      <c r="F738" t="inlineStr">
        <is>
          <t>BLEKINGE LÄN</t>
        </is>
      </c>
      <c r="G738" t="inlineStr">
        <is>
          <t>KARLSHAMN</t>
        </is>
      </c>
      <c r="I738" t="n">
        <v>0.7</v>
      </c>
      <c r="J738" t="n">
        <v>0</v>
      </c>
      <c r="K738" t="n">
        <v>0</v>
      </c>
      <c r="L738" t="n">
        <v>0</v>
      </c>
      <c r="M738" t="n">
        <v>0</v>
      </c>
      <c r="N738" t="n">
        <v>0</v>
      </c>
      <c r="O738" t="n">
        <v>0</v>
      </c>
      <c r="P738" t="n">
        <v>0</v>
      </c>
      <c r="Q738" t="n">
        <v>0</v>
      </c>
      <c r="R738" t="n">
        <v>0</v>
      </c>
      <c r="S738" t="n">
        <v>0</v>
      </c>
      <c r="T738" t="n">
        <v>0</v>
      </c>
      <c r="U738" s="2" t="inlineStr"/>
    </row>
    <row r="739" ht="15" customHeight="1">
      <c r="A739" t="inlineStr">
        <is>
          <t>A 539-2024</t>
        </is>
      </c>
      <c r="B739" t="inlineStr">
        <is>
          <t>avverkningsanmälan</t>
        </is>
      </c>
      <c r="C739" t="inlineStr">
        <is>
          <t>Föryngringsavverkning</t>
        </is>
      </c>
      <c r="D739" s="1" t="n">
        <v>45299</v>
      </c>
      <c r="E739" s="1" t="n">
        <v>46216</v>
      </c>
      <c r="F739" t="inlineStr">
        <is>
          <t>BLEKINGE LÄN</t>
        </is>
      </c>
      <c r="G739" t="inlineStr">
        <is>
          <t>RONNEBY</t>
        </is>
      </c>
      <c r="I739" t="n">
        <v>2</v>
      </c>
      <c r="J739" t="n">
        <v>0</v>
      </c>
      <c r="K739" t="n">
        <v>0</v>
      </c>
      <c r="L739" t="n">
        <v>0</v>
      </c>
      <c r="M739" t="n">
        <v>0</v>
      </c>
      <c r="N739" t="n">
        <v>0</v>
      </c>
      <c r="O739" t="n">
        <v>0</v>
      </c>
      <c r="P739" t="n">
        <v>0</v>
      </c>
      <c r="Q739" t="n">
        <v>0</v>
      </c>
      <c r="R739" t="n">
        <v>0</v>
      </c>
      <c r="S739" t="n">
        <v>0</v>
      </c>
      <c r="T739" t="n">
        <v>0</v>
      </c>
      <c r="U739" s="2" t="inlineStr"/>
    </row>
    <row r="740" ht="15" customHeight="1">
      <c r="A740" t="inlineStr">
        <is>
          <t>A 50897-2023</t>
        </is>
      </c>
      <c r="B740" t="inlineStr">
        <is>
          <t>avverkningsanmälan</t>
        </is>
      </c>
      <c r="C740" t="inlineStr">
        <is>
          <t>Föryngringsavverkning</t>
        </is>
      </c>
      <c r="D740" s="1" t="n">
        <v>45218</v>
      </c>
      <c r="E740" s="1" t="n">
        <v>46216</v>
      </c>
      <c r="F740" t="inlineStr">
        <is>
          <t>BLEKINGE LÄN</t>
        </is>
      </c>
      <c r="G740" t="inlineStr">
        <is>
          <t>KARLSKRONA</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38005-2024</t>
        </is>
      </c>
      <c r="B741" t="inlineStr">
        <is>
          <t>avverkningsanmälan</t>
        </is>
      </c>
      <c r="C741" t="inlineStr">
        <is>
          <t>Föryngringsavverkning</t>
        </is>
      </c>
      <c r="D741" s="1" t="n">
        <v>45544</v>
      </c>
      <c r="E741" s="1" t="n">
        <v>46216</v>
      </c>
      <c r="F741" t="inlineStr">
        <is>
          <t>BLEKINGE LÄN</t>
        </is>
      </c>
      <c r="G741" t="inlineStr">
        <is>
          <t>OLOFSTRÖM</t>
        </is>
      </c>
      <c r="I741" t="n">
        <v>0.7</v>
      </c>
      <c r="J741" t="n">
        <v>0</v>
      </c>
      <c r="K741" t="n">
        <v>0</v>
      </c>
      <c r="L741" t="n">
        <v>0</v>
      </c>
      <c r="M741" t="n">
        <v>0</v>
      </c>
      <c r="N741" t="n">
        <v>0</v>
      </c>
      <c r="O741" t="n">
        <v>0</v>
      </c>
      <c r="P741" t="n">
        <v>0</v>
      </c>
      <c r="Q741" t="n">
        <v>0</v>
      </c>
      <c r="R741" t="n">
        <v>0</v>
      </c>
      <c r="S741" t="n">
        <v>0</v>
      </c>
      <c r="T741" t="n">
        <v>0</v>
      </c>
      <c r="U741" s="2" t="inlineStr"/>
    </row>
    <row r="742" ht="15" customHeight="1">
      <c r="A742" t="inlineStr">
        <is>
          <t>A 45011-2024</t>
        </is>
      </c>
      <c r="B742" t="inlineStr">
        <is>
          <t>avverkningsanmälan</t>
        </is>
      </c>
      <c r="C742" t="inlineStr">
        <is>
          <t>Föryngringsavverkning</t>
        </is>
      </c>
      <c r="D742" s="1" t="n">
        <v>45575</v>
      </c>
      <c r="E742" s="1" t="n">
        <v>46216</v>
      </c>
      <c r="F742" t="inlineStr">
        <is>
          <t>BLEKINGE LÄN</t>
        </is>
      </c>
      <c r="G742" t="inlineStr">
        <is>
          <t>OLOFSTRÖM</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41748-2025</t>
        </is>
      </c>
      <c r="B743" t="inlineStr">
        <is>
          <t>avverkningsanmälan</t>
        </is>
      </c>
      <c r="C743" t="inlineStr">
        <is>
          <t>Föryngringsavverkning</t>
        </is>
      </c>
      <c r="D743" s="1" t="n">
        <v>45902</v>
      </c>
      <c r="E743" s="1" t="n">
        <v>46216</v>
      </c>
      <c r="F743" t="inlineStr">
        <is>
          <t>BLEKINGE LÄN</t>
        </is>
      </c>
      <c r="G743" t="inlineStr">
        <is>
          <t>OLOFSTRÖM</t>
        </is>
      </c>
      <c r="I743" t="n">
        <v>2.3</v>
      </c>
      <c r="J743" t="n">
        <v>0</v>
      </c>
      <c r="K743" t="n">
        <v>0</v>
      </c>
      <c r="L743" t="n">
        <v>0</v>
      </c>
      <c r="M743" t="n">
        <v>0</v>
      </c>
      <c r="N743" t="n">
        <v>0</v>
      </c>
      <c r="O743" t="n">
        <v>0</v>
      </c>
      <c r="P743" t="n">
        <v>0</v>
      </c>
      <c r="Q743" t="n">
        <v>0</v>
      </c>
      <c r="R743" t="n">
        <v>0</v>
      </c>
      <c r="S743" t="n">
        <v>0</v>
      </c>
      <c r="T743" t="n">
        <v>0</v>
      </c>
      <c r="U743" s="2" t="inlineStr"/>
    </row>
    <row r="744" ht="15" customHeight="1">
      <c r="A744" t="inlineStr">
        <is>
          <t>A 41752-2025</t>
        </is>
      </c>
      <c r="B744" t="inlineStr">
        <is>
          <t>avverkningsanmälan</t>
        </is>
      </c>
      <c r="C744" t="inlineStr">
        <is>
          <t>Föryngringsavverkning</t>
        </is>
      </c>
      <c r="D744" s="1" t="n">
        <v>45902</v>
      </c>
      <c r="E744" s="1" t="n">
        <v>46216</v>
      </c>
      <c r="F744" t="inlineStr">
        <is>
          <t>BLEKINGE LÄN</t>
        </is>
      </c>
      <c r="G744" t="inlineStr">
        <is>
          <t>OLOFSTRÖM</t>
        </is>
      </c>
      <c r="I744" t="n">
        <v>0.8</v>
      </c>
      <c r="J744" t="n">
        <v>0</v>
      </c>
      <c r="K744" t="n">
        <v>0</v>
      </c>
      <c r="L744" t="n">
        <v>0</v>
      </c>
      <c r="M744" t="n">
        <v>0</v>
      </c>
      <c r="N744" t="n">
        <v>0</v>
      </c>
      <c r="O744" t="n">
        <v>0</v>
      </c>
      <c r="P744" t="n">
        <v>0</v>
      </c>
      <c r="Q744" t="n">
        <v>0</v>
      </c>
      <c r="R744" t="n">
        <v>0</v>
      </c>
      <c r="S744" t="n">
        <v>0</v>
      </c>
      <c r="T744" t="n">
        <v>0</v>
      </c>
      <c r="U744" s="2" t="inlineStr"/>
    </row>
    <row r="745" ht="15" customHeight="1">
      <c r="A745" t="inlineStr">
        <is>
          <t>A 36597-2025</t>
        </is>
      </c>
      <c r="B745" t="inlineStr">
        <is>
          <t>avverkningsanmälan</t>
        </is>
      </c>
      <c r="C745" t="inlineStr">
        <is>
          <t>Föryngringsavverkning</t>
        </is>
      </c>
      <c r="D745" s="1" t="n">
        <v>45870</v>
      </c>
      <c r="E745" s="1" t="n">
        <v>46216</v>
      </c>
      <c r="F745" t="inlineStr">
        <is>
          <t>BLEKINGE LÄN</t>
        </is>
      </c>
      <c r="G745" t="inlineStr">
        <is>
          <t>KARLSHAMN</t>
        </is>
      </c>
      <c r="I745" t="n">
        <v>2.3</v>
      </c>
      <c r="J745" t="n">
        <v>0</v>
      </c>
      <c r="K745" t="n">
        <v>0</v>
      </c>
      <c r="L745" t="n">
        <v>0</v>
      </c>
      <c r="M745" t="n">
        <v>0</v>
      </c>
      <c r="N745" t="n">
        <v>0</v>
      </c>
      <c r="O745" t="n">
        <v>0</v>
      </c>
      <c r="P745" t="n">
        <v>0</v>
      </c>
      <c r="Q745" t="n">
        <v>0</v>
      </c>
      <c r="R745" t="n">
        <v>0</v>
      </c>
      <c r="S745" t="n">
        <v>0</v>
      </c>
      <c r="T745" t="n">
        <v>0</v>
      </c>
      <c r="U745" s="2" t="inlineStr"/>
    </row>
    <row r="746" ht="15" customHeight="1">
      <c r="A746" t="inlineStr">
        <is>
          <t>A 30227-2025</t>
        </is>
      </c>
      <c r="B746" t="inlineStr">
        <is>
          <t>avverkningsanmälan</t>
        </is>
      </c>
      <c r="C746" t="inlineStr">
        <is>
          <t>Föryngringsavverkning</t>
        </is>
      </c>
      <c r="D746" s="1" t="n">
        <v>45827</v>
      </c>
      <c r="E746" s="1" t="n">
        <v>46216</v>
      </c>
      <c r="F746" t="inlineStr">
        <is>
          <t>BLEKINGE LÄN</t>
        </is>
      </c>
      <c r="G746" t="inlineStr">
        <is>
          <t>RONNEBY</t>
        </is>
      </c>
      <c r="H746" t="inlineStr">
        <is>
          <t>Övriga Aktiebolag</t>
        </is>
      </c>
      <c r="I746" t="n">
        <v>3.2</v>
      </c>
      <c r="J746" t="n">
        <v>0</v>
      </c>
      <c r="K746" t="n">
        <v>0</v>
      </c>
      <c r="L746" t="n">
        <v>0</v>
      </c>
      <c r="M746" t="n">
        <v>0</v>
      </c>
      <c r="N746" t="n">
        <v>0</v>
      </c>
      <c r="O746" t="n">
        <v>0</v>
      </c>
      <c r="P746" t="n">
        <v>0</v>
      </c>
      <c r="Q746" t="n">
        <v>0</v>
      </c>
      <c r="R746" t="n">
        <v>0</v>
      </c>
      <c r="S746" t="n">
        <v>0</v>
      </c>
      <c r="T746" t="n">
        <v>0</v>
      </c>
      <c r="U746" s="2" t="inlineStr"/>
    </row>
    <row r="747" ht="15" customHeight="1">
      <c r="A747" t="inlineStr">
        <is>
          <t>A 26406-2025</t>
        </is>
      </c>
      <c r="B747" t="inlineStr">
        <is>
          <t>avverkningsanmälan</t>
        </is>
      </c>
      <c r="C747" t="inlineStr">
        <is>
          <t>Föryngringsavverkning</t>
        </is>
      </c>
      <c r="D747" s="1" t="n">
        <v>45807</v>
      </c>
      <c r="E747" s="1" t="n">
        <v>46216</v>
      </c>
      <c r="F747" t="inlineStr">
        <is>
          <t>BLEKINGE LÄN</t>
        </is>
      </c>
      <c r="G747" t="inlineStr">
        <is>
          <t>RONNEBY</t>
        </is>
      </c>
      <c r="I747" t="n">
        <v>1.7</v>
      </c>
      <c r="J747" t="n">
        <v>0</v>
      </c>
      <c r="K747" t="n">
        <v>0</v>
      </c>
      <c r="L747" t="n">
        <v>0</v>
      </c>
      <c r="M747" t="n">
        <v>0</v>
      </c>
      <c r="N747" t="n">
        <v>0</v>
      </c>
      <c r="O747" t="n">
        <v>0</v>
      </c>
      <c r="P747" t="n">
        <v>0</v>
      </c>
      <c r="Q747" t="n">
        <v>0</v>
      </c>
      <c r="R747" t="n">
        <v>0</v>
      </c>
      <c r="S747" t="n">
        <v>0</v>
      </c>
      <c r="T747" t="n">
        <v>0</v>
      </c>
      <c r="U747" s="2" t="inlineStr"/>
    </row>
    <row r="748" ht="15" customHeight="1">
      <c r="A748" t="inlineStr">
        <is>
          <t>A 29551-2022</t>
        </is>
      </c>
      <c r="B748" t="inlineStr">
        <is>
          <t>avverkningsanmälan</t>
        </is>
      </c>
      <c r="C748" t="inlineStr">
        <is>
          <t>Föryngringsavverkning</t>
        </is>
      </c>
      <c r="D748" s="1" t="n">
        <v>44754</v>
      </c>
      <c r="E748" s="1" t="n">
        <v>46216</v>
      </c>
      <c r="F748" t="inlineStr">
        <is>
          <t>BLEKINGE LÄN</t>
        </is>
      </c>
      <c r="G748" t="inlineStr">
        <is>
          <t>RONNEBY</t>
        </is>
      </c>
      <c r="I748" t="n">
        <v>1.1</v>
      </c>
      <c r="J748" t="n">
        <v>0</v>
      </c>
      <c r="K748" t="n">
        <v>0</v>
      </c>
      <c r="L748" t="n">
        <v>0</v>
      </c>
      <c r="M748" t="n">
        <v>0</v>
      </c>
      <c r="N748" t="n">
        <v>0</v>
      </c>
      <c r="O748" t="n">
        <v>0</v>
      </c>
      <c r="P748" t="n">
        <v>0</v>
      </c>
      <c r="Q748" t="n">
        <v>0</v>
      </c>
      <c r="R748" t="n">
        <v>0</v>
      </c>
      <c r="S748" t="n">
        <v>0</v>
      </c>
      <c r="T748" t="n">
        <v>0</v>
      </c>
      <c r="U748" s="2" t="inlineStr"/>
    </row>
    <row r="749" ht="15" customHeight="1">
      <c r="A749" t="inlineStr">
        <is>
          <t>A 29935-2025</t>
        </is>
      </c>
      <c r="B749" t="inlineStr">
        <is>
          <t>avverkningsanmälan</t>
        </is>
      </c>
      <c r="C749" t="inlineStr">
        <is>
          <t>Föryngringsavverkning</t>
        </is>
      </c>
      <c r="D749" s="1" t="n">
        <v>45826</v>
      </c>
      <c r="E749" s="1" t="n">
        <v>46216</v>
      </c>
      <c r="F749" t="inlineStr">
        <is>
          <t>BLEKINGE LÄN</t>
        </is>
      </c>
      <c r="G749" t="inlineStr">
        <is>
          <t>KARLSKRONA</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41054-2023</t>
        </is>
      </c>
      <c r="B750" t="inlineStr">
        <is>
          <t>avverkningsanmälan</t>
        </is>
      </c>
      <c r="C750" t="inlineStr">
        <is>
          <t>Föryngringsavverkning</t>
        </is>
      </c>
      <c r="D750" s="1" t="n">
        <v>45169</v>
      </c>
      <c r="E750" s="1" t="n">
        <v>46216</v>
      </c>
      <c r="F750" t="inlineStr">
        <is>
          <t>BLEKINGE LÄN</t>
        </is>
      </c>
      <c r="G750" t="inlineStr">
        <is>
          <t>RONNEBY</t>
        </is>
      </c>
      <c r="I750" t="n">
        <v>1.3</v>
      </c>
      <c r="J750" t="n">
        <v>0</v>
      </c>
      <c r="K750" t="n">
        <v>0</v>
      </c>
      <c r="L750" t="n">
        <v>0</v>
      </c>
      <c r="M750" t="n">
        <v>0</v>
      </c>
      <c r="N750" t="n">
        <v>0</v>
      </c>
      <c r="O750" t="n">
        <v>0</v>
      </c>
      <c r="P750" t="n">
        <v>0</v>
      </c>
      <c r="Q750" t="n">
        <v>0</v>
      </c>
      <c r="R750" t="n">
        <v>0</v>
      </c>
      <c r="S750" t="n">
        <v>0</v>
      </c>
      <c r="T750" t="n">
        <v>0</v>
      </c>
      <c r="U750" s="2" t="inlineStr"/>
    </row>
    <row r="751" ht="15" customHeight="1">
      <c r="A751" t="inlineStr">
        <is>
          <t>A 54856-2022</t>
        </is>
      </c>
      <c r="B751" t="inlineStr">
        <is>
          <t>avverkningsanmälan</t>
        </is>
      </c>
      <c r="C751" t="inlineStr">
        <is>
          <t>Föryngringsavverkning</t>
        </is>
      </c>
      <c r="D751" s="1" t="n">
        <v>44884</v>
      </c>
      <c r="E751" s="1" t="n">
        <v>46216</v>
      </c>
      <c r="F751" t="inlineStr">
        <is>
          <t>BLEKINGE LÄN</t>
        </is>
      </c>
      <c r="G751" t="inlineStr">
        <is>
          <t>RONNEBY</t>
        </is>
      </c>
      <c r="I751" t="n">
        <v>1.6</v>
      </c>
      <c r="J751" t="n">
        <v>0</v>
      </c>
      <c r="K751" t="n">
        <v>0</v>
      </c>
      <c r="L751" t="n">
        <v>0</v>
      </c>
      <c r="M751" t="n">
        <v>0</v>
      </c>
      <c r="N751" t="n">
        <v>0</v>
      </c>
      <c r="O751" t="n">
        <v>0</v>
      </c>
      <c r="P751" t="n">
        <v>0</v>
      </c>
      <c r="Q751" t="n">
        <v>0</v>
      </c>
      <c r="R751" t="n">
        <v>0</v>
      </c>
      <c r="S751" t="n">
        <v>0</v>
      </c>
      <c r="T751" t="n">
        <v>0</v>
      </c>
      <c r="U751" s="2" t="inlineStr"/>
    </row>
    <row r="752" ht="15" customHeight="1">
      <c r="A752" t="inlineStr">
        <is>
          <t>A 20408-2025</t>
        </is>
      </c>
      <c r="B752" t="inlineStr">
        <is>
          <t>avverkningsanmälan</t>
        </is>
      </c>
      <c r="C752" t="inlineStr">
        <is>
          <t>Föryngringsavverkning</t>
        </is>
      </c>
      <c r="D752" s="1" t="n">
        <v>45775</v>
      </c>
      <c r="E752" s="1" t="n">
        <v>46216</v>
      </c>
      <c r="F752" t="inlineStr">
        <is>
          <t>BLEKINGE LÄN</t>
        </is>
      </c>
      <c r="G752" t="inlineStr">
        <is>
          <t>OLOFSTRÖM</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30205-2025</t>
        </is>
      </c>
      <c r="B753" t="inlineStr">
        <is>
          <t>avverkningsanmälan</t>
        </is>
      </c>
      <c r="C753" t="inlineStr">
        <is>
          <t>Föryngringsavverkning</t>
        </is>
      </c>
      <c r="D753" s="1" t="n">
        <v>45827</v>
      </c>
      <c r="E753" s="1" t="n">
        <v>46216</v>
      </c>
      <c r="F753" t="inlineStr">
        <is>
          <t>BLEKINGE LÄN</t>
        </is>
      </c>
      <c r="G753" t="inlineStr">
        <is>
          <t>OLOFSTRÖM</t>
        </is>
      </c>
      <c r="I753" t="n">
        <v>4.7</v>
      </c>
      <c r="J753" t="n">
        <v>0</v>
      </c>
      <c r="K753" t="n">
        <v>0</v>
      </c>
      <c r="L753" t="n">
        <v>0</v>
      </c>
      <c r="M753" t="n">
        <v>0</v>
      </c>
      <c r="N753" t="n">
        <v>0</v>
      </c>
      <c r="O753" t="n">
        <v>0</v>
      </c>
      <c r="P753" t="n">
        <v>0</v>
      </c>
      <c r="Q753" t="n">
        <v>0</v>
      </c>
      <c r="R753" t="n">
        <v>0</v>
      </c>
      <c r="S753" t="n">
        <v>0</v>
      </c>
      <c r="T753" t="n">
        <v>0</v>
      </c>
      <c r="U753" s="2" t="inlineStr"/>
    </row>
    <row r="754" ht="15" customHeight="1">
      <c r="A754" t="inlineStr">
        <is>
          <t>A 37558-2022</t>
        </is>
      </c>
      <c r="B754" t="inlineStr">
        <is>
          <t>avverkningsanmälan</t>
        </is>
      </c>
      <c r="C754" t="inlineStr">
        <is>
          <t>Föryngringsavverkning</t>
        </is>
      </c>
      <c r="D754" s="1" t="n">
        <v>44809</v>
      </c>
      <c r="E754" s="1" t="n">
        <v>46216</v>
      </c>
      <c r="F754" t="inlineStr">
        <is>
          <t>BLEKINGE LÄN</t>
        </is>
      </c>
      <c r="G754" t="inlineStr">
        <is>
          <t>OLOFSTRÖM</t>
        </is>
      </c>
      <c r="I754" t="n">
        <v>1.5</v>
      </c>
      <c r="J754" t="n">
        <v>0</v>
      </c>
      <c r="K754" t="n">
        <v>0</v>
      </c>
      <c r="L754" t="n">
        <v>0</v>
      </c>
      <c r="M754" t="n">
        <v>0</v>
      </c>
      <c r="N754" t="n">
        <v>0</v>
      </c>
      <c r="O754" t="n">
        <v>0</v>
      </c>
      <c r="P754" t="n">
        <v>0</v>
      </c>
      <c r="Q754" t="n">
        <v>0</v>
      </c>
      <c r="R754" t="n">
        <v>0</v>
      </c>
      <c r="S754" t="n">
        <v>0</v>
      </c>
      <c r="T754" t="n">
        <v>0</v>
      </c>
      <c r="U754" s="2" t="inlineStr"/>
    </row>
    <row r="755" ht="15" customHeight="1">
      <c r="A755" t="inlineStr">
        <is>
          <t>A 30398-2025</t>
        </is>
      </c>
      <c r="B755" t="inlineStr">
        <is>
          <t>avverkningsanmälan</t>
        </is>
      </c>
      <c r="C755" t="inlineStr">
        <is>
          <t>Föryngringsavverkning</t>
        </is>
      </c>
      <c r="D755" s="1" t="n">
        <v>45827</v>
      </c>
      <c r="E755" s="1" t="n">
        <v>46216</v>
      </c>
      <c r="F755" t="inlineStr">
        <is>
          <t>BLEKINGE LÄN</t>
        </is>
      </c>
      <c r="G755" t="inlineStr">
        <is>
          <t>RONNEBY</t>
        </is>
      </c>
      <c r="H755" t="inlineStr">
        <is>
          <t>Övriga Aktiebolag</t>
        </is>
      </c>
      <c r="I755" t="n">
        <v>2.6</v>
      </c>
      <c r="J755" t="n">
        <v>0</v>
      </c>
      <c r="K755" t="n">
        <v>0</v>
      </c>
      <c r="L755" t="n">
        <v>0</v>
      </c>
      <c r="M755" t="n">
        <v>0</v>
      </c>
      <c r="N755" t="n">
        <v>0</v>
      </c>
      <c r="O755" t="n">
        <v>0</v>
      </c>
      <c r="P755" t="n">
        <v>0</v>
      </c>
      <c r="Q755" t="n">
        <v>0</v>
      </c>
      <c r="R755" t="n">
        <v>0</v>
      </c>
      <c r="S755" t="n">
        <v>0</v>
      </c>
      <c r="T755" t="n">
        <v>0</v>
      </c>
      <c r="U755" s="2" t="inlineStr"/>
    </row>
    <row r="756" ht="15" customHeight="1">
      <c r="A756" t="inlineStr">
        <is>
          <t>A 4654-2025</t>
        </is>
      </c>
      <c r="B756" t="inlineStr">
        <is>
          <t>avverkningsanmälan</t>
        </is>
      </c>
      <c r="C756" t="inlineStr">
        <is>
          <t>Föryngringsavverkning</t>
        </is>
      </c>
      <c r="D756" s="1" t="n">
        <v>45687</v>
      </c>
      <c r="E756" s="1" t="n">
        <v>46216</v>
      </c>
      <c r="F756" t="inlineStr">
        <is>
          <t>BLEKINGE LÄN</t>
        </is>
      </c>
      <c r="G756" t="inlineStr">
        <is>
          <t>KARLSHAMN</t>
        </is>
      </c>
      <c r="I756" t="n">
        <v>4.3</v>
      </c>
      <c r="J756" t="n">
        <v>0</v>
      </c>
      <c r="K756" t="n">
        <v>0</v>
      </c>
      <c r="L756" t="n">
        <v>0</v>
      </c>
      <c r="M756" t="n">
        <v>0</v>
      </c>
      <c r="N756" t="n">
        <v>0</v>
      </c>
      <c r="O756" t="n">
        <v>0</v>
      </c>
      <c r="P756" t="n">
        <v>0</v>
      </c>
      <c r="Q756" t="n">
        <v>0</v>
      </c>
      <c r="R756" t="n">
        <v>0</v>
      </c>
      <c r="S756" t="n">
        <v>0</v>
      </c>
      <c r="T756" t="n">
        <v>0</v>
      </c>
      <c r="U756" s="2" t="inlineStr"/>
    </row>
    <row r="757" ht="15" customHeight="1">
      <c r="A757" t="inlineStr">
        <is>
          <t>A 8327-2023</t>
        </is>
      </c>
      <c r="B757" t="inlineStr">
        <is>
          <t>avverkningsanmälan</t>
        </is>
      </c>
      <c r="C757" t="inlineStr">
        <is>
          <t>Föryngringsavverkning</t>
        </is>
      </c>
      <c r="D757" s="1" t="n">
        <v>44974</v>
      </c>
      <c r="E757" s="1" t="n">
        <v>46216</v>
      </c>
      <c r="F757" t="inlineStr">
        <is>
          <t>BLEKINGE LÄN</t>
        </is>
      </c>
      <c r="G757" t="inlineStr">
        <is>
          <t>KARLSKRONA</t>
        </is>
      </c>
      <c r="I757" t="n">
        <v>4.8</v>
      </c>
      <c r="J757" t="n">
        <v>0</v>
      </c>
      <c r="K757" t="n">
        <v>0</v>
      </c>
      <c r="L757" t="n">
        <v>0</v>
      </c>
      <c r="M757" t="n">
        <v>0</v>
      </c>
      <c r="N757" t="n">
        <v>0</v>
      </c>
      <c r="O757" t="n">
        <v>0</v>
      </c>
      <c r="P757" t="n">
        <v>0</v>
      </c>
      <c r="Q757" t="n">
        <v>0</v>
      </c>
      <c r="R757" t="n">
        <v>0</v>
      </c>
      <c r="S757" t="n">
        <v>0</v>
      </c>
      <c r="T757" t="n">
        <v>0</v>
      </c>
      <c r="U757" s="2" t="inlineStr"/>
    </row>
    <row r="758" ht="15" customHeight="1">
      <c r="A758" t="inlineStr">
        <is>
          <t>A 42091-2025</t>
        </is>
      </c>
      <c r="B758" t="inlineStr">
        <is>
          <t>avverkningsanmälan</t>
        </is>
      </c>
      <c r="C758" t="inlineStr">
        <is>
          <t>Föryngringsavverkning</t>
        </is>
      </c>
      <c r="D758" s="1" t="n">
        <v>45903</v>
      </c>
      <c r="E758" s="1" t="n">
        <v>46216</v>
      </c>
      <c r="F758" t="inlineStr">
        <is>
          <t>BLEKINGE LÄN</t>
        </is>
      </c>
      <c r="G758" t="inlineStr">
        <is>
          <t>OLOFSTRÖM</t>
        </is>
      </c>
      <c r="I758" t="n">
        <v>4.7</v>
      </c>
      <c r="J758" t="n">
        <v>0</v>
      </c>
      <c r="K758" t="n">
        <v>0</v>
      </c>
      <c r="L758" t="n">
        <v>0</v>
      </c>
      <c r="M758" t="n">
        <v>0</v>
      </c>
      <c r="N758" t="n">
        <v>0</v>
      </c>
      <c r="O758" t="n">
        <v>0</v>
      </c>
      <c r="P758" t="n">
        <v>0</v>
      </c>
      <c r="Q758" t="n">
        <v>0</v>
      </c>
      <c r="R758" t="n">
        <v>0</v>
      </c>
      <c r="S758" t="n">
        <v>0</v>
      </c>
      <c r="T758" t="n">
        <v>0</v>
      </c>
      <c r="U758" s="2" t="inlineStr"/>
    </row>
    <row r="759" ht="15" customHeight="1">
      <c r="A759" t="inlineStr">
        <is>
          <t>A 50354-2024</t>
        </is>
      </c>
      <c r="B759" t="inlineStr">
        <is>
          <t>avverkningsanmälan</t>
        </is>
      </c>
      <c r="C759" t="inlineStr">
        <is>
          <t>Föryngringsavverkning</t>
        </is>
      </c>
      <c r="D759" s="1" t="n">
        <v>45600</v>
      </c>
      <c r="E759" s="1" t="n">
        <v>46216</v>
      </c>
      <c r="F759" t="inlineStr">
        <is>
          <t>BLEKINGE LÄN</t>
        </is>
      </c>
      <c r="G759" t="inlineStr">
        <is>
          <t>KARLSKRONA</t>
        </is>
      </c>
      <c r="I759" t="n">
        <v>2.2</v>
      </c>
      <c r="J759" t="n">
        <v>0</v>
      </c>
      <c r="K759" t="n">
        <v>0</v>
      </c>
      <c r="L759" t="n">
        <v>0</v>
      </c>
      <c r="M759" t="n">
        <v>0</v>
      </c>
      <c r="N759" t="n">
        <v>0</v>
      </c>
      <c r="O759" t="n">
        <v>0</v>
      </c>
      <c r="P759" t="n">
        <v>0</v>
      </c>
      <c r="Q759" t="n">
        <v>0</v>
      </c>
      <c r="R759" t="n">
        <v>0</v>
      </c>
      <c r="S759" t="n">
        <v>0</v>
      </c>
      <c r="T759" t="n">
        <v>0</v>
      </c>
      <c r="U759" s="2" t="inlineStr"/>
    </row>
    <row r="760" ht="15" customHeight="1">
      <c r="A760" t="inlineStr">
        <is>
          <t>A 57328-2023</t>
        </is>
      </c>
      <c r="B760" t="inlineStr">
        <is>
          <t>avverkningsanmälan</t>
        </is>
      </c>
      <c r="C760" t="inlineStr">
        <is>
          <t>Föryngringsavverkning</t>
        </is>
      </c>
      <c r="D760" s="1" t="n">
        <v>45245</v>
      </c>
      <c r="E760" s="1" t="n">
        <v>46216</v>
      </c>
      <c r="F760" t="inlineStr">
        <is>
          <t>BLEKINGE LÄN</t>
        </is>
      </c>
      <c r="G760" t="inlineStr">
        <is>
          <t>KARLSKRONA</t>
        </is>
      </c>
      <c r="I760" t="n">
        <v>1.2</v>
      </c>
      <c r="J760" t="n">
        <v>0</v>
      </c>
      <c r="K760" t="n">
        <v>0</v>
      </c>
      <c r="L760" t="n">
        <v>0</v>
      </c>
      <c r="M760" t="n">
        <v>0</v>
      </c>
      <c r="N760" t="n">
        <v>0</v>
      </c>
      <c r="O760" t="n">
        <v>0</v>
      </c>
      <c r="P760" t="n">
        <v>0</v>
      </c>
      <c r="Q760" t="n">
        <v>0</v>
      </c>
      <c r="R760" t="n">
        <v>0</v>
      </c>
      <c r="S760" t="n">
        <v>0</v>
      </c>
      <c r="T760" t="n">
        <v>0</v>
      </c>
      <c r="U760" s="2" t="inlineStr"/>
    </row>
    <row r="761" ht="15" customHeight="1">
      <c r="A761" t="inlineStr">
        <is>
          <t>A 53194-2023</t>
        </is>
      </c>
      <c r="B761" t="inlineStr">
        <is>
          <t>avverkningsanmälan</t>
        </is>
      </c>
      <c r="C761" t="inlineStr">
        <is>
          <t>Föryngringsavverkning</t>
        </is>
      </c>
      <c r="D761" s="1" t="n">
        <v>45229</v>
      </c>
      <c r="E761" s="1" t="n">
        <v>46216</v>
      </c>
      <c r="F761" t="inlineStr">
        <is>
          <t>BLEKINGE LÄN</t>
        </is>
      </c>
      <c r="G761" t="inlineStr">
        <is>
          <t>KARLSHAMN</t>
        </is>
      </c>
      <c r="I761" t="n">
        <v>0.8</v>
      </c>
      <c r="J761" t="n">
        <v>0</v>
      </c>
      <c r="K761" t="n">
        <v>0</v>
      </c>
      <c r="L761" t="n">
        <v>0</v>
      </c>
      <c r="M761" t="n">
        <v>0</v>
      </c>
      <c r="N761" t="n">
        <v>0</v>
      </c>
      <c r="O761" t="n">
        <v>0</v>
      </c>
      <c r="P761" t="n">
        <v>0</v>
      </c>
      <c r="Q761" t="n">
        <v>0</v>
      </c>
      <c r="R761" t="n">
        <v>0</v>
      </c>
      <c r="S761" t="n">
        <v>0</v>
      </c>
      <c r="T761" t="n">
        <v>0</v>
      </c>
      <c r="U761" s="2" t="inlineStr"/>
    </row>
    <row r="762" ht="15" customHeight="1">
      <c r="A762" t="inlineStr">
        <is>
          <t>A 29818-2025</t>
        </is>
      </c>
      <c r="B762" t="inlineStr">
        <is>
          <t>avverkningsanmälan</t>
        </is>
      </c>
      <c r="C762" t="inlineStr">
        <is>
          <t>Föryngringsavverkning</t>
        </is>
      </c>
      <c r="D762" s="1" t="n">
        <v>45825</v>
      </c>
      <c r="E762" s="1" t="n">
        <v>46216</v>
      </c>
      <c r="F762" t="inlineStr">
        <is>
          <t>BLEKINGE LÄN</t>
        </is>
      </c>
      <c r="G762" t="inlineStr">
        <is>
          <t>RONNEBY</t>
        </is>
      </c>
      <c r="I762" t="n">
        <v>6.4</v>
      </c>
      <c r="J762" t="n">
        <v>0</v>
      </c>
      <c r="K762" t="n">
        <v>0</v>
      </c>
      <c r="L762" t="n">
        <v>0</v>
      </c>
      <c r="M762" t="n">
        <v>0</v>
      </c>
      <c r="N762" t="n">
        <v>0</v>
      </c>
      <c r="O762" t="n">
        <v>0</v>
      </c>
      <c r="P762" t="n">
        <v>0</v>
      </c>
      <c r="Q762" t="n">
        <v>0</v>
      </c>
      <c r="R762" t="n">
        <v>0</v>
      </c>
      <c r="S762" t="n">
        <v>0</v>
      </c>
      <c r="T762" t="n">
        <v>0</v>
      </c>
      <c r="U762" s="2" t="inlineStr"/>
    </row>
    <row r="763" ht="15" customHeight="1">
      <c r="A763" t="inlineStr">
        <is>
          <t>A 48013-2023</t>
        </is>
      </c>
      <c r="B763" t="inlineStr">
        <is>
          <t>avverkningsanmälan</t>
        </is>
      </c>
      <c r="C763" t="inlineStr">
        <is>
          <t>Föryngringsavverkning</t>
        </is>
      </c>
      <c r="D763" s="1" t="n">
        <v>45204</v>
      </c>
      <c r="E763" s="1" t="n">
        <v>46216</v>
      </c>
      <c r="F763" t="inlineStr">
        <is>
          <t>BLEKINGE LÄN</t>
        </is>
      </c>
      <c r="G763" t="inlineStr">
        <is>
          <t>KARLSKRONA</t>
        </is>
      </c>
      <c r="I763" t="n">
        <v>2</v>
      </c>
      <c r="J763" t="n">
        <v>0</v>
      </c>
      <c r="K763" t="n">
        <v>0</v>
      </c>
      <c r="L763" t="n">
        <v>0</v>
      </c>
      <c r="M763" t="n">
        <v>0</v>
      </c>
      <c r="N763" t="n">
        <v>0</v>
      </c>
      <c r="O763" t="n">
        <v>0</v>
      </c>
      <c r="P763" t="n">
        <v>0</v>
      </c>
      <c r="Q763" t="n">
        <v>0</v>
      </c>
      <c r="R763" t="n">
        <v>0</v>
      </c>
      <c r="S763" t="n">
        <v>0</v>
      </c>
      <c r="T763" t="n">
        <v>0</v>
      </c>
      <c r="U763" s="2" t="inlineStr"/>
    </row>
    <row r="764" ht="15" customHeight="1">
      <c r="A764" t="inlineStr">
        <is>
          <t>A 29897-2025</t>
        </is>
      </c>
      <c r="B764" t="inlineStr">
        <is>
          <t>avverkningsanmälan</t>
        </is>
      </c>
      <c r="C764" t="inlineStr">
        <is>
          <t>Föryngringsavverkning</t>
        </is>
      </c>
      <c r="D764" s="1" t="n">
        <v>45826</v>
      </c>
      <c r="E764" s="1" t="n">
        <v>46216</v>
      </c>
      <c r="F764" t="inlineStr">
        <is>
          <t>BLEKINGE LÄN</t>
        </is>
      </c>
      <c r="G764" t="inlineStr">
        <is>
          <t>KARLSHAMN</t>
        </is>
      </c>
      <c r="H764" t="inlineStr">
        <is>
          <t>Sveaskog</t>
        </is>
      </c>
      <c r="I764" t="n">
        <v>2.8</v>
      </c>
      <c r="J764" t="n">
        <v>0</v>
      </c>
      <c r="K764" t="n">
        <v>0</v>
      </c>
      <c r="L764" t="n">
        <v>0</v>
      </c>
      <c r="M764" t="n">
        <v>0</v>
      </c>
      <c r="N764" t="n">
        <v>0</v>
      </c>
      <c r="O764" t="n">
        <v>0</v>
      </c>
      <c r="P764" t="n">
        <v>0</v>
      </c>
      <c r="Q764" t="n">
        <v>0</v>
      </c>
      <c r="R764" t="n">
        <v>0</v>
      </c>
      <c r="S764" t="n">
        <v>0</v>
      </c>
      <c r="T764" t="n">
        <v>0</v>
      </c>
      <c r="U764" s="2" t="inlineStr"/>
    </row>
    <row r="765" ht="15" customHeight="1">
      <c r="A765" t="inlineStr">
        <is>
          <t>A 14665-2025</t>
        </is>
      </c>
      <c r="B765" t="inlineStr">
        <is>
          <t>avverkningsanmälan</t>
        </is>
      </c>
      <c r="C765" t="inlineStr">
        <is>
          <t>Föryngringsavverkning</t>
        </is>
      </c>
      <c r="D765" s="1" t="n">
        <v>45742</v>
      </c>
      <c r="E765" s="1" t="n">
        <v>46216</v>
      </c>
      <c r="F765" t="inlineStr">
        <is>
          <t>BLEKINGE LÄN</t>
        </is>
      </c>
      <c r="G765" t="inlineStr">
        <is>
          <t>OLOFSTRÖM</t>
        </is>
      </c>
      <c r="I765" t="n">
        <v>4.4</v>
      </c>
      <c r="J765" t="n">
        <v>0</v>
      </c>
      <c r="K765" t="n">
        <v>0</v>
      </c>
      <c r="L765" t="n">
        <v>0</v>
      </c>
      <c r="M765" t="n">
        <v>0</v>
      </c>
      <c r="N765" t="n">
        <v>0</v>
      </c>
      <c r="O765" t="n">
        <v>0</v>
      </c>
      <c r="P765" t="n">
        <v>0</v>
      </c>
      <c r="Q765" t="n">
        <v>0</v>
      </c>
      <c r="R765" t="n">
        <v>0</v>
      </c>
      <c r="S765" t="n">
        <v>0</v>
      </c>
      <c r="T765" t="n">
        <v>0</v>
      </c>
      <c r="U765" s="2" t="inlineStr"/>
    </row>
    <row r="766" ht="15" customHeight="1">
      <c r="A766" t="inlineStr">
        <is>
          <t>A 30469-2025</t>
        </is>
      </c>
      <c r="B766" t="inlineStr">
        <is>
          <t>avverkningsanmälan</t>
        </is>
      </c>
      <c r="C766" t="inlineStr">
        <is>
          <t>Avverkning för att bevara och utveckla /försöksver</t>
        </is>
      </c>
      <c r="D766" s="1" t="n">
        <v>45827</v>
      </c>
      <c r="E766" s="1" t="n">
        <v>46216</v>
      </c>
      <c r="F766" t="inlineStr">
        <is>
          <t>BLEKINGE LÄN</t>
        </is>
      </c>
      <c r="G766" t="inlineStr">
        <is>
          <t>OLOFSTRÖM</t>
        </is>
      </c>
      <c r="H766" t="inlineStr">
        <is>
          <t>Sveaskog</t>
        </is>
      </c>
      <c r="I766" t="n">
        <v>5.9</v>
      </c>
      <c r="J766" t="n">
        <v>0</v>
      </c>
      <c r="K766" t="n">
        <v>0</v>
      </c>
      <c r="L766" t="n">
        <v>0</v>
      </c>
      <c r="M766" t="n">
        <v>0</v>
      </c>
      <c r="N766" t="n">
        <v>0</v>
      </c>
      <c r="O766" t="n">
        <v>0</v>
      </c>
      <c r="P766" t="n">
        <v>0</v>
      </c>
      <c r="Q766" t="n">
        <v>0</v>
      </c>
      <c r="R766" t="n">
        <v>0</v>
      </c>
      <c r="S766" t="n">
        <v>0</v>
      </c>
      <c r="T766" t="n">
        <v>0</v>
      </c>
      <c r="U766" s="2" t="inlineStr"/>
    </row>
    <row r="767" ht="15" customHeight="1">
      <c r="A767" t="inlineStr">
        <is>
          <t>A 42619-2025</t>
        </is>
      </c>
      <c r="B767" t="inlineStr">
        <is>
          <t>avverkningsanmälan</t>
        </is>
      </c>
      <c r="C767" t="inlineStr">
        <is>
          <t>Föryngringsavverkning</t>
        </is>
      </c>
      <c r="D767" s="1" t="n">
        <v>45905</v>
      </c>
      <c r="E767" s="1" t="n">
        <v>46216</v>
      </c>
      <c r="F767" t="inlineStr">
        <is>
          <t>BLEKINGE LÄN</t>
        </is>
      </c>
      <c r="G767" t="inlineStr">
        <is>
          <t>KARLSHAMN</t>
        </is>
      </c>
      <c r="I767" t="n">
        <v>20.9</v>
      </c>
      <c r="J767" t="n">
        <v>0</v>
      </c>
      <c r="K767" t="n">
        <v>0</v>
      </c>
      <c r="L767" t="n">
        <v>0</v>
      </c>
      <c r="M767" t="n">
        <v>0</v>
      </c>
      <c r="N767" t="n">
        <v>0</v>
      </c>
      <c r="O767" t="n">
        <v>0</v>
      </c>
      <c r="P767" t="n">
        <v>0</v>
      </c>
      <c r="Q767" t="n">
        <v>0</v>
      </c>
      <c r="R767" t="n">
        <v>0</v>
      </c>
      <c r="S767" t="n">
        <v>0</v>
      </c>
      <c r="T767" t="n">
        <v>0</v>
      </c>
      <c r="U767" s="2" t="inlineStr"/>
    </row>
    <row r="768" ht="15" customHeight="1">
      <c r="A768" t="inlineStr">
        <is>
          <t>A 33598-2025</t>
        </is>
      </c>
      <c r="B768" t="inlineStr">
        <is>
          <t>avverkningsanmälan</t>
        </is>
      </c>
      <c r="C768" t="inlineStr">
        <is>
          <t>Föryngringsavverkning</t>
        </is>
      </c>
      <c r="D768" s="1" t="n">
        <v>45841</v>
      </c>
      <c r="E768" s="1" t="n">
        <v>46216</v>
      </c>
      <c r="F768" t="inlineStr">
        <is>
          <t>BLEKINGE LÄN</t>
        </is>
      </c>
      <c r="G768" t="inlineStr">
        <is>
          <t>RONNEBY</t>
        </is>
      </c>
      <c r="I768" t="n">
        <v>9.199999999999999</v>
      </c>
      <c r="J768" t="n">
        <v>0</v>
      </c>
      <c r="K768" t="n">
        <v>0</v>
      </c>
      <c r="L768" t="n">
        <v>0</v>
      </c>
      <c r="M768" t="n">
        <v>0</v>
      </c>
      <c r="N768" t="n">
        <v>0</v>
      </c>
      <c r="O768" t="n">
        <v>0</v>
      </c>
      <c r="P768" t="n">
        <v>0</v>
      </c>
      <c r="Q768" t="n">
        <v>0</v>
      </c>
      <c r="R768" t="n">
        <v>0</v>
      </c>
      <c r="S768" t="n">
        <v>0</v>
      </c>
      <c r="T768" t="n">
        <v>0</v>
      </c>
      <c r="U768" s="2" t="inlineStr"/>
    </row>
    <row r="769" ht="15" customHeight="1">
      <c r="A769" t="inlineStr">
        <is>
          <t>A 34318-2025</t>
        </is>
      </c>
      <c r="B769" t="inlineStr">
        <is>
          <t>avverkningsanmälan</t>
        </is>
      </c>
      <c r="C769" t="inlineStr">
        <is>
          <t>Föryngringsavverkning</t>
        </is>
      </c>
      <c r="D769" s="1" t="n">
        <v>45846</v>
      </c>
      <c r="E769" s="1" t="n">
        <v>46216</v>
      </c>
      <c r="F769" t="inlineStr">
        <is>
          <t>BLEKINGE LÄN</t>
        </is>
      </c>
      <c r="G769" t="inlineStr">
        <is>
          <t>KARLSKRONA</t>
        </is>
      </c>
      <c r="I769" t="n">
        <v>2.8</v>
      </c>
      <c r="J769" t="n">
        <v>0</v>
      </c>
      <c r="K769" t="n">
        <v>0</v>
      </c>
      <c r="L769" t="n">
        <v>0</v>
      </c>
      <c r="M769" t="n">
        <v>0</v>
      </c>
      <c r="N769" t="n">
        <v>0</v>
      </c>
      <c r="O769" t="n">
        <v>0</v>
      </c>
      <c r="P769" t="n">
        <v>0</v>
      </c>
      <c r="Q769" t="n">
        <v>0</v>
      </c>
      <c r="R769" t="n">
        <v>0</v>
      </c>
      <c r="S769" t="n">
        <v>0</v>
      </c>
      <c r="T769" t="n">
        <v>0</v>
      </c>
      <c r="U769" s="2" t="inlineStr"/>
    </row>
    <row r="770" ht="15" customHeight="1">
      <c r="A770" t="inlineStr">
        <is>
          <t>A 9605-2023</t>
        </is>
      </c>
      <c r="B770" t="inlineStr">
        <is>
          <t>avverkningsanmälan</t>
        </is>
      </c>
      <c r="C770" t="inlineStr">
        <is>
          <t>Föryngringsavverkning</t>
        </is>
      </c>
      <c r="D770" s="1" t="n">
        <v>44983</v>
      </c>
      <c r="E770" s="1" t="n">
        <v>46216</v>
      </c>
      <c r="F770" t="inlineStr">
        <is>
          <t>BLEKINGE LÄN</t>
        </is>
      </c>
      <c r="G770" t="inlineStr">
        <is>
          <t>KARLSHAMN</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30470-2025</t>
        </is>
      </c>
      <c r="B771" t="inlineStr">
        <is>
          <t>avverkningsanmälan</t>
        </is>
      </c>
      <c r="C771" t="inlineStr">
        <is>
          <t>Avverkning för att bevara och utveckla /försöksver</t>
        </is>
      </c>
      <c r="D771" s="1" t="n">
        <v>45827</v>
      </c>
      <c r="E771" s="1" t="n">
        <v>46216</v>
      </c>
      <c r="F771" t="inlineStr">
        <is>
          <t>BLEKINGE LÄN</t>
        </is>
      </c>
      <c r="G771" t="inlineStr">
        <is>
          <t>OLOFSTRÖM</t>
        </is>
      </c>
      <c r="H771" t="inlineStr">
        <is>
          <t>Sveaskog</t>
        </is>
      </c>
      <c r="I771" t="n">
        <v>0.5</v>
      </c>
      <c r="J771" t="n">
        <v>0</v>
      </c>
      <c r="K771" t="n">
        <v>0</v>
      </c>
      <c r="L771" t="n">
        <v>0</v>
      </c>
      <c r="M771" t="n">
        <v>0</v>
      </c>
      <c r="N771" t="n">
        <v>0</v>
      </c>
      <c r="O771" t="n">
        <v>0</v>
      </c>
      <c r="P771" t="n">
        <v>0</v>
      </c>
      <c r="Q771" t="n">
        <v>0</v>
      </c>
      <c r="R771" t="n">
        <v>0</v>
      </c>
      <c r="S771" t="n">
        <v>0</v>
      </c>
      <c r="T771" t="n">
        <v>0</v>
      </c>
      <c r="U771" s="2" t="inlineStr"/>
    </row>
    <row r="772" ht="15" customHeight="1">
      <c r="A772" t="inlineStr">
        <is>
          <t>A 52223-2022</t>
        </is>
      </c>
      <c r="B772" t="inlineStr">
        <is>
          <t>avverkningsanmälan</t>
        </is>
      </c>
      <c r="C772" t="inlineStr">
        <is>
          <t>Föryngringsavverkning</t>
        </is>
      </c>
      <c r="D772" s="1" t="n">
        <v>44873</v>
      </c>
      <c r="E772" s="1" t="n">
        <v>46216</v>
      </c>
      <c r="F772" t="inlineStr">
        <is>
          <t>BLEKINGE LÄN</t>
        </is>
      </c>
      <c r="G772" t="inlineStr">
        <is>
          <t>OLOFSTRÖM</t>
        </is>
      </c>
      <c r="I772" t="n">
        <v>1.9</v>
      </c>
      <c r="J772" t="n">
        <v>0</v>
      </c>
      <c r="K772" t="n">
        <v>0</v>
      </c>
      <c r="L772" t="n">
        <v>0</v>
      </c>
      <c r="M772" t="n">
        <v>0</v>
      </c>
      <c r="N772" t="n">
        <v>0</v>
      </c>
      <c r="O772" t="n">
        <v>0</v>
      </c>
      <c r="P772" t="n">
        <v>0</v>
      </c>
      <c r="Q772" t="n">
        <v>0</v>
      </c>
      <c r="R772" t="n">
        <v>0</v>
      </c>
      <c r="S772" t="n">
        <v>0</v>
      </c>
      <c r="T772" t="n">
        <v>0</v>
      </c>
      <c r="U772" s="2" t="inlineStr"/>
    </row>
    <row r="773" ht="15" customHeight="1">
      <c r="A773" t="inlineStr">
        <is>
          <t>A 8098-2023</t>
        </is>
      </c>
      <c r="B773" t="inlineStr">
        <is>
          <t>avverkningsanmälan</t>
        </is>
      </c>
      <c r="C773" t="inlineStr">
        <is>
          <t>Föryngringsavverkning</t>
        </is>
      </c>
      <c r="D773" s="1" t="n">
        <v>44970</v>
      </c>
      <c r="E773" s="1" t="n">
        <v>46216</v>
      </c>
      <c r="F773" t="inlineStr">
        <is>
          <t>BLEKINGE LÄN</t>
        </is>
      </c>
      <c r="G773" t="inlineStr">
        <is>
          <t>KARLSHAMN</t>
        </is>
      </c>
      <c r="I773" t="n">
        <v>2.1</v>
      </c>
      <c r="J773" t="n">
        <v>0</v>
      </c>
      <c r="K773" t="n">
        <v>0</v>
      </c>
      <c r="L773" t="n">
        <v>0</v>
      </c>
      <c r="M773" t="n">
        <v>0</v>
      </c>
      <c r="N773" t="n">
        <v>0</v>
      </c>
      <c r="O773" t="n">
        <v>0</v>
      </c>
      <c r="P773" t="n">
        <v>0</v>
      </c>
      <c r="Q773" t="n">
        <v>0</v>
      </c>
      <c r="R773" t="n">
        <v>0</v>
      </c>
      <c r="S773" t="n">
        <v>0</v>
      </c>
      <c r="T773" t="n">
        <v>0</v>
      </c>
      <c r="U773" s="2" t="inlineStr"/>
    </row>
    <row r="774" ht="15" customHeight="1">
      <c r="A774" t="inlineStr">
        <is>
          <t>A 8110-2023</t>
        </is>
      </c>
      <c r="B774" t="inlineStr">
        <is>
          <t>avverkningsanmälan</t>
        </is>
      </c>
      <c r="C774" t="inlineStr">
        <is>
          <t>Föryngringsavverkning</t>
        </is>
      </c>
      <c r="D774" s="1" t="n">
        <v>44970</v>
      </c>
      <c r="E774" s="1" t="n">
        <v>46216</v>
      </c>
      <c r="F774" t="inlineStr">
        <is>
          <t>BLEKINGE LÄN</t>
        </is>
      </c>
      <c r="G774" t="inlineStr">
        <is>
          <t>OLOFSTRÖM</t>
        </is>
      </c>
      <c r="I774" t="n">
        <v>2</v>
      </c>
      <c r="J774" t="n">
        <v>0</v>
      </c>
      <c r="K774" t="n">
        <v>0</v>
      </c>
      <c r="L774" t="n">
        <v>0</v>
      </c>
      <c r="M774" t="n">
        <v>0</v>
      </c>
      <c r="N774" t="n">
        <v>0</v>
      </c>
      <c r="O774" t="n">
        <v>0</v>
      </c>
      <c r="P774" t="n">
        <v>0</v>
      </c>
      <c r="Q774" t="n">
        <v>0</v>
      </c>
      <c r="R774" t="n">
        <v>0</v>
      </c>
      <c r="S774" t="n">
        <v>0</v>
      </c>
      <c r="T774" t="n">
        <v>0</v>
      </c>
      <c r="U774" s="2" t="inlineStr"/>
    </row>
    <row r="775" ht="15" customHeight="1">
      <c r="A775" t="inlineStr">
        <is>
          <t>A 16094-2025</t>
        </is>
      </c>
      <c r="B775" t="inlineStr">
        <is>
          <t>avverkningsanmälan</t>
        </is>
      </c>
      <c r="C775" t="inlineStr">
        <is>
          <t>Föryngringsavverkning</t>
        </is>
      </c>
      <c r="D775" s="1" t="n">
        <v>45749</v>
      </c>
      <c r="E775" s="1" t="n">
        <v>46216</v>
      </c>
      <c r="F775" t="inlineStr">
        <is>
          <t>BLEKINGE LÄN</t>
        </is>
      </c>
      <c r="G775" t="inlineStr">
        <is>
          <t>RONNEBY</t>
        </is>
      </c>
      <c r="I775" t="n">
        <v>2.2</v>
      </c>
      <c r="J775" t="n">
        <v>0</v>
      </c>
      <c r="K775" t="n">
        <v>0</v>
      </c>
      <c r="L775" t="n">
        <v>0</v>
      </c>
      <c r="M775" t="n">
        <v>0</v>
      </c>
      <c r="N775" t="n">
        <v>0</v>
      </c>
      <c r="O775" t="n">
        <v>0</v>
      </c>
      <c r="P775" t="n">
        <v>0</v>
      </c>
      <c r="Q775" t="n">
        <v>0</v>
      </c>
      <c r="R775" t="n">
        <v>0</v>
      </c>
      <c r="S775" t="n">
        <v>0</v>
      </c>
      <c r="T775" t="n">
        <v>0</v>
      </c>
      <c r="U775" s="2" t="inlineStr"/>
    </row>
    <row r="776" ht="15" customHeight="1">
      <c r="A776" t="inlineStr">
        <is>
          <t>A 27375-2025</t>
        </is>
      </c>
      <c r="B776" t="inlineStr">
        <is>
          <t>avverkningsanmälan</t>
        </is>
      </c>
      <c r="C776" t="inlineStr">
        <is>
          <t>Föryngringsavverkning</t>
        </is>
      </c>
      <c r="D776" s="1" t="n">
        <v>45812</v>
      </c>
      <c r="E776" s="1" t="n">
        <v>46216</v>
      </c>
      <c r="F776" t="inlineStr">
        <is>
          <t>BLEKINGE LÄN</t>
        </is>
      </c>
      <c r="G776" t="inlineStr">
        <is>
          <t>KARLSKRONA</t>
        </is>
      </c>
      <c r="I776" t="n">
        <v>1</v>
      </c>
      <c r="J776" t="n">
        <v>0</v>
      </c>
      <c r="K776" t="n">
        <v>0</v>
      </c>
      <c r="L776" t="n">
        <v>0</v>
      </c>
      <c r="M776" t="n">
        <v>0</v>
      </c>
      <c r="N776" t="n">
        <v>0</v>
      </c>
      <c r="O776" t="n">
        <v>0</v>
      </c>
      <c r="P776" t="n">
        <v>0</v>
      </c>
      <c r="Q776" t="n">
        <v>0</v>
      </c>
      <c r="R776" t="n">
        <v>0</v>
      </c>
      <c r="S776" t="n">
        <v>0</v>
      </c>
      <c r="T776" t="n">
        <v>0</v>
      </c>
      <c r="U776" s="2" t="inlineStr"/>
    </row>
    <row r="777" ht="15" customHeight="1">
      <c r="A777" t="inlineStr">
        <is>
          <t>A 14803-2025</t>
        </is>
      </c>
      <c r="B777" t="inlineStr">
        <is>
          <t>avverkningsanmälan</t>
        </is>
      </c>
      <c r="C777" t="inlineStr">
        <is>
          <t>Föryngringsavverkning</t>
        </is>
      </c>
      <c r="D777" s="1" t="n">
        <v>45743</v>
      </c>
      <c r="E777" s="1" t="n">
        <v>46216</v>
      </c>
      <c r="F777" t="inlineStr">
        <is>
          <t>BLEKINGE LÄN</t>
        </is>
      </c>
      <c r="G777" t="inlineStr">
        <is>
          <t>RONNEBY</t>
        </is>
      </c>
      <c r="I777" t="n">
        <v>1.7</v>
      </c>
      <c r="J777" t="n">
        <v>0</v>
      </c>
      <c r="K777" t="n">
        <v>0</v>
      </c>
      <c r="L777" t="n">
        <v>0</v>
      </c>
      <c r="M777" t="n">
        <v>0</v>
      </c>
      <c r="N777" t="n">
        <v>0</v>
      </c>
      <c r="O777" t="n">
        <v>0</v>
      </c>
      <c r="P777" t="n">
        <v>0</v>
      </c>
      <c r="Q777" t="n">
        <v>0</v>
      </c>
      <c r="R777" t="n">
        <v>0</v>
      </c>
      <c r="S777" t="n">
        <v>0</v>
      </c>
      <c r="T777" t="n">
        <v>0</v>
      </c>
      <c r="U777" s="2" t="inlineStr"/>
    </row>
    <row r="778" ht="15" customHeight="1">
      <c r="A778" t="inlineStr">
        <is>
          <t>A 42775-2025</t>
        </is>
      </c>
      <c r="B778" t="inlineStr">
        <is>
          <t>avverkningsanmälan</t>
        </is>
      </c>
      <c r="C778" t="inlineStr">
        <is>
          <t>Föryngringsavverkning</t>
        </is>
      </c>
      <c r="D778" s="1" t="n">
        <v>45908</v>
      </c>
      <c r="E778" s="1" t="n">
        <v>46216</v>
      </c>
      <c r="F778" t="inlineStr">
        <is>
          <t>BLEKINGE LÄN</t>
        </is>
      </c>
      <c r="G778" t="inlineStr">
        <is>
          <t>KARLSHAMN</t>
        </is>
      </c>
      <c r="H778" t="inlineStr">
        <is>
          <t>Sveaskog</t>
        </is>
      </c>
      <c r="I778" t="n">
        <v>3.2</v>
      </c>
      <c r="J778" t="n">
        <v>0</v>
      </c>
      <c r="K778" t="n">
        <v>0</v>
      </c>
      <c r="L778" t="n">
        <v>0</v>
      </c>
      <c r="M778" t="n">
        <v>0</v>
      </c>
      <c r="N778" t="n">
        <v>0</v>
      </c>
      <c r="O778" t="n">
        <v>0</v>
      </c>
      <c r="P778" t="n">
        <v>0</v>
      </c>
      <c r="Q778" t="n">
        <v>0</v>
      </c>
      <c r="R778" t="n">
        <v>0</v>
      </c>
      <c r="S778" t="n">
        <v>0</v>
      </c>
      <c r="T778" t="n">
        <v>0</v>
      </c>
      <c r="U778" s="2" t="inlineStr"/>
    </row>
    <row r="779" ht="15" customHeight="1">
      <c r="A779" t="inlineStr">
        <is>
          <t>A 42770-2025</t>
        </is>
      </c>
      <c r="B779" t="inlineStr">
        <is>
          <t>avverkningsanmälan</t>
        </is>
      </c>
      <c r="C779" t="inlineStr">
        <is>
          <t>Föryngringsavverkning</t>
        </is>
      </c>
      <c r="D779" s="1" t="n">
        <v>45908</v>
      </c>
      <c r="E779" s="1" t="n">
        <v>46216</v>
      </c>
      <c r="F779" t="inlineStr">
        <is>
          <t>BLEKINGE LÄN</t>
        </is>
      </c>
      <c r="G779" t="inlineStr">
        <is>
          <t>KARLSHAMN</t>
        </is>
      </c>
      <c r="H779" t="inlineStr">
        <is>
          <t>Sveaskog</t>
        </is>
      </c>
      <c r="I779" t="n">
        <v>0.8</v>
      </c>
      <c r="J779" t="n">
        <v>0</v>
      </c>
      <c r="K779" t="n">
        <v>0</v>
      </c>
      <c r="L779" t="n">
        <v>0</v>
      </c>
      <c r="M779" t="n">
        <v>0</v>
      </c>
      <c r="N779" t="n">
        <v>0</v>
      </c>
      <c r="O779" t="n">
        <v>0</v>
      </c>
      <c r="P779" t="n">
        <v>0</v>
      </c>
      <c r="Q779" t="n">
        <v>0</v>
      </c>
      <c r="R779" t="n">
        <v>0</v>
      </c>
      <c r="S779" t="n">
        <v>0</v>
      </c>
      <c r="T779" t="n">
        <v>0</v>
      </c>
      <c r="U779" s="2" t="inlineStr"/>
    </row>
    <row r="780" ht="15" customHeight="1">
      <c r="A780" t="inlineStr">
        <is>
          <t>A 42777-2025</t>
        </is>
      </c>
      <c r="B780" t="inlineStr">
        <is>
          <t>avverkningsanmälan</t>
        </is>
      </c>
      <c r="C780" t="inlineStr">
        <is>
          <t>Föryngringsavverkning</t>
        </is>
      </c>
      <c r="D780" s="1" t="n">
        <v>45908</v>
      </c>
      <c r="E780" s="1" t="n">
        <v>46216</v>
      </c>
      <c r="F780" t="inlineStr">
        <is>
          <t>BLEKINGE LÄN</t>
        </is>
      </c>
      <c r="G780" t="inlineStr">
        <is>
          <t>KARLSKRONA</t>
        </is>
      </c>
      <c r="I780" t="n">
        <v>2.2</v>
      </c>
      <c r="J780" t="n">
        <v>0</v>
      </c>
      <c r="K780" t="n">
        <v>0</v>
      </c>
      <c r="L780" t="n">
        <v>0</v>
      </c>
      <c r="M780" t="n">
        <v>0</v>
      </c>
      <c r="N780" t="n">
        <v>0</v>
      </c>
      <c r="O780" t="n">
        <v>0</v>
      </c>
      <c r="P780" t="n">
        <v>0</v>
      </c>
      <c r="Q780" t="n">
        <v>0</v>
      </c>
      <c r="R780" t="n">
        <v>0</v>
      </c>
      <c r="S780" t="n">
        <v>0</v>
      </c>
      <c r="T780" t="n">
        <v>0</v>
      </c>
      <c r="U780" s="2" t="inlineStr"/>
    </row>
    <row r="781" ht="15" customHeight="1">
      <c r="A781" t="inlineStr">
        <is>
          <t>A 33989-2025</t>
        </is>
      </c>
      <c r="B781" t="inlineStr">
        <is>
          <t>avverkningsanmälan</t>
        </is>
      </c>
      <c r="C781" t="inlineStr">
        <is>
          <t>Föryngringsavverkning</t>
        </is>
      </c>
      <c r="D781" s="1" t="n">
        <v>45843</v>
      </c>
      <c r="E781" s="1" t="n">
        <v>46216</v>
      </c>
      <c r="F781" t="inlineStr">
        <is>
          <t>BLEKINGE LÄN</t>
        </is>
      </c>
      <c r="G781" t="inlineStr">
        <is>
          <t>RONNEBY</t>
        </is>
      </c>
      <c r="I781" t="n">
        <v>1.1</v>
      </c>
      <c r="J781" t="n">
        <v>0</v>
      </c>
      <c r="K781" t="n">
        <v>0</v>
      </c>
      <c r="L781" t="n">
        <v>0</v>
      </c>
      <c r="M781" t="n">
        <v>0</v>
      </c>
      <c r="N781" t="n">
        <v>0</v>
      </c>
      <c r="O781" t="n">
        <v>0</v>
      </c>
      <c r="P781" t="n">
        <v>0</v>
      </c>
      <c r="Q781" t="n">
        <v>0</v>
      </c>
      <c r="R781" t="n">
        <v>0</v>
      </c>
      <c r="S781" t="n">
        <v>0</v>
      </c>
      <c r="T781" t="n">
        <v>0</v>
      </c>
      <c r="U781" s="2" t="inlineStr"/>
    </row>
    <row r="782" ht="15" customHeight="1">
      <c r="A782" t="inlineStr">
        <is>
          <t>A 26405-2025</t>
        </is>
      </c>
      <c r="B782" t="inlineStr">
        <is>
          <t>avverkningsanmälan</t>
        </is>
      </c>
      <c r="C782" t="inlineStr">
        <is>
          <t>Föryngringsavverkning</t>
        </is>
      </c>
      <c r="D782" s="1" t="n">
        <v>45807</v>
      </c>
      <c r="E782" s="1" t="n">
        <v>46216</v>
      </c>
      <c r="F782" t="inlineStr">
        <is>
          <t>BLEKINGE LÄN</t>
        </is>
      </c>
      <c r="G782" t="inlineStr">
        <is>
          <t>RONNEBY</t>
        </is>
      </c>
      <c r="I782" t="n">
        <v>1.3</v>
      </c>
      <c r="J782" t="n">
        <v>0</v>
      </c>
      <c r="K782" t="n">
        <v>0</v>
      </c>
      <c r="L782" t="n">
        <v>0</v>
      </c>
      <c r="M782" t="n">
        <v>0</v>
      </c>
      <c r="N782" t="n">
        <v>0</v>
      </c>
      <c r="O782" t="n">
        <v>0</v>
      </c>
      <c r="P782" t="n">
        <v>0</v>
      </c>
      <c r="Q782" t="n">
        <v>0</v>
      </c>
      <c r="R782" t="n">
        <v>0</v>
      </c>
      <c r="S782" t="n">
        <v>0</v>
      </c>
      <c r="T782" t="n">
        <v>0</v>
      </c>
      <c r="U782" s="2" t="inlineStr"/>
    </row>
    <row r="783" ht="15" customHeight="1">
      <c r="A783" t="inlineStr">
        <is>
          <t>A 49301-2022</t>
        </is>
      </c>
      <c r="B783" t="inlineStr">
        <is>
          <t>avverkningsanmälan</t>
        </is>
      </c>
      <c r="C783" t="inlineStr">
        <is>
          <t>Föryngringsavverkning</t>
        </is>
      </c>
      <c r="D783" s="1" t="n">
        <v>44858</v>
      </c>
      <c r="E783" s="1" t="n">
        <v>46216</v>
      </c>
      <c r="F783" t="inlineStr">
        <is>
          <t>BLEKINGE LÄN</t>
        </is>
      </c>
      <c r="G783" t="inlineStr">
        <is>
          <t>OLOFSTRÖM</t>
        </is>
      </c>
      <c r="I783" t="n">
        <v>4.5</v>
      </c>
      <c r="J783" t="n">
        <v>0</v>
      </c>
      <c r="K783" t="n">
        <v>0</v>
      </c>
      <c r="L783" t="n">
        <v>0</v>
      </c>
      <c r="M783" t="n">
        <v>0</v>
      </c>
      <c r="N783" t="n">
        <v>0</v>
      </c>
      <c r="O783" t="n">
        <v>0</v>
      </c>
      <c r="P783" t="n">
        <v>0</v>
      </c>
      <c r="Q783" t="n">
        <v>0</v>
      </c>
      <c r="R783" t="n">
        <v>0</v>
      </c>
      <c r="S783" t="n">
        <v>0</v>
      </c>
      <c r="T783" t="n">
        <v>0</v>
      </c>
      <c r="U783" s="2" t="inlineStr"/>
    </row>
    <row r="784" ht="15" customHeight="1">
      <c r="A784" t="inlineStr">
        <is>
          <t>A 49308-2022</t>
        </is>
      </c>
      <c r="B784" t="inlineStr">
        <is>
          <t>avverkningsanmälan</t>
        </is>
      </c>
      <c r="C784" t="inlineStr">
        <is>
          <t>Föryngringsavverkning</t>
        </is>
      </c>
      <c r="D784" s="1" t="n">
        <v>44858</v>
      </c>
      <c r="E784" s="1" t="n">
        <v>46216</v>
      </c>
      <c r="F784" t="inlineStr">
        <is>
          <t>BLEKINGE LÄN</t>
        </is>
      </c>
      <c r="G784" t="inlineStr">
        <is>
          <t>OLOFSTRÖM</t>
        </is>
      </c>
      <c r="I784" t="n">
        <v>3.7</v>
      </c>
      <c r="J784" t="n">
        <v>0</v>
      </c>
      <c r="K784" t="n">
        <v>0</v>
      </c>
      <c r="L784" t="n">
        <v>0</v>
      </c>
      <c r="M784" t="n">
        <v>0</v>
      </c>
      <c r="N784" t="n">
        <v>0</v>
      </c>
      <c r="O784" t="n">
        <v>0</v>
      </c>
      <c r="P784" t="n">
        <v>0</v>
      </c>
      <c r="Q784" t="n">
        <v>0</v>
      </c>
      <c r="R784" t="n">
        <v>0</v>
      </c>
      <c r="S784" t="n">
        <v>0</v>
      </c>
      <c r="T784" t="n">
        <v>0</v>
      </c>
      <c r="U784" s="2" t="inlineStr"/>
    </row>
    <row r="785" ht="15" customHeight="1">
      <c r="A785" t="inlineStr">
        <is>
          <t>A 28458-2022</t>
        </is>
      </c>
      <c r="B785" t="inlineStr">
        <is>
          <t>avverkningsanmälan</t>
        </is>
      </c>
      <c r="C785" t="inlineStr">
        <is>
          <t>Föryngringsavverkning</t>
        </is>
      </c>
      <c r="D785" s="1" t="n">
        <v>44747</v>
      </c>
      <c r="E785" s="1" t="n">
        <v>46216</v>
      </c>
      <c r="F785" t="inlineStr">
        <is>
          <t>BLEKINGE LÄN</t>
        </is>
      </c>
      <c r="G785" t="inlineStr">
        <is>
          <t>KARLSKRONA</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54015-2021</t>
        </is>
      </c>
      <c r="B786" t="inlineStr">
        <is>
          <t>avverkningsanmälan</t>
        </is>
      </c>
      <c r="C786" t="inlineStr">
        <is>
          <t>Föryngringsavverkning</t>
        </is>
      </c>
      <c r="D786" s="1" t="n">
        <v>44470</v>
      </c>
      <c r="E786" s="1" t="n">
        <v>46216</v>
      </c>
      <c r="F786" t="inlineStr">
        <is>
          <t>BLEKINGE LÄN</t>
        </is>
      </c>
      <c r="G786" t="inlineStr">
        <is>
          <t>OLOFSTRÖM</t>
        </is>
      </c>
      <c r="I786" t="n">
        <v>1.7</v>
      </c>
      <c r="J786" t="n">
        <v>0</v>
      </c>
      <c r="K786" t="n">
        <v>0</v>
      </c>
      <c r="L786" t="n">
        <v>0</v>
      </c>
      <c r="M786" t="n">
        <v>0</v>
      </c>
      <c r="N786" t="n">
        <v>0</v>
      </c>
      <c r="O786" t="n">
        <v>0</v>
      </c>
      <c r="P786" t="n">
        <v>0</v>
      </c>
      <c r="Q786" t="n">
        <v>0</v>
      </c>
      <c r="R786" t="n">
        <v>0</v>
      </c>
      <c r="S786" t="n">
        <v>0</v>
      </c>
      <c r="T786" t="n">
        <v>0</v>
      </c>
      <c r="U786" s="2" t="inlineStr"/>
    </row>
    <row r="787" ht="15" customHeight="1">
      <c r="A787" t="inlineStr">
        <is>
          <t>A 31605-2025</t>
        </is>
      </c>
      <c r="B787" t="inlineStr">
        <is>
          <t>avverkningsanmälan</t>
        </is>
      </c>
      <c r="C787" t="inlineStr">
        <is>
          <t>Föryngringsavverkning</t>
        </is>
      </c>
      <c r="D787" s="1" t="n">
        <v>45833</v>
      </c>
      <c r="E787" s="1" t="n">
        <v>46216</v>
      </c>
      <c r="F787" t="inlineStr">
        <is>
          <t>BLEKINGE LÄN</t>
        </is>
      </c>
      <c r="G787" t="inlineStr">
        <is>
          <t>RONNEBY</t>
        </is>
      </c>
      <c r="I787" t="n">
        <v>0.5</v>
      </c>
      <c r="J787" t="n">
        <v>0</v>
      </c>
      <c r="K787" t="n">
        <v>0</v>
      </c>
      <c r="L787" t="n">
        <v>0</v>
      </c>
      <c r="M787" t="n">
        <v>0</v>
      </c>
      <c r="N787" t="n">
        <v>0</v>
      </c>
      <c r="O787" t="n">
        <v>0</v>
      </c>
      <c r="P787" t="n">
        <v>0</v>
      </c>
      <c r="Q787" t="n">
        <v>0</v>
      </c>
      <c r="R787" t="n">
        <v>0</v>
      </c>
      <c r="S787" t="n">
        <v>0</v>
      </c>
      <c r="T787" t="n">
        <v>0</v>
      </c>
      <c r="U787" s="2" t="inlineStr"/>
    </row>
    <row r="788" ht="15" customHeight="1">
      <c r="A788" t="inlineStr">
        <is>
          <t>A 55995-2024</t>
        </is>
      </c>
      <c r="B788" t="inlineStr">
        <is>
          <t>avverkningsanmälan</t>
        </is>
      </c>
      <c r="C788" t="inlineStr">
        <is>
          <t>Föryngringsavverkning</t>
        </is>
      </c>
      <c r="D788" s="1" t="n">
        <v>45623</v>
      </c>
      <c r="E788" s="1" t="n">
        <v>46216</v>
      </c>
      <c r="F788" t="inlineStr">
        <is>
          <t>BLEKINGE LÄN</t>
        </is>
      </c>
      <c r="G788" t="inlineStr">
        <is>
          <t>OLOFSTRÖM</t>
        </is>
      </c>
      <c r="I788" t="n">
        <v>0.2</v>
      </c>
      <c r="J788" t="n">
        <v>0</v>
      </c>
      <c r="K788" t="n">
        <v>0</v>
      </c>
      <c r="L788" t="n">
        <v>0</v>
      </c>
      <c r="M788" t="n">
        <v>0</v>
      </c>
      <c r="N788" t="n">
        <v>0</v>
      </c>
      <c r="O788" t="n">
        <v>0</v>
      </c>
      <c r="P788" t="n">
        <v>0</v>
      </c>
      <c r="Q788" t="n">
        <v>0</v>
      </c>
      <c r="R788" t="n">
        <v>0</v>
      </c>
      <c r="S788" t="n">
        <v>0</v>
      </c>
      <c r="T788" t="n">
        <v>0</v>
      </c>
      <c r="U788" s="2" t="inlineStr"/>
    </row>
    <row r="789" ht="15" customHeight="1">
      <c r="A789" t="inlineStr">
        <is>
          <t>A 43212-2025</t>
        </is>
      </c>
      <c r="B789" t="inlineStr">
        <is>
          <t>avverkningsanmälan</t>
        </is>
      </c>
      <c r="C789" t="inlineStr">
        <is>
          <t>Föryngringsavverkning</t>
        </is>
      </c>
      <c r="D789" s="1" t="n">
        <v>45910</v>
      </c>
      <c r="E789" s="1" t="n">
        <v>46216</v>
      </c>
      <c r="F789" t="inlineStr">
        <is>
          <t>BLEKINGE LÄN</t>
        </is>
      </c>
      <c r="G789" t="inlineStr">
        <is>
          <t>OLOFSTRÖM</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35724-2024</t>
        </is>
      </c>
      <c r="B790" t="inlineStr">
        <is>
          <t>avverkningsanmälan</t>
        </is>
      </c>
      <c r="C790" t="inlineStr">
        <is>
          <t>Föryngringsavverkning</t>
        </is>
      </c>
      <c r="D790" s="1" t="n">
        <v>45532</v>
      </c>
      <c r="E790" s="1" t="n">
        <v>46216</v>
      </c>
      <c r="F790" t="inlineStr">
        <is>
          <t>BLEKINGE LÄN</t>
        </is>
      </c>
      <c r="G790" t="inlineStr">
        <is>
          <t>KARLSKRONA</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43143-2025</t>
        </is>
      </c>
      <c r="B791" t="inlineStr">
        <is>
          <t>avverkningsanmälan</t>
        </is>
      </c>
      <c r="C791" t="inlineStr">
        <is>
          <t>Föryngringsavverkning</t>
        </is>
      </c>
      <c r="D791" s="1" t="n">
        <v>45910</v>
      </c>
      <c r="E791" s="1" t="n">
        <v>46216</v>
      </c>
      <c r="F791" t="inlineStr">
        <is>
          <t>BLEKINGE LÄN</t>
        </is>
      </c>
      <c r="G791" t="inlineStr">
        <is>
          <t>RONNEBY</t>
        </is>
      </c>
      <c r="I791" t="n">
        <v>1.5</v>
      </c>
      <c r="J791" t="n">
        <v>0</v>
      </c>
      <c r="K791" t="n">
        <v>0</v>
      </c>
      <c r="L791" t="n">
        <v>0</v>
      </c>
      <c r="M791" t="n">
        <v>0</v>
      </c>
      <c r="N791" t="n">
        <v>0</v>
      </c>
      <c r="O791" t="n">
        <v>0</v>
      </c>
      <c r="P791" t="n">
        <v>0</v>
      </c>
      <c r="Q791" t="n">
        <v>0</v>
      </c>
      <c r="R791" t="n">
        <v>0</v>
      </c>
      <c r="S791" t="n">
        <v>0</v>
      </c>
      <c r="T791" t="n">
        <v>0</v>
      </c>
      <c r="U791" s="2" t="inlineStr"/>
    </row>
    <row r="792" ht="15" customHeight="1">
      <c r="A792" t="inlineStr">
        <is>
          <t>A 37124-2021</t>
        </is>
      </c>
      <c r="B792" t="inlineStr">
        <is>
          <t>avverkningsanmälan</t>
        </is>
      </c>
      <c r="C792" t="inlineStr">
        <is>
          <t>Föryngringsavverkning</t>
        </is>
      </c>
      <c r="D792" s="1" t="n">
        <v>44395</v>
      </c>
      <c r="E792" s="1" t="n">
        <v>46216</v>
      </c>
      <c r="F792" t="inlineStr">
        <is>
          <t>BLEKINGE LÄN</t>
        </is>
      </c>
      <c r="G792" t="inlineStr">
        <is>
          <t>KARLSHAMN</t>
        </is>
      </c>
      <c r="I792" t="n">
        <v>2.5</v>
      </c>
      <c r="J792" t="n">
        <v>0</v>
      </c>
      <c r="K792" t="n">
        <v>0</v>
      </c>
      <c r="L792" t="n">
        <v>0</v>
      </c>
      <c r="M792" t="n">
        <v>0</v>
      </c>
      <c r="N792" t="n">
        <v>0</v>
      </c>
      <c r="O792" t="n">
        <v>0</v>
      </c>
      <c r="P792" t="n">
        <v>0</v>
      </c>
      <c r="Q792" t="n">
        <v>0</v>
      </c>
      <c r="R792" t="n">
        <v>0</v>
      </c>
      <c r="S792" t="n">
        <v>0</v>
      </c>
      <c r="T792" t="n">
        <v>0</v>
      </c>
      <c r="U792" s="2" t="inlineStr"/>
    </row>
    <row r="793" ht="15" customHeight="1">
      <c r="A793" t="inlineStr">
        <is>
          <t>A 43360-2025</t>
        </is>
      </c>
      <c r="B793" t="inlineStr">
        <is>
          <t>avverkningsanmälan</t>
        </is>
      </c>
      <c r="C793" t="inlineStr">
        <is>
          <t>Föryngringsavverkning</t>
        </is>
      </c>
      <c r="D793" s="1" t="n">
        <v>45911</v>
      </c>
      <c r="E793" s="1" t="n">
        <v>46216</v>
      </c>
      <c r="F793" t="inlineStr">
        <is>
          <t>BLEKINGE LÄN</t>
        </is>
      </c>
      <c r="G793" t="inlineStr">
        <is>
          <t>KARLSHAMN</t>
        </is>
      </c>
      <c r="I793" t="n">
        <v>0.9</v>
      </c>
      <c r="J793" t="n">
        <v>0</v>
      </c>
      <c r="K793" t="n">
        <v>0</v>
      </c>
      <c r="L793" t="n">
        <v>0</v>
      </c>
      <c r="M793" t="n">
        <v>0</v>
      </c>
      <c r="N793" t="n">
        <v>0</v>
      </c>
      <c r="O793" t="n">
        <v>0</v>
      </c>
      <c r="P793" t="n">
        <v>0</v>
      </c>
      <c r="Q793" t="n">
        <v>0</v>
      </c>
      <c r="R793" t="n">
        <v>0</v>
      </c>
      <c r="S793" t="n">
        <v>0</v>
      </c>
      <c r="T793" t="n">
        <v>0</v>
      </c>
      <c r="U793" s="2" t="inlineStr"/>
    </row>
    <row r="794" ht="15" customHeight="1">
      <c r="A794" t="inlineStr">
        <is>
          <t>A 21811-2023</t>
        </is>
      </c>
      <c r="B794" t="inlineStr">
        <is>
          <t>avverkningsanmälan</t>
        </is>
      </c>
      <c r="C794" t="inlineStr">
        <is>
          <t>Föryngringsavverkning</t>
        </is>
      </c>
      <c r="D794" s="1" t="n">
        <v>45068</v>
      </c>
      <c r="E794" s="1" t="n">
        <v>46216</v>
      </c>
      <c r="F794" t="inlineStr">
        <is>
          <t>BLEKINGE LÄN</t>
        </is>
      </c>
      <c r="G794" t="inlineStr">
        <is>
          <t>KARLSHAMN</t>
        </is>
      </c>
      <c r="H794" t="inlineStr">
        <is>
          <t>Kommuner</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43291-2025</t>
        </is>
      </c>
      <c r="B795" t="inlineStr">
        <is>
          <t>avverkningsanmälan</t>
        </is>
      </c>
      <c r="C795" t="inlineStr">
        <is>
          <t>Avverkning för annat ändamål</t>
        </is>
      </c>
      <c r="D795" s="1" t="n">
        <v>45910</v>
      </c>
      <c r="E795" s="1" t="n">
        <v>46216</v>
      </c>
      <c r="F795" t="inlineStr">
        <is>
          <t>BLEKINGE LÄN</t>
        </is>
      </c>
      <c r="G795" t="inlineStr">
        <is>
          <t>RONNEBY</t>
        </is>
      </c>
      <c r="I795" t="n">
        <v>1.5</v>
      </c>
      <c r="J795" t="n">
        <v>0</v>
      </c>
      <c r="K795" t="n">
        <v>0</v>
      </c>
      <c r="L795" t="n">
        <v>0</v>
      </c>
      <c r="M795" t="n">
        <v>0</v>
      </c>
      <c r="N795" t="n">
        <v>0</v>
      </c>
      <c r="O795" t="n">
        <v>0</v>
      </c>
      <c r="P795" t="n">
        <v>0</v>
      </c>
      <c r="Q795" t="n">
        <v>0</v>
      </c>
      <c r="R795" t="n">
        <v>0</v>
      </c>
      <c r="S795" t="n">
        <v>0</v>
      </c>
      <c r="T795" t="n">
        <v>0</v>
      </c>
      <c r="U795" s="2" t="inlineStr"/>
    </row>
    <row r="796" ht="15" customHeight="1">
      <c r="A796" t="inlineStr">
        <is>
          <t>A 18681-2023</t>
        </is>
      </c>
      <c r="B796" t="inlineStr">
        <is>
          <t>avverkningsanmälan</t>
        </is>
      </c>
      <c r="C796" t="inlineStr">
        <is>
          <t>Föryngringsavverkning</t>
        </is>
      </c>
      <c r="D796" s="1" t="n">
        <v>45043</v>
      </c>
      <c r="E796" s="1" t="n">
        <v>46216</v>
      </c>
      <c r="F796" t="inlineStr">
        <is>
          <t>BLEKINGE LÄN</t>
        </is>
      </c>
      <c r="G796" t="inlineStr">
        <is>
          <t>RONNEBY</t>
        </is>
      </c>
      <c r="I796" t="n">
        <v>0.5</v>
      </c>
      <c r="J796" t="n">
        <v>0</v>
      </c>
      <c r="K796" t="n">
        <v>0</v>
      </c>
      <c r="L796" t="n">
        <v>0</v>
      </c>
      <c r="M796" t="n">
        <v>0</v>
      </c>
      <c r="N796" t="n">
        <v>0</v>
      </c>
      <c r="O796" t="n">
        <v>0</v>
      </c>
      <c r="P796" t="n">
        <v>0</v>
      </c>
      <c r="Q796" t="n">
        <v>0</v>
      </c>
      <c r="R796" t="n">
        <v>0</v>
      </c>
      <c r="S796" t="n">
        <v>0</v>
      </c>
      <c r="T796" t="n">
        <v>0</v>
      </c>
      <c r="U796" s="2" t="inlineStr"/>
    </row>
    <row r="797" ht="15" customHeight="1">
      <c r="A797" t="inlineStr">
        <is>
          <t>A 50966-2023</t>
        </is>
      </c>
      <c r="B797" t="inlineStr">
        <is>
          <t>avverkningsanmälan</t>
        </is>
      </c>
      <c r="C797" t="inlineStr">
        <is>
          <t>Föryngringsavverkning</t>
        </is>
      </c>
      <c r="D797" s="1" t="n">
        <v>45218</v>
      </c>
      <c r="E797" s="1" t="n">
        <v>46216</v>
      </c>
      <c r="F797" t="inlineStr">
        <is>
          <t>BLEKINGE LÄN</t>
        </is>
      </c>
      <c r="G797" t="inlineStr">
        <is>
          <t>KARLSKRONA</t>
        </is>
      </c>
      <c r="I797" t="n">
        <v>1.7</v>
      </c>
      <c r="J797" t="n">
        <v>0</v>
      </c>
      <c r="K797" t="n">
        <v>0</v>
      </c>
      <c r="L797" t="n">
        <v>0</v>
      </c>
      <c r="M797" t="n">
        <v>0</v>
      </c>
      <c r="N797" t="n">
        <v>0</v>
      </c>
      <c r="O797" t="n">
        <v>0</v>
      </c>
      <c r="P797" t="n">
        <v>0</v>
      </c>
      <c r="Q797" t="n">
        <v>0</v>
      </c>
      <c r="R797" t="n">
        <v>0</v>
      </c>
      <c r="S797" t="n">
        <v>0</v>
      </c>
      <c r="T797" t="n">
        <v>0</v>
      </c>
      <c r="U797" s="2" t="inlineStr"/>
    </row>
    <row r="798" ht="15" customHeight="1">
      <c r="A798" t="inlineStr">
        <is>
          <t>A 32130-2025</t>
        </is>
      </c>
      <c r="B798" t="inlineStr">
        <is>
          <t>avverkningsanmälan</t>
        </is>
      </c>
      <c r="C798" t="inlineStr">
        <is>
          <t>Föryngringsavverkning</t>
        </is>
      </c>
      <c r="D798" s="1" t="n">
        <v>45835</v>
      </c>
      <c r="E798" s="1" t="n">
        <v>46216</v>
      </c>
      <c r="F798" t="inlineStr">
        <is>
          <t>BLEKINGE LÄN</t>
        </is>
      </c>
      <c r="G798" t="inlineStr">
        <is>
          <t>RONNEBY</t>
        </is>
      </c>
      <c r="I798" t="n">
        <v>1.6</v>
      </c>
      <c r="J798" t="n">
        <v>0</v>
      </c>
      <c r="K798" t="n">
        <v>0</v>
      </c>
      <c r="L798" t="n">
        <v>0</v>
      </c>
      <c r="M798" t="n">
        <v>0</v>
      </c>
      <c r="N798" t="n">
        <v>0</v>
      </c>
      <c r="O798" t="n">
        <v>0</v>
      </c>
      <c r="P798" t="n">
        <v>0</v>
      </c>
      <c r="Q798" t="n">
        <v>0</v>
      </c>
      <c r="R798" t="n">
        <v>0</v>
      </c>
      <c r="S798" t="n">
        <v>0</v>
      </c>
      <c r="T798" t="n">
        <v>0</v>
      </c>
      <c r="U798" s="2" t="inlineStr"/>
    </row>
    <row r="799" ht="15" customHeight="1">
      <c r="A799" t="inlineStr">
        <is>
          <t>A 32142-2025</t>
        </is>
      </c>
      <c r="B799" t="inlineStr">
        <is>
          <t>avverkningsanmälan</t>
        </is>
      </c>
      <c r="C799" t="inlineStr">
        <is>
          <t>Föryngringsavverkning</t>
        </is>
      </c>
      <c r="D799" s="1" t="n">
        <v>45835</v>
      </c>
      <c r="E799" s="1" t="n">
        <v>46216</v>
      </c>
      <c r="F799" t="inlineStr">
        <is>
          <t>BLEKINGE LÄN</t>
        </is>
      </c>
      <c r="G799" t="inlineStr">
        <is>
          <t>RONNEBY</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59884-2023</t>
        </is>
      </c>
      <c r="B800" t="inlineStr">
        <is>
          <t>avverkningsanmälan</t>
        </is>
      </c>
      <c r="C800" t="inlineStr">
        <is>
          <t>Föryngringsavverkning</t>
        </is>
      </c>
      <c r="D800" s="1" t="n">
        <v>45254</v>
      </c>
      <c r="E800" s="1" t="n">
        <v>46216</v>
      </c>
      <c r="F800" t="inlineStr">
        <is>
          <t>BLEKINGE LÄN</t>
        </is>
      </c>
      <c r="G800" t="inlineStr">
        <is>
          <t>KARLSKRONA</t>
        </is>
      </c>
      <c r="I800" t="n">
        <v>1.5</v>
      </c>
      <c r="J800" t="n">
        <v>0</v>
      </c>
      <c r="K800" t="n">
        <v>0</v>
      </c>
      <c r="L800" t="n">
        <v>0</v>
      </c>
      <c r="M800" t="n">
        <v>0</v>
      </c>
      <c r="N800" t="n">
        <v>0</v>
      </c>
      <c r="O800" t="n">
        <v>0</v>
      </c>
      <c r="P800" t="n">
        <v>0</v>
      </c>
      <c r="Q800" t="n">
        <v>0</v>
      </c>
      <c r="R800" t="n">
        <v>0</v>
      </c>
      <c r="S800" t="n">
        <v>0</v>
      </c>
      <c r="T800" t="n">
        <v>0</v>
      </c>
      <c r="U800" s="2" t="inlineStr"/>
    </row>
    <row r="801" ht="15" customHeight="1">
      <c r="A801" t="inlineStr">
        <is>
          <t>A 44229-2025</t>
        </is>
      </c>
      <c r="B801" t="inlineStr">
        <is>
          <t>avverkningsanmälan</t>
        </is>
      </c>
      <c r="C801" t="inlineStr">
        <is>
          <t>Föryngringsavverkning</t>
        </is>
      </c>
      <c r="D801" s="1" t="n">
        <v>45915</v>
      </c>
      <c r="E801" s="1" t="n">
        <v>46216</v>
      </c>
      <c r="F801" t="inlineStr">
        <is>
          <t>BLEKINGE LÄN</t>
        </is>
      </c>
      <c r="G801" t="inlineStr">
        <is>
          <t>RONNEBY</t>
        </is>
      </c>
      <c r="H801" t="inlineStr">
        <is>
          <t>Övriga Aktiebolag</t>
        </is>
      </c>
      <c r="I801" t="n">
        <v>5.1</v>
      </c>
      <c r="J801" t="n">
        <v>0</v>
      </c>
      <c r="K801" t="n">
        <v>0</v>
      </c>
      <c r="L801" t="n">
        <v>0</v>
      </c>
      <c r="M801" t="n">
        <v>0</v>
      </c>
      <c r="N801" t="n">
        <v>0</v>
      </c>
      <c r="O801" t="n">
        <v>0</v>
      </c>
      <c r="P801" t="n">
        <v>0</v>
      </c>
      <c r="Q801" t="n">
        <v>0</v>
      </c>
      <c r="R801" t="n">
        <v>0</v>
      </c>
      <c r="S801" t="n">
        <v>0</v>
      </c>
      <c r="T801" t="n">
        <v>0</v>
      </c>
      <c r="U801" s="2" t="inlineStr"/>
    </row>
    <row r="802" ht="15" customHeight="1">
      <c r="A802" t="inlineStr">
        <is>
          <t>A 36577-2024</t>
        </is>
      </c>
      <c r="B802" t="inlineStr">
        <is>
          <t>avverkningsanmälan</t>
        </is>
      </c>
      <c r="C802" t="inlineStr">
        <is>
          <t>Föryngringsavverkning</t>
        </is>
      </c>
      <c r="D802" s="1" t="n">
        <v>45537</v>
      </c>
      <c r="E802" s="1" t="n">
        <v>46216</v>
      </c>
      <c r="F802" t="inlineStr">
        <is>
          <t>BLEKINGE LÄN</t>
        </is>
      </c>
      <c r="G802" t="inlineStr">
        <is>
          <t>KARLSKRONA</t>
        </is>
      </c>
      <c r="I802" t="n">
        <v>0.6</v>
      </c>
      <c r="J802" t="n">
        <v>0</v>
      </c>
      <c r="K802" t="n">
        <v>0</v>
      </c>
      <c r="L802" t="n">
        <v>0</v>
      </c>
      <c r="M802" t="n">
        <v>0</v>
      </c>
      <c r="N802" t="n">
        <v>0</v>
      </c>
      <c r="O802" t="n">
        <v>0</v>
      </c>
      <c r="P802" t="n">
        <v>0</v>
      </c>
      <c r="Q802" t="n">
        <v>0</v>
      </c>
      <c r="R802" t="n">
        <v>0</v>
      </c>
      <c r="S802" t="n">
        <v>0</v>
      </c>
      <c r="T802" t="n">
        <v>0</v>
      </c>
      <c r="U802" s="2" t="inlineStr"/>
    </row>
    <row r="803" ht="15" customHeight="1">
      <c r="A803" t="inlineStr">
        <is>
          <t>A 32957-2025</t>
        </is>
      </c>
      <c r="B803" t="inlineStr">
        <is>
          <t>avverkningsanmälan</t>
        </is>
      </c>
      <c r="C803" t="inlineStr">
        <is>
          <t>Föryngringsavverkning</t>
        </is>
      </c>
      <c r="D803" s="1" t="n">
        <v>45839</v>
      </c>
      <c r="E803" s="1" t="n">
        <v>46216</v>
      </c>
      <c r="F803" t="inlineStr">
        <is>
          <t>BLEKINGE LÄN</t>
        </is>
      </c>
      <c r="G803" t="inlineStr">
        <is>
          <t>KARLSKRONA</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44232-2025</t>
        </is>
      </c>
      <c r="B804" t="inlineStr">
        <is>
          <t>avverkningsanmälan</t>
        </is>
      </c>
      <c r="C804" t="inlineStr">
        <is>
          <t>Föryngringsavverkning</t>
        </is>
      </c>
      <c r="D804" s="1" t="n">
        <v>45915</v>
      </c>
      <c r="E804" s="1" t="n">
        <v>46216</v>
      </c>
      <c r="F804" t="inlineStr">
        <is>
          <t>BLEKINGE LÄN</t>
        </is>
      </c>
      <c r="G804" t="inlineStr">
        <is>
          <t>RONNEBY</t>
        </is>
      </c>
      <c r="H804" t="inlineStr">
        <is>
          <t>Övriga Aktiebolag</t>
        </is>
      </c>
      <c r="I804" t="n">
        <v>1.6</v>
      </c>
      <c r="J804" t="n">
        <v>0</v>
      </c>
      <c r="K804" t="n">
        <v>0</v>
      </c>
      <c r="L804" t="n">
        <v>0</v>
      </c>
      <c r="M804" t="n">
        <v>0</v>
      </c>
      <c r="N804" t="n">
        <v>0</v>
      </c>
      <c r="O804" t="n">
        <v>0</v>
      </c>
      <c r="P804" t="n">
        <v>0</v>
      </c>
      <c r="Q804" t="n">
        <v>0</v>
      </c>
      <c r="R804" t="n">
        <v>0</v>
      </c>
      <c r="S804" t="n">
        <v>0</v>
      </c>
      <c r="T804" t="n">
        <v>0</v>
      </c>
      <c r="U804" s="2" t="inlineStr"/>
    </row>
    <row r="805" ht="15" customHeight="1">
      <c r="A805" t="inlineStr">
        <is>
          <t>A 32680-2025</t>
        </is>
      </c>
      <c r="B805" t="inlineStr">
        <is>
          <t>avverkningsanmälan</t>
        </is>
      </c>
      <c r="C805" t="inlineStr">
        <is>
          <t>Föryngringsavverkning</t>
        </is>
      </c>
      <c r="D805" s="1" t="n">
        <v>45838</v>
      </c>
      <c r="E805" s="1" t="n">
        <v>46216</v>
      </c>
      <c r="F805" t="inlineStr">
        <is>
          <t>BLEKINGE LÄN</t>
        </is>
      </c>
      <c r="G805" t="inlineStr">
        <is>
          <t>KARLSKRONA</t>
        </is>
      </c>
      <c r="I805" t="n">
        <v>2.3</v>
      </c>
      <c r="J805" t="n">
        <v>0</v>
      </c>
      <c r="K805" t="n">
        <v>0</v>
      </c>
      <c r="L805" t="n">
        <v>0</v>
      </c>
      <c r="M805" t="n">
        <v>0</v>
      </c>
      <c r="N805" t="n">
        <v>0</v>
      </c>
      <c r="O805" t="n">
        <v>0</v>
      </c>
      <c r="P805" t="n">
        <v>0</v>
      </c>
      <c r="Q805" t="n">
        <v>0</v>
      </c>
      <c r="R805" t="n">
        <v>0</v>
      </c>
      <c r="S805" t="n">
        <v>0</v>
      </c>
      <c r="T805" t="n">
        <v>0</v>
      </c>
      <c r="U805" s="2" t="inlineStr"/>
    </row>
    <row r="806" ht="15" customHeight="1">
      <c r="A806" t="inlineStr">
        <is>
          <t>A 15622-2024</t>
        </is>
      </c>
      <c r="B806" t="inlineStr">
        <is>
          <t>avverkningsanmälan</t>
        </is>
      </c>
      <c r="C806" t="inlineStr">
        <is>
          <t>Föryngringsavverkning</t>
        </is>
      </c>
      <c r="D806" s="1" t="n">
        <v>45402</v>
      </c>
      <c r="E806" s="1" t="n">
        <v>46216</v>
      </c>
      <c r="F806" t="inlineStr">
        <is>
          <t>BLEKINGE LÄN</t>
        </is>
      </c>
      <c r="G806" t="inlineStr">
        <is>
          <t>RONNEBY</t>
        </is>
      </c>
      <c r="I806" t="n">
        <v>3.5</v>
      </c>
      <c r="J806" t="n">
        <v>0</v>
      </c>
      <c r="K806" t="n">
        <v>0</v>
      </c>
      <c r="L806" t="n">
        <v>0</v>
      </c>
      <c r="M806" t="n">
        <v>0</v>
      </c>
      <c r="N806" t="n">
        <v>0</v>
      </c>
      <c r="O806" t="n">
        <v>0</v>
      </c>
      <c r="P806" t="n">
        <v>0</v>
      </c>
      <c r="Q806" t="n">
        <v>0</v>
      </c>
      <c r="R806" t="n">
        <v>0</v>
      </c>
      <c r="S806" t="n">
        <v>0</v>
      </c>
      <c r="T806" t="n">
        <v>0</v>
      </c>
      <c r="U806" s="2" t="inlineStr"/>
    </row>
    <row r="807" ht="15" customHeight="1">
      <c r="A807" t="inlineStr">
        <is>
          <t>A 44231-2025</t>
        </is>
      </c>
      <c r="B807" t="inlineStr">
        <is>
          <t>avverkningsanmälan</t>
        </is>
      </c>
      <c r="C807" t="inlineStr">
        <is>
          <t>Föryngringsavverkning</t>
        </is>
      </c>
      <c r="D807" s="1" t="n">
        <v>45915</v>
      </c>
      <c r="E807" s="1" t="n">
        <v>46216</v>
      </c>
      <c r="F807" t="inlineStr">
        <is>
          <t>BLEKINGE LÄN</t>
        </is>
      </c>
      <c r="G807" t="inlineStr">
        <is>
          <t>RONNEBY</t>
        </is>
      </c>
      <c r="H807" t="inlineStr">
        <is>
          <t>Övriga Aktiebolag</t>
        </is>
      </c>
      <c r="I807" t="n">
        <v>1.9</v>
      </c>
      <c r="J807" t="n">
        <v>0</v>
      </c>
      <c r="K807" t="n">
        <v>0</v>
      </c>
      <c r="L807" t="n">
        <v>0</v>
      </c>
      <c r="M807" t="n">
        <v>0</v>
      </c>
      <c r="N807" t="n">
        <v>0</v>
      </c>
      <c r="O807" t="n">
        <v>0</v>
      </c>
      <c r="P807" t="n">
        <v>0</v>
      </c>
      <c r="Q807" t="n">
        <v>0</v>
      </c>
      <c r="R807" t="n">
        <v>0</v>
      </c>
      <c r="S807" t="n">
        <v>0</v>
      </c>
      <c r="T807" t="n">
        <v>0</v>
      </c>
      <c r="U807" s="2" t="inlineStr"/>
    </row>
    <row r="808" ht="15" customHeight="1">
      <c r="A808" t="inlineStr">
        <is>
          <t>A 6289-2022</t>
        </is>
      </c>
      <c r="B808" t="inlineStr">
        <is>
          <t>avverkningsanmälan</t>
        </is>
      </c>
      <c r="C808" t="inlineStr">
        <is>
          <t>Föryngringsavverkning</t>
        </is>
      </c>
      <c r="D808" s="1" t="n">
        <v>44600</v>
      </c>
      <c r="E808" s="1" t="n">
        <v>46216</v>
      </c>
      <c r="F808" t="inlineStr">
        <is>
          <t>BLEKINGE LÄN</t>
        </is>
      </c>
      <c r="G808" t="inlineStr">
        <is>
          <t>RONNEBY</t>
        </is>
      </c>
      <c r="I808" t="n">
        <v>1.7</v>
      </c>
      <c r="J808" t="n">
        <v>0</v>
      </c>
      <c r="K808" t="n">
        <v>0</v>
      </c>
      <c r="L808" t="n">
        <v>0</v>
      </c>
      <c r="M808" t="n">
        <v>0</v>
      </c>
      <c r="N808" t="n">
        <v>0</v>
      </c>
      <c r="O808" t="n">
        <v>0</v>
      </c>
      <c r="P808" t="n">
        <v>0</v>
      </c>
      <c r="Q808" t="n">
        <v>0</v>
      </c>
      <c r="R808" t="n">
        <v>0</v>
      </c>
      <c r="S808" t="n">
        <v>0</v>
      </c>
      <c r="T808" t="n">
        <v>0</v>
      </c>
      <c r="U808" s="2" t="inlineStr"/>
    </row>
    <row r="809" ht="15" customHeight="1">
      <c r="A809" t="inlineStr">
        <is>
          <t>A 14618-2023</t>
        </is>
      </c>
      <c r="B809" t="inlineStr">
        <is>
          <t>avverkningsanmälan</t>
        </is>
      </c>
      <c r="C809" t="inlineStr">
        <is>
          <t>Föryngringsavverkning</t>
        </is>
      </c>
      <c r="D809" s="1" t="n">
        <v>45013</v>
      </c>
      <c r="E809" s="1" t="n">
        <v>46216</v>
      </c>
      <c r="F809" t="inlineStr">
        <is>
          <t>BLEKINGE LÄN</t>
        </is>
      </c>
      <c r="G809" t="inlineStr">
        <is>
          <t>KARLSKRONA</t>
        </is>
      </c>
      <c r="I809" t="n">
        <v>1</v>
      </c>
      <c r="J809" t="n">
        <v>0</v>
      </c>
      <c r="K809" t="n">
        <v>0</v>
      </c>
      <c r="L809" t="n">
        <v>0</v>
      </c>
      <c r="M809" t="n">
        <v>0</v>
      </c>
      <c r="N809" t="n">
        <v>0</v>
      </c>
      <c r="O809" t="n">
        <v>0</v>
      </c>
      <c r="P809" t="n">
        <v>0</v>
      </c>
      <c r="Q809" t="n">
        <v>0</v>
      </c>
      <c r="R809" t="n">
        <v>0</v>
      </c>
      <c r="S809" t="n">
        <v>0</v>
      </c>
      <c r="T809" t="n">
        <v>0</v>
      </c>
      <c r="U809" s="2" t="inlineStr"/>
    </row>
    <row r="810" ht="15" customHeight="1">
      <c r="A810" t="inlineStr">
        <is>
          <t>A 20164-2023</t>
        </is>
      </c>
      <c r="B810" t="inlineStr">
        <is>
          <t>avverkningsanmälan</t>
        </is>
      </c>
      <c r="C810" t="inlineStr">
        <is>
          <t>Föryngringsavverkning</t>
        </is>
      </c>
      <c r="D810" s="1" t="n">
        <v>45053</v>
      </c>
      <c r="E810" s="1" t="n">
        <v>46216</v>
      </c>
      <c r="F810" t="inlineStr">
        <is>
          <t>BLEKINGE LÄN</t>
        </is>
      </c>
      <c r="G810" t="inlineStr">
        <is>
          <t>SÖLVESBORG</t>
        </is>
      </c>
      <c r="I810" t="n">
        <v>1.8</v>
      </c>
      <c r="J810" t="n">
        <v>0</v>
      </c>
      <c r="K810" t="n">
        <v>0</v>
      </c>
      <c r="L810" t="n">
        <v>0</v>
      </c>
      <c r="M810" t="n">
        <v>0</v>
      </c>
      <c r="N810" t="n">
        <v>0</v>
      </c>
      <c r="O810" t="n">
        <v>0</v>
      </c>
      <c r="P810" t="n">
        <v>0</v>
      </c>
      <c r="Q810" t="n">
        <v>0</v>
      </c>
      <c r="R810" t="n">
        <v>0</v>
      </c>
      <c r="S810" t="n">
        <v>0</v>
      </c>
      <c r="T810" t="n">
        <v>0</v>
      </c>
      <c r="U810" s="2" t="inlineStr"/>
    </row>
    <row r="811" ht="15" customHeight="1">
      <c r="A811" t="inlineStr">
        <is>
          <t>A 32436-2025</t>
        </is>
      </c>
      <c r="B811" t="inlineStr">
        <is>
          <t>avverkningsanmälan</t>
        </is>
      </c>
      <c r="C811" t="inlineStr">
        <is>
          <t>Föryngringsavverkning</t>
        </is>
      </c>
      <c r="D811" s="1" t="n">
        <v>45838</v>
      </c>
      <c r="E811" s="1" t="n">
        <v>46216</v>
      </c>
      <c r="F811" t="inlineStr">
        <is>
          <t>BLEKINGE LÄN</t>
        </is>
      </c>
      <c r="G811" t="inlineStr">
        <is>
          <t>SÖLVESBORG</t>
        </is>
      </c>
      <c r="I811" t="n">
        <v>6.3</v>
      </c>
      <c r="J811" t="n">
        <v>0</v>
      </c>
      <c r="K811" t="n">
        <v>0</v>
      </c>
      <c r="L811" t="n">
        <v>0</v>
      </c>
      <c r="M811" t="n">
        <v>0</v>
      </c>
      <c r="N811" t="n">
        <v>0</v>
      </c>
      <c r="O811" t="n">
        <v>0</v>
      </c>
      <c r="P811" t="n">
        <v>0</v>
      </c>
      <c r="Q811" t="n">
        <v>0</v>
      </c>
      <c r="R811" t="n">
        <v>0</v>
      </c>
      <c r="S811" t="n">
        <v>0</v>
      </c>
      <c r="T811" t="n">
        <v>0</v>
      </c>
      <c r="U811" s="2" t="inlineStr"/>
    </row>
    <row r="812" ht="15" customHeight="1">
      <c r="A812" t="inlineStr">
        <is>
          <t>A 44225-2025</t>
        </is>
      </c>
      <c r="B812" t="inlineStr">
        <is>
          <t>avverkningsanmälan</t>
        </is>
      </c>
      <c r="C812" t="inlineStr">
        <is>
          <t>Föryngringsavverkning</t>
        </is>
      </c>
      <c r="D812" s="1" t="n">
        <v>45915</v>
      </c>
      <c r="E812" s="1" t="n">
        <v>46216</v>
      </c>
      <c r="F812" t="inlineStr">
        <is>
          <t>BLEKINGE LÄN</t>
        </is>
      </c>
      <c r="G812" t="inlineStr">
        <is>
          <t>RONNEBY</t>
        </is>
      </c>
      <c r="H812" t="inlineStr">
        <is>
          <t>Övriga Aktiebolag</t>
        </is>
      </c>
      <c r="I812" t="n">
        <v>2.1</v>
      </c>
      <c r="J812" t="n">
        <v>0</v>
      </c>
      <c r="K812" t="n">
        <v>0</v>
      </c>
      <c r="L812" t="n">
        <v>0</v>
      </c>
      <c r="M812" t="n">
        <v>0</v>
      </c>
      <c r="N812" t="n">
        <v>0</v>
      </c>
      <c r="O812" t="n">
        <v>0</v>
      </c>
      <c r="P812" t="n">
        <v>0</v>
      </c>
      <c r="Q812" t="n">
        <v>0</v>
      </c>
      <c r="R812" t="n">
        <v>0</v>
      </c>
      <c r="S812" t="n">
        <v>0</v>
      </c>
      <c r="T812" t="n">
        <v>0</v>
      </c>
      <c r="U812" s="2" t="inlineStr"/>
    </row>
    <row r="813" ht="15" customHeight="1">
      <c r="A813" t="inlineStr">
        <is>
          <t>A 44213-2025</t>
        </is>
      </c>
      <c r="B813" t="inlineStr">
        <is>
          <t>avverkningsanmälan</t>
        </is>
      </c>
      <c r="C813" t="inlineStr">
        <is>
          <t>Föryngringsavverkning</t>
        </is>
      </c>
      <c r="D813" s="1" t="n">
        <v>45915</v>
      </c>
      <c r="E813" s="1" t="n">
        <v>46216</v>
      </c>
      <c r="F813" t="inlineStr">
        <is>
          <t>BLEKINGE LÄN</t>
        </is>
      </c>
      <c r="G813" t="inlineStr">
        <is>
          <t>RONNEBY</t>
        </is>
      </c>
      <c r="H813" t="inlineStr">
        <is>
          <t>Övriga Aktiebolag</t>
        </is>
      </c>
      <c r="I813" t="n">
        <v>2.2</v>
      </c>
      <c r="J813" t="n">
        <v>0</v>
      </c>
      <c r="K813" t="n">
        <v>0</v>
      </c>
      <c r="L813" t="n">
        <v>0</v>
      </c>
      <c r="M813" t="n">
        <v>0</v>
      </c>
      <c r="N813" t="n">
        <v>0</v>
      </c>
      <c r="O813" t="n">
        <v>0</v>
      </c>
      <c r="P813" t="n">
        <v>0</v>
      </c>
      <c r="Q813" t="n">
        <v>0</v>
      </c>
      <c r="R813" t="n">
        <v>0</v>
      </c>
      <c r="S813" t="n">
        <v>0</v>
      </c>
      <c r="T813" t="n">
        <v>0</v>
      </c>
      <c r="U813" s="2" t="inlineStr"/>
    </row>
    <row r="814" ht="15" customHeight="1">
      <c r="A814" t="inlineStr">
        <is>
          <t>A 44218-2025</t>
        </is>
      </c>
      <c r="B814" t="inlineStr">
        <is>
          <t>avverkningsanmälan</t>
        </is>
      </c>
      <c r="C814" t="inlineStr">
        <is>
          <t>Föryngringsavverkning</t>
        </is>
      </c>
      <c r="D814" s="1" t="n">
        <v>45915</v>
      </c>
      <c r="E814" s="1" t="n">
        <v>46216</v>
      </c>
      <c r="F814" t="inlineStr">
        <is>
          <t>BLEKINGE LÄN</t>
        </is>
      </c>
      <c r="G814" t="inlineStr">
        <is>
          <t>RONNEBY</t>
        </is>
      </c>
      <c r="H814" t="inlineStr">
        <is>
          <t>Övriga Aktiebolag</t>
        </is>
      </c>
      <c r="I814" t="n">
        <v>8</v>
      </c>
      <c r="J814" t="n">
        <v>0</v>
      </c>
      <c r="K814" t="n">
        <v>0</v>
      </c>
      <c r="L814" t="n">
        <v>0</v>
      </c>
      <c r="M814" t="n">
        <v>0</v>
      </c>
      <c r="N814" t="n">
        <v>0</v>
      </c>
      <c r="O814" t="n">
        <v>0</v>
      </c>
      <c r="P814" t="n">
        <v>0</v>
      </c>
      <c r="Q814" t="n">
        <v>0</v>
      </c>
      <c r="R814" t="n">
        <v>0</v>
      </c>
      <c r="S814" t="n">
        <v>0</v>
      </c>
      <c r="T814" t="n">
        <v>0</v>
      </c>
      <c r="U814" s="2" t="inlineStr"/>
    </row>
    <row r="815" ht="15" customHeight="1">
      <c r="A815" t="inlineStr">
        <is>
          <t>A 8619-2025</t>
        </is>
      </c>
      <c r="B815" t="inlineStr">
        <is>
          <t>avverkningsanmälan</t>
        </is>
      </c>
      <c r="C815" t="inlineStr">
        <is>
          <t>Föryngringsavverkning</t>
        </is>
      </c>
      <c r="D815" s="1" t="n">
        <v>45711</v>
      </c>
      <c r="E815" s="1" t="n">
        <v>46216</v>
      </c>
      <c r="F815" t="inlineStr">
        <is>
          <t>BLEKINGE LÄN</t>
        </is>
      </c>
      <c r="G815" t="inlineStr">
        <is>
          <t>KARLSKRONA</t>
        </is>
      </c>
      <c r="I815" t="n">
        <v>1.8</v>
      </c>
      <c r="J815" t="n">
        <v>0</v>
      </c>
      <c r="K815" t="n">
        <v>0</v>
      </c>
      <c r="L815" t="n">
        <v>0</v>
      </c>
      <c r="M815" t="n">
        <v>0</v>
      </c>
      <c r="N815" t="n">
        <v>0</v>
      </c>
      <c r="O815" t="n">
        <v>0</v>
      </c>
      <c r="P815" t="n">
        <v>0</v>
      </c>
      <c r="Q815" t="n">
        <v>0</v>
      </c>
      <c r="R815" t="n">
        <v>0</v>
      </c>
      <c r="S815" t="n">
        <v>0</v>
      </c>
      <c r="T815" t="n">
        <v>0</v>
      </c>
      <c r="U815" s="2" t="inlineStr"/>
    </row>
    <row r="816" ht="15" customHeight="1">
      <c r="A816" t="inlineStr">
        <is>
          <t>A 32701-2025</t>
        </is>
      </c>
      <c r="B816" t="inlineStr">
        <is>
          <t>avverkningsanmälan</t>
        </is>
      </c>
      <c r="C816" t="inlineStr">
        <is>
          <t>Föryngringsavverkning</t>
        </is>
      </c>
      <c r="D816" s="1" t="n">
        <v>45838</v>
      </c>
      <c r="E816" s="1" t="n">
        <v>46216</v>
      </c>
      <c r="F816" t="inlineStr">
        <is>
          <t>BLEKINGE LÄN</t>
        </is>
      </c>
      <c r="G816" t="inlineStr">
        <is>
          <t>RONNEBY</t>
        </is>
      </c>
      <c r="I816" t="n">
        <v>4</v>
      </c>
      <c r="J816" t="n">
        <v>0</v>
      </c>
      <c r="K816" t="n">
        <v>0</v>
      </c>
      <c r="L816" t="n">
        <v>0</v>
      </c>
      <c r="M816" t="n">
        <v>0</v>
      </c>
      <c r="N816" t="n">
        <v>0</v>
      </c>
      <c r="O816" t="n">
        <v>0</v>
      </c>
      <c r="P816" t="n">
        <v>0</v>
      </c>
      <c r="Q816" t="n">
        <v>0</v>
      </c>
      <c r="R816" t="n">
        <v>0</v>
      </c>
      <c r="S816" t="n">
        <v>0</v>
      </c>
      <c r="T816" t="n">
        <v>0</v>
      </c>
      <c r="U816" s="2" t="inlineStr"/>
    </row>
    <row r="817" ht="15" customHeight="1">
      <c r="A817" t="inlineStr">
        <is>
          <t>A 44577-2025</t>
        </is>
      </c>
      <c r="B817" t="inlineStr">
        <is>
          <t>avverkningsanmälan</t>
        </is>
      </c>
      <c r="C817" t="inlineStr">
        <is>
          <t>Föryngringsavverkning</t>
        </is>
      </c>
      <c r="D817" s="1" t="n">
        <v>45917</v>
      </c>
      <c r="E817" s="1" t="n">
        <v>46216</v>
      </c>
      <c r="F817" t="inlineStr">
        <is>
          <t>BLEKINGE LÄN</t>
        </is>
      </c>
      <c r="G817" t="inlineStr">
        <is>
          <t>KARLSKRONA</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32716-2025</t>
        </is>
      </c>
      <c r="B818" t="inlineStr">
        <is>
          <t>avverkningsanmälan</t>
        </is>
      </c>
      <c r="C818" t="inlineStr">
        <is>
          <t>Föryngringsavverkning</t>
        </is>
      </c>
      <c r="D818" s="1" t="n">
        <v>45838</v>
      </c>
      <c r="E818" s="1" t="n">
        <v>46216</v>
      </c>
      <c r="F818" t="inlineStr">
        <is>
          <t>BLEKINGE LÄN</t>
        </is>
      </c>
      <c r="G818" t="inlineStr">
        <is>
          <t>RONNEBY</t>
        </is>
      </c>
      <c r="I818" t="n">
        <v>1.7</v>
      </c>
      <c r="J818" t="n">
        <v>0</v>
      </c>
      <c r="K818" t="n">
        <v>0</v>
      </c>
      <c r="L818" t="n">
        <v>0</v>
      </c>
      <c r="M818" t="n">
        <v>0</v>
      </c>
      <c r="N818" t="n">
        <v>0</v>
      </c>
      <c r="O818" t="n">
        <v>0</v>
      </c>
      <c r="P818" t="n">
        <v>0</v>
      </c>
      <c r="Q818" t="n">
        <v>0</v>
      </c>
      <c r="R818" t="n">
        <v>0</v>
      </c>
      <c r="S818" t="n">
        <v>0</v>
      </c>
      <c r="T818" t="n">
        <v>0</v>
      </c>
      <c r="U818" s="2" t="inlineStr"/>
    </row>
    <row r="819" ht="15" customHeight="1">
      <c r="A819" t="inlineStr">
        <is>
          <t>A 59707-2023</t>
        </is>
      </c>
      <c r="B819" t="inlineStr">
        <is>
          <t>avverkningsanmälan</t>
        </is>
      </c>
      <c r="C819" t="inlineStr">
        <is>
          <t>Föryngringsavverkning</t>
        </is>
      </c>
      <c r="D819" s="1" t="n">
        <v>45256</v>
      </c>
      <c r="E819" s="1" t="n">
        <v>46216</v>
      </c>
      <c r="F819" t="inlineStr">
        <is>
          <t>BLEKINGE LÄN</t>
        </is>
      </c>
      <c r="G819" t="inlineStr">
        <is>
          <t>KARLSKRONA</t>
        </is>
      </c>
      <c r="I819" t="n">
        <v>2.7</v>
      </c>
      <c r="J819" t="n">
        <v>0</v>
      </c>
      <c r="K819" t="n">
        <v>0</v>
      </c>
      <c r="L819" t="n">
        <v>0</v>
      </c>
      <c r="M819" t="n">
        <v>0</v>
      </c>
      <c r="N819" t="n">
        <v>0</v>
      </c>
      <c r="O819" t="n">
        <v>0</v>
      </c>
      <c r="P819" t="n">
        <v>0</v>
      </c>
      <c r="Q819" t="n">
        <v>0</v>
      </c>
      <c r="R819" t="n">
        <v>0</v>
      </c>
      <c r="S819" t="n">
        <v>0</v>
      </c>
      <c r="T819" t="n">
        <v>0</v>
      </c>
      <c r="U819" s="2" t="inlineStr"/>
    </row>
    <row r="820" ht="15" customHeight="1">
      <c r="A820" t="inlineStr">
        <is>
          <t>A 44493-2025</t>
        </is>
      </c>
      <c r="B820" t="inlineStr">
        <is>
          <t>avverkningsanmälan</t>
        </is>
      </c>
      <c r="C820" t="inlineStr">
        <is>
          <t>Föryngringsavverkning</t>
        </is>
      </c>
      <c r="D820" s="1" t="n">
        <v>45916</v>
      </c>
      <c r="E820" s="1" t="n">
        <v>46216</v>
      </c>
      <c r="F820" t="inlineStr">
        <is>
          <t>BLEKINGE LÄN</t>
        </is>
      </c>
      <c r="G820" t="inlineStr">
        <is>
          <t>SÖLVESBORG</t>
        </is>
      </c>
      <c r="I820" t="n">
        <v>3.4</v>
      </c>
      <c r="J820" t="n">
        <v>0</v>
      </c>
      <c r="K820" t="n">
        <v>0</v>
      </c>
      <c r="L820" t="n">
        <v>0</v>
      </c>
      <c r="M820" t="n">
        <v>0</v>
      </c>
      <c r="N820" t="n">
        <v>0</v>
      </c>
      <c r="O820" t="n">
        <v>0</v>
      </c>
      <c r="P820" t="n">
        <v>0</v>
      </c>
      <c r="Q820" t="n">
        <v>0</v>
      </c>
      <c r="R820" t="n">
        <v>0</v>
      </c>
      <c r="S820" t="n">
        <v>0</v>
      </c>
      <c r="T820" t="n">
        <v>0</v>
      </c>
      <c r="U820" s="2" t="inlineStr"/>
    </row>
    <row r="821" ht="15" customHeight="1">
      <c r="A821" t="inlineStr">
        <is>
          <t>A 16783-2024</t>
        </is>
      </c>
      <c r="B821" t="inlineStr">
        <is>
          <t>avverkningsanmälan</t>
        </is>
      </c>
      <c r="C821" t="inlineStr">
        <is>
          <t>Föryngringsavverkning</t>
        </is>
      </c>
      <c r="D821" s="1" t="n">
        <v>45411</v>
      </c>
      <c r="E821" s="1" t="n">
        <v>46216</v>
      </c>
      <c r="F821" t="inlineStr">
        <is>
          <t>BLEKINGE LÄN</t>
        </is>
      </c>
      <c r="G821" t="inlineStr">
        <is>
          <t>KARLSKRONA</t>
        </is>
      </c>
      <c r="I821" t="n">
        <v>1.6</v>
      </c>
      <c r="J821" t="n">
        <v>0</v>
      </c>
      <c r="K821" t="n">
        <v>0</v>
      </c>
      <c r="L821" t="n">
        <v>0</v>
      </c>
      <c r="M821" t="n">
        <v>0</v>
      </c>
      <c r="N821" t="n">
        <v>0</v>
      </c>
      <c r="O821" t="n">
        <v>0</v>
      </c>
      <c r="P821" t="n">
        <v>0</v>
      </c>
      <c r="Q821" t="n">
        <v>0</v>
      </c>
      <c r="R821" t="n">
        <v>0</v>
      </c>
      <c r="S821" t="n">
        <v>0</v>
      </c>
      <c r="T821" t="n">
        <v>0</v>
      </c>
      <c r="U821" s="2" t="inlineStr"/>
    </row>
    <row r="822" ht="15" customHeight="1">
      <c r="A822" t="inlineStr">
        <is>
          <t>A 32514-2025</t>
        </is>
      </c>
      <c r="B822" t="inlineStr">
        <is>
          <t>avverkningsanmälan</t>
        </is>
      </c>
      <c r="C822" t="inlineStr">
        <is>
          <t>Föryngringsavverkning</t>
        </is>
      </c>
      <c r="D822" s="1" t="n">
        <v>45838</v>
      </c>
      <c r="E822" s="1" t="n">
        <v>46216</v>
      </c>
      <c r="F822" t="inlineStr">
        <is>
          <t>BLEKINGE LÄN</t>
        </is>
      </c>
      <c r="G822" t="inlineStr">
        <is>
          <t>SÖLVESBORG</t>
        </is>
      </c>
      <c r="I822" t="n">
        <v>0.5</v>
      </c>
      <c r="J822" t="n">
        <v>0</v>
      </c>
      <c r="K822" t="n">
        <v>0</v>
      </c>
      <c r="L822" t="n">
        <v>0</v>
      </c>
      <c r="M822" t="n">
        <v>0</v>
      </c>
      <c r="N822" t="n">
        <v>0</v>
      </c>
      <c r="O822" t="n">
        <v>0</v>
      </c>
      <c r="P822" t="n">
        <v>0</v>
      </c>
      <c r="Q822" t="n">
        <v>0</v>
      </c>
      <c r="R822" t="n">
        <v>0</v>
      </c>
      <c r="S822" t="n">
        <v>0</v>
      </c>
      <c r="T822" t="n">
        <v>0</v>
      </c>
      <c r="U822" s="2" t="inlineStr"/>
    </row>
    <row r="823" ht="15" customHeight="1">
      <c r="A823" t="inlineStr">
        <is>
          <t>A 44495-2025</t>
        </is>
      </c>
      <c r="B823" t="inlineStr">
        <is>
          <t>avverkningsanmälan</t>
        </is>
      </c>
      <c r="C823" t="inlineStr">
        <is>
          <t>Föryngringsavverkning</t>
        </is>
      </c>
      <c r="D823" s="1" t="n">
        <v>45916</v>
      </c>
      <c r="E823" s="1" t="n">
        <v>46216</v>
      </c>
      <c r="F823" t="inlineStr">
        <is>
          <t>BLEKINGE LÄN</t>
        </is>
      </c>
      <c r="G823" t="inlineStr">
        <is>
          <t>SÖLVESBORG</t>
        </is>
      </c>
      <c r="I823" t="n">
        <v>5.2</v>
      </c>
      <c r="J823" t="n">
        <v>0</v>
      </c>
      <c r="K823" t="n">
        <v>0</v>
      </c>
      <c r="L823" t="n">
        <v>0</v>
      </c>
      <c r="M823" t="n">
        <v>0</v>
      </c>
      <c r="N823" t="n">
        <v>0</v>
      </c>
      <c r="O823" t="n">
        <v>0</v>
      </c>
      <c r="P823" t="n">
        <v>0</v>
      </c>
      <c r="Q823" t="n">
        <v>0</v>
      </c>
      <c r="R823" t="n">
        <v>0</v>
      </c>
      <c r="S823" t="n">
        <v>0</v>
      </c>
      <c r="T823" t="n">
        <v>0</v>
      </c>
      <c r="U823" s="2" t="inlineStr"/>
    </row>
    <row r="824" ht="15" customHeight="1">
      <c r="A824" t="inlineStr">
        <is>
          <t>A 50659-2024</t>
        </is>
      </c>
      <c r="B824" t="inlineStr">
        <is>
          <t>avverkningsanmälan</t>
        </is>
      </c>
      <c r="C824" t="inlineStr">
        <is>
          <t>Föryngringsavverkning</t>
        </is>
      </c>
      <c r="D824" s="1" t="n">
        <v>45601</v>
      </c>
      <c r="E824" s="1" t="n">
        <v>46216</v>
      </c>
      <c r="F824" t="inlineStr">
        <is>
          <t>BLEKINGE LÄN</t>
        </is>
      </c>
      <c r="G824" t="inlineStr">
        <is>
          <t>KARLSHAMN</t>
        </is>
      </c>
      <c r="I824" t="n">
        <v>2.4</v>
      </c>
      <c r="J824" t="n">
        <v>0</v>
      </c>
      <c r="K824" t="n">
        <v>0</v>
      </c>
      <c r="L824" t="n">
        <v>0</v>
      </c>
      <c r="M824" t="n">
        <v>0</v>
      </c>
      <c r="N824" t="n">
        <v>0</v>
      </c>
      <c r="O824" t="n">
        <v>0</v>
      </c>
      <c r="P824" t="n">
        <v>0</v>
      </c>
      <c r="Q824" t="n">
        <v>0</v>
      </c>
      <c r="R824" t="n">
        <v>0</v>
      </c>
      <c r="S824" t="n">
        <v>0</v>
      </c>
      <c r="T824" t="n">
        <v>0</v>
      </c>
      <c r="U824" s="2" t="inlineStr"/>
    </row>
    <row r="825" ht="15" customHeight="1">
      <c r="A825" t="inlineStr">
        <is>
          <t>A 44752-2023</t>
        </is>
      </c>
      <c r="B825" t="inlineStr">
        <is>
          <t>avverkningsanmälan</t>
        </is>
      </c>
      <c r="C825" t="inlineStr">
        <is>
          <t>Föryngringsavverkning</t>
        </is>
      </c>
      <c r="D825" s="1" t="n">
        <v>45184</v>
      </c>
      <c r="E825" s="1" t="n">
        <v>46216</v>
      </c>
      <c r="F825" t="inlineStr">
        <is>
          <t>BLEKINGE LÄN</t>
        </is>
      </c>
      <c r="G825" t="inlineStr">
        <is>
          <t>SÖLVESBORG</t>
        </is>
      </c>
      <c r="I825" t="n">
        <v>4.6</v>
      </c>
      <c r="J825" t="n">
        <v>0</v>
      </c>
      <c r="K825" t="n">
        <v>0</v>
      </c>
      <c r="L825" t="n">
        <v>0</v>
      </c>
      <c r="M825" t="n">
        <v>0</v>
      </c>
      <c r="N825" t="n">
        <v>0</v>
      </c>
      <c r="O825" t="n">
        <v>0</v>
      </c>
      <c r="P825" t="n">
        <v>0</v>
      </c>
      <c r="Q825" t="n">
        <v>0</v>
      </c>
      <c r="R825" t="n">
        <v>0</v>
      </c>
      <c r="S825" t="n">
        <v>0</v>
      </c>
      <c r="T825" t="n">
        <v>0</v>
      </c>
      <c r="U825" s="2" t="inlineStr"/>
    </row>
    <row r="826" ht="15" customHeight="1">
      <c r="A826" t="inlineStr">
        <is>
          <t>A 6238-2025</t>
        </is>
      </c>
      <c r="B826" t="inlineStr">
        <is>
          <t>avverkningsanmälan</t>
        </is>
      </c>
      <c r="C826" t="inlineStr">
        <is>
          <t>Föryngringsavverkning</t>
        </is>
      </c>
      <c r="D826" s="1" t="n">
        <v>45697</v>
      </c>
      <c r="E826" s="1" t="n">
        <v>46216</v>
      </c>
      <c r="F826" t="inlineStr">
        <is>
          <t>BLEKINGE LÄN</t>
        </is>
      </c>
      <c r="G826" t="inlineStr">
        <is>
          <t>KARLSKRONA</t>
        </is>
      </c>
      <c r="I826" t="n">
        <v>0.6</v>
      </c>
      <c r="J826" t="n">
        <v>0</v>
      </c>
      <c r="K826" t="n">
        <v>0</v>
      </c>
      <c r="L826" t="n">
        <v>0</v>
      </c>
      <c r="M826" t="n">
        <v>0</v>
      </c>
      <c r="N826" t="n">
        <v>0</v>
      </c>
      <c r="O826" t="n">
        <v>0</v>
      </c>
      <c r="P826" t="n">
        <v>0</v>
      </c>
      <c r="Q826" t="n">
        <v>0</v>
      </c>
      <c r="R826" t="n">
        <v>0</v>
      </c>
      <c r="S826" t="n">
        <v>0</v>
      </c>
      <c r="T826" t="n">
        <v>0</v>
      </c>
      <c r="U826" s="2" t="inlineStr"/>
    </row>
    <row r="827" ht="15" customHeight="1">
      <c r="A827" t="inlineStr">
        <is>
          <t>A 42389-2021</t>
        </is>
      </c>
      <c r="B827" t="inlineStr">
        <is>
          <t>avverkningsanmälan</t>
        </is>
      </c>
      <c r="C827" t="inlineStr">
        <is>
          <t>Föryngringsavverkning</t>
        </is>
      </c>
      <c r="D827" s="1" t="n">
        <v>44427</v>
      </c>
      <c r="E827" s="1" t="n">
        <v>46216</v>
      </c>
      <c r="F827" t="inlineStr">
        <is>
          <t>BLEKINGE LÄN</t>
        </is>
      </c>
      <c r="G827" t="inlineStr">
        <is>
          <t>RONNEBY</t>
        </is>
      </c>
      <c r="I827" t="n">
        <v>0.5</v>
      </c>
      <c r="J827" t="n">
        <v>0</v>
      </c>
      <c r="K827" t="n">
        <v>0</v>
      </c>
      <c r="L827" t="n">
        <v>0</v>
      </c>
      <c r="M827" t="n">
        <v>0</v>
      </c>
      <c r="N827" t="n">
        <v>0</v>
      </c>
      <c r="O827" t="n">
        <v>0</v>
      </c>
      <c r="P827" t="n">
        <v>0</v>
      </c>
      <c r="Q827" t="n">
        <v>0</v>
      </c>
      <c r="R827" t="n">
        <v>0</v>
      </c>
      <c r="S827" t="n">
        <v>0</v>
      </c>
      <c r="T827" t="n">
        <v>0</v>
      </c>
      <c r="U827" s="2" t="inlineStr"/>
    </row>
    <row r="828" ht="15" customHeight="1">
      <c r="A828" t="inlineStr">
        <is>
          <t>A 33058-2025</t>
        </is>
      </c>
      <c r="B828" t="inlineStr">
        <is>
          <t>avverkningsanmälan</t>
        </is>
      </c>
      <c r="C828" t="inlineStr">
        <is>
          <t>Föryngringsavverkning</t>
        </is>
      </c>
      <c r="D828" s="1" t="n">
        <v>45840</v>
      </c>
      <c r="E828" s="1" t="n">
        <v>46216</v>
      </c>
      <c r="F828" t="inlineStr">
        <is>
          <t>BLEKINGE LÄN</t>
        </is>
      </c>
      <c r="G828" t="inlineStr">
        <is>
          <t>RONNEBY</t>
        </is>
      </c>
      <c r="I828" t="n">
        <v>2.3</v>
      </c>
      <c r="J828" t="n">
        <v>0</v>
      </c>
      <c r="K828" t="n">
        <v>0</v>
      </c>
      <c r="L828" t="n">
        <v>0</v>
      </c>
      <c r="M828" t="n">
        <v>0</v>
      </c>
      <c r="N828" t="n">
        <v>0</v>
      </c>
      <c r="O828" t="n">
        <v>0</v>
      </c>
      <c r="P828" t="n">
        <v>0</v>
      </c>
      <c r="Q828" t="n">
        <v>0</v>
      </c>
      <c r="R828" t="n">
        <v>0</v>
      </c>
      <c r="S828" t="n">
        <v>0</v>
      </c>
      <c r="T828" t="n">
        <v>0</v>
      </c>
      <c r="U828" s="2" t="inlineStr"/>
    </row>
    <row r="829" ht="15" customHeight="1">
      <c r="A829" t="inlineStr">
        <is>
          <t>A 19105-2023</t>
        </is>
      </c>
      <c r="B829" t="inlineStr">
        <is>
          <t>avverkningsanmälan</t>
        </is>
      </c>
      <c r="C829" t="inlineStr">
        <is>
          <t>Föryngringsavverkning</t>
        </is>
      </c>
      <c r="D829" s="1" t="n">
        <v>45048</v>
      </c>
      <c r="E829" s="1" t="n">
        <v>46216</v>
      </c>
      <c r="F829" t="inlineStr">
        <is>
          <t>BLEKINGE LÄN</t>
        </is>
      </c>
      <c r="G829" t="inlineStr">
        <is>
          <t>KARLSKRONA</t>
        </is>
      </c>
      <c r="I829" t="n">
        <v>2.2</v>
      </c>
      <c r="J829" t="n">
        <v>0</v>
      </c>
      <c r="K829" t="n">
        <v>0</v>
      </c>
      <c r="L829" t="n">
        <v>0</v>
      </c>
      <c r="M829" t="n">
        <v>0</v>
      </c>
      <c r="N829" t="n">
        <v>0</v>
      </c>
      <c r="O829" t="n">
        <v>0</v>
      </c>
      <c r="P829" t="n">
        <v>0</v>
      </c>
      <c r="Q829" t="n">
        <v>0</v>
      </c>
      <c r="R829" t="n">
        <v>0</v>
      </c>
      <c r="S829" t="n">
        <v>0</v>
      </c>
      <c r="T829" t="n">
        <v>0</v>
      </c>
      <c r="U829" s="2" t="inlineStr"/>
    </row>
    <row r="830" ht="15" customHeight="1">
      <c r="A830" t="inlineStr">
        <is>
          <t>A 44827-2025</t>
        </is>
      </c>
      <c r="B830" t="inlineStr">
        <is>
          <t>avverkningsanmälan</t>
        </is>
      </c>
      <c r="C830" t="inlineStr">
        <is>
          <t>Föryngringsavverkning</t>
        </is>
      </c>
      <c r="D830" s="1" t="n">
        <v>45918</v>
      </c>
      <c r="E830" s="1" t="n">
        <v>46216</v>
      </c>
      <c r="F830" t="inlineStr">
        <is>
          <t>BLEKINGE LÄN</t>
        </is>
      </c>
      <c r="G830" t="inlineStr">
        <is>
          <t>RONNEBY</t>
        </is>
      </c>
      <c r="I830" t="n">
        <v>2.1</v>
      </c>
      <c r="J830" t="n">
        <v>0</v>
      </c>
      <c r="K830" t="n">
        <v>0</v>
      </c>
      <c r="L830" t="n">
        <v>0</v>
      </c>
      <c r="M830" t="n">
        <v>0</v>
      </c>
      <c r="N830" t="n">
        <v>0</v>
      </c>
      <c r="O830" t="n">
        <v>0</v>
      </c>
      <c r="P830" t="n">
        <v>0</v>
      </c>
      <c r="Q830" t="n">
        <v>0</v>
      </c>
      <c r="R830" t="n">
        <v>0</v>
      </c>
      <c r="S830" t="n">
        <v>0</v>
      </c>
      <c r="T830" t="n">
        <v>0</v>
      </c>
      <c r="U830" s="2" t="inlineStr"/>
    </row>
    <row r="831" ht="15" customHeight="1">
      <c r="A831" t="inlineStr">
        <is>
          <t>A 8094-2022</t>
        </is>
      </c>
      <c r="B831" t="inlineStr">
        <is>
          <t>avverkningsanmälan</t>
        </is>
      </c>
      <c r="C831" t="inlineStr">
        <is>
          <t>Föryngringsavverkning</t>
        </is>
      </c>
      <c r="D831" s="1" t="n">
        <v>44609</v>
      </c>
      <c r="E831" s="1" t="n">
        <v>46216</v>
      </c>
      <c r="F831" t="inlineStr">
        <is>
          <t>BLEKINGE LÄN</t>
        </is>
      </c>
      <c r="G831" t="inlineStr">
        <is>
          <t>KARLSKRONA</t>
        </is>
      </c>
      <c r="H831" t="inlineStr">
        <is>
          <t>Kommuner</t>
        </is>
      </c>
      <c r="I831" t="n">
        <v>2.3</v>
      </c>
      <c r="J831" t="n">
        <v>0</v>
      </c>
      <c r="K831" t="n">
        <v>0</v>
      </c>
      <c r="L831" t="n">
        <v>0</v>
      </c>
      <c r="M831" t="n">
        <v>0</v>
      </c>
      <c r="N831" t="n">
        <v>0</v>
      </c>
      <c r="O831" t="n">
        <v>0</v>
      </c>
      <c r="P831" t="n">
        <v>0</v>
      </c>
      <c r="Q831" t="n">
        <v>0</v>
      </c>
      <c r="R831" t="n">
        <v>0</v>
      </c>
      <c r="S831" t="n">
        <v>0</v>
      </c>
      <c r="T831" t="n">
        <v>0</v>
      </c>
      <c r="U831" s="2" t="inlineStr"/>
    </row>
    <row r="832" ht="15" customHeight="1">
      <c r="A832" t="inlineStr">
        <is>
          <t>A 8104-2022</t>
        </is>
      </c>
      <c r="B832" t="inlineStr">
        <is>
          <t>avverkningsanmälan</t>
        </is>
      </c>
      <c r="C832" t="inlineStr">
        <is>
          <t>Föryngringsavverkning</t>
        </is>
      </c>
      <c r="D832" s="1" t="n">
        <v>44609</v>
      </c>
      <c r="E832" s="1" t="n">
        <v>46216</v>
      </c>
      <c r="F832" t="inlineStr">
        <is>
          <t>BLEKINGE LÄN</t>
        </is>
      </c>
      <c r="G832" t="inlineStr">
        <is>
          <t>KARLSKRONA</t>
        </is>
      </c>
      <c r="H832" t="inlineStr">
        <is>
          <t>Kommuner</t>
        </is>
      </c>
      <c r="I832" t="n">
        <v>4.3</v>
      </c>
      <c r="J832" t="n">
        <v>0</v>
      </c>
      <c r="K832" t="n">
        <v>0</v>
      </c>
      <c r="L832" t="n">
        <v>0</v>
      </c>
      <c r="M832" t="n">
        <v>0</v>
      </c>
      <c r="N832" t="n">
        <v>0</v>
      </c>
      <c r="O832" t="n">
        <v>0</v>
      </c>
      <c r="P832" t="n">
        <v>0</v>
      </c>
      <c r="Q832" t="n">
        <v>0</v>
      </c>
      <c r="R832" t="n">
        <v>0</v>
      </c>
      <c r="S832" t="n">
        <v>0</v>
      </c>
      <c r="T832" t="n">
        <v>0</v>
      </c>
      <c r="U832" s="2" t="inlineStr"/>
    </row>
    <row r="833" ht="15" customHeight="1">
      <c r="A833" t="inlineStr">
        <is>
          <t>A 41204-2022</t>
        </is>
      </c>
      <c r="B833" t="inlineStr">
        <is>
          <t>avverkningsanmälan</t>
        </is>
      </c>
      <c r="C833" t="inlineStr">
        <is>
          <t>Föryngringsavverkning</t>
        </is>
      </c>
      <c r="D833" s="1" t="n">
        <v>44825</v>
      </c>
      <c r="E833" s="1" t="n">
        <v>46216</v>
      </c>
      <c r="F833" t="inlineStr">
        <is>
          <t>BLEKINGE LÄN</t>
        </is>
      </c>
      <c r="G833" t="inlineStr">
        <is>
          <t>KARLSKRONA</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44989-2025</t>
        </is>
      </c>
      <c r="B834" t="inlineStr">
        <is>
          <t>avverkningsanmälan</t>
        </is>
      </c>
      <c r="C834" t="inlineStr">
        <is>
          <t>Föryngringsavverkning</t>
        </is>
      </c>
      <c r="D834" s="1" t="n">
        <v>45918</v>
      </c>
      <c r="E834" s="1" t="n">
        <v>46216</v>
      </c>
      <c r="F834" t="inlineStr">
        <is>
          <t>BLEKINGE LÄN</t>
        </is>
      </c>
      <c r="G834" t="inlineStr">
        <is>
          <t>KARLSKRONA</t>
        </is>
      </c>
      <c r="I834" t="n">
        <v>2.1</v>
      </c>
      <c r="J834" t="n">
        <v>0</v>
      </c>
      <c r="K834" t="n">
        <v>0</v>
      </c>
      <c r="L834" t="n">
        <v>0</v>
      </c>
      <c r="M834" t="n">
        <v>0</v>
      </c>
      <c r="N834" t="n">
        <v>0</v>
      </c>
      <c r="O834" t="n">
        <v>0</v>
      </c>
      <c r="P834" t="n">
        <v>0</v>
      </c>
      <c r="Q834" t="n">
        <v>0</v>
      </c>
      <c r="R834" t="n">
        <v>0</v>
      </c>
      <c r="S834" t="n">
        <v>0</v>
      </c>
      <c r="T834" t="n">
        <v>0</v>
      </c>
      <c r="U834" s="2" t="inlineStr"/>
    </row>
    <row r="835" ht="15" customHeight="1">
      <c r="A835" t="inlineStr">
        <is>
          <t>A 44967-2025</t>
        </is>
      </c>
      <c r="B835" t="inlineStr">
        <is>
          <t>avverkningsanmälan</t>
        </is>
      </c>
      <c r="C835" t="inlineStr">
        <is>
          <t>Föryngringsavverkning</t>
        </is>
      </c>
      <c r="D835" s="1" t="n">
        <v>45918</v>
      </c>
      <c r="E835" s="1" t="n">
        <v>46216</v>
      </c>
      <c r="F835" t="inlineStr">
        <is>
          <t>BLEKINGE LÄN</t>
        </is>
      </c>
      <c r="G835" t="inlineStr">
        <is>
          <t>RONNEBY</t>
        </is>
      </c>
      <c r="I835" t="n">
        <v>2</v>
      </c>
      <c r="J835" t="n">
        <v>0</v>
      </c>
      <c r="K835" t="n">
        <v>0</v>
      </c>
      <c r="L835" t="n">
        <v>0</v>
      </c>
      <c r="M835" t="n">
        <v>0</v>
      </c>
      <c r="N835" t="n">
        <v>0</v>
      </c>
      <c r="O835" t="n">
        <v>0</v>
      </c>
      <c r="P835" t="n">
        <v>0</v>
      </c>
      <c r="Q835" t="n">
        <v>0</v>
      </c>
      <c r="R835" t="n">
        <v>0</v>
      </c>
      <c r="S835" t="n">
        <v>0</v>
      </c>
      <c r="T835" t="n">
        <v>0</v>
      </c>
      <c r="U835" s="2" t="inlineStr"/>
    </row>
    <row r="836" ht="15" customHeight="1">
      <c r="A836" t="inlineStr">
        <is>
          <t>A 61329-2024</t>
        </is>
      </c>
      <c r="B836" t="inlineStr">
        <is>
          <t>avverkningsanmälan</t>
        </is>
      </c>
      <c r="C836" t="inlineStr">
        <is>
          <t>Föryngringsavverkning</t>
        </is>
      </c>
      <c r="D836" s="1" t="n">
        <v>45646</v>
      </c>
      <c r="E836" s="1" t="n">
        <v>46216</v>
      </c>
      <c r="F836" t="inlineStr">
        <is>
          <t>BLEKINGE LÄN</t>
        </is>
      </c>
      <c r="G836" t="inlineStr">
        <is>
          <t>RONNEBY</t>
        </is>
      </c>
      <c r="I836" t="n">
        <v>8.4</v>
      </c>
      <c r="J836" t="n">
        <v>0</v>
      </c>
      <c r="K836" t="n">
        <v>0</v>
      </c>
      <c r="L836" t="n">
        <v>0</v>
      </c>
      <c r="M836" t="n">
        <v>0</v>
      </c>
      <c r="N836" t="n">
        <v>0</v>
      </c>
      <c r="O836" t="n">
        <v>0</v>
      </c>
      <c r="P836" t="n">
        <v>0</v>
      </c>
      <c r="Q836" t="n">
        <v>0</v>
      </c>
      <c r="R836" t="n">
        <v>0</v>
      </c>
      <c r="S836" t="n">
        <v>0</v>
      </c>
      <c r="T836" t="n">
        <v>0</v>
      </c>
      <c r="U836" s="2" t="inlineStr"/>
    </row>
    <row r="837" ht="15" customHeight="1">
      <c r="A837" t="inlineStr">
        <is>
          <t>A 24946-2023</t>
        </is>
      </c>
      <c r="B837" t="inlineStr">
        <is>
          <t>avverkningsanmälan</t>
        </is>
      </c>
      <c r="C837" t="inlineStr">
        <is>
          <t>Föryngringsavverkning</t>
        </is>
      </c>
      <c r="D837" s="1" t="n">
        <v>45085</v>
      </c>
      <c r="E837" s="1" t="n">
        <v>46216</v>
      </c>
      <c r="F837" t="inlineStr">
        <is>
          <t>BLEKINGE LÄN</t>
        </is>
      </c>
      <c r="G837" t="inlineStr">
        <is>
          <t>KARLSKRONA</t>
        </is>
      </c>
      <c r="I837" t="n">
        <v>6.2</v>
      </c>
      <c r="J837" t="n">
        <v>0</v>
      </c>
      <c r="K837" t="n">
        <v>0</v>
      </c>
      <c r="L837" t="n">
        <v>0</v>
      </c>
      <c r="M837" t="n">
        <v>0</v>
      </c>
      <c r="N837" t="n">
        <v>0</v>
      </c>
      <c r="O837" t="n">
        <v>0</v>
      </c>
      <c r="P837" t="n">
        <v>0</v>
      </c>
      <c r="Q837" t="n">
        <v>0</v>
      </c>
      <c r="R837" t="n">
        <v>0</v>
      </c>
      <c r="S837" t="n">
        <v>0</v>
      </c>
      <c r="T837" t="n">
        <v>0</v>
      </c>
      <c r="U837" s="2" t="inlineStr"/>
    </row>
    <row r="838" ht="15" customHeight="1">
      <c r="A838" t="inlineStr">
        <is>
          <t>A 24948-2023</t>
        </is>
      </c>
      <c r="B838" t="inlineStr">
        <is>
          <t>avverkningsanmälan</t>
        </is>
      </c>
      <c r="C838" t="inlineStr">
        <is>
          <t>Föryngringsavverkning</t>
        </is>
      </c>
      <c r="D838" s="1" t="n">
        <v>45085</v>
      </c>
      <c r="E838" s="1" t="n">
        <v>46216</v>
      </c>
      <c r="F838" t="inlineStr">
        <is>
          <t>BLEKINGE LÄN</t>
        </is>
      </c>
      <c r="G838" t="inlineStr">
        <is>
          <t>KARLSKRONA</t>
        </is>
      </c>
      <c r="I838" t="n">
        <v>2.6</v>
      </c>
      <c r="J838" t="n">
        <v>0</v>
      </c>
      <c r="K838" t="n">
        <v>0</v>
      </c>
      <c r="L838" t="n">
        <v>0</v>
      </c>
      <c r="M838" t="n">
        <v>0</v>
      </c>
      <c r="N838" t="n">
        <v>0</v>
      </c>
      <c r="O838" t="n">
        <v>0</v>
      </c>
      <c r="P838" t="n">
        <v>0</v>
      </c>
      <c r="Q838" t="n">
        <v>0</v>
      </c>
      <c r="R838" t="n">
        <v>0</v>
      </c>
      <c r="S838" t="n">
        <v>0</v>
      </c>
      <c r="T838" t="n">
        <v>0</v>
      </c>
      <c r="U838" s="2" t="inlineStr"/>
    </row>
    <row r="839" ht="15" customHeight="1">
      <c r="A839" t="inlineStr">
        <is>
          <t>A 33986-2025</t>
        </is>
      </c>
      <c r="B839" t="inlineStr">
        <is>
          <t>avverkningsanmälan</t>
        </is>
      </c>
      <c r="C839" t="inlineStr">
        <is>
          <t>Föryngringsavverkning</t>
        </is>
      </c>
      <c r="D839" s="1" t="n">
        <v>45843</v>
      </c>
      <c r="E839" s="1" t="n">
        <v>46216</v>
      </c>
      <c r="F839" t="inlineStr">
        <is>
          <t>BLEKINGE LÄN</t>
        </is>
      </c>
      <c r="G839" t="inlineStr">
        <is>
          <t>RONNEBY</t>
        </is>
      </c>
      <c r="I839" t="n">
        <v>0</v>
      </c>
      <c r="J839" t="n">
        <v>0</v>
      </c>
      <c r="K839" t="n">
        <v>0</v>
      </c>
      <c r="L839" t="n">
        <v>0</v>
      </c>
      <c r="M839" t="n">
        <v>0</v>
      </c>
      <c r="N839" t="n">
        <v>0</v>
      </c>
      <c r="O839" t="n">
        <v>0</v>
      </c>
      <c r="P839" t="n">
        <v>0</v>
      </c>
      <c r="Q839" t="n">
        <v>0</v>
      </c>
      <c r="R839" t="n">
        <v>0</v>
      </c>
      <c r="S839" t="n">
        <v>0</v>
      </c>
      <c r="T839" t="n">
        <v>0</v>
      </c>
      <c r="U839" s="2" t="inlineStr"/>
    </row>
    <row r="840" ht="15" customHeight="1">
      <c r="A840" t="inlineStr">
        <is>
          <t>A 28048-2023</t>
        </is>
      </c>
      <c r="B840" t="inlineStr">
        <is>
          <t>avverkningsanmälan</t>
        </is>
      </c>
      <c r="C840" t="inlineStr">
        <is>
          <t>Föryngringsavverkning</t>
        </is>
      </c>
      <c r="D840" s="1" t="n">
        <v>45099</v>
      </c>
      <c r="E840" s="1" t="n">
        <v>46216</v>
      </c>
      <c r="F840" t="inlineStr">
        <is>
          <t>BLEKINGE LÄN</t>
        </is>
      </c>
      <c r="G840" t="inlineStr">
        <is>
          <t>RONNEBY</t>
        </is>
      </c>
      <c r="I840" t="n">
        <v>14.4</v>
      </c>
      <c r="J840" t="n">
        <v>0</v>
      </c>
      <c r="K840" t="n">
        <v>0</v>
      </c>
      <c r="L840" t="n">
        <v>0</v>
      </c>
      <c r="M840" t="n">
        <v>0</v>
      </c>
      <c r="N840" t="n">
        <v>0</v>
      </c>
      <c r="O840" t="n">
        <v>0</v>
      </c>
      <c r="P840" t="n">
        <v>0</v>
      </c>
      <c r="Q840" t="n">
        <v>0</v>
      </c>
      <c r="R840" t="n">
        <v>0</v>
      </c>
      <c r="S840" t="n">
        <v>0</v>
      </c>
      <c r="T840" t="n">
        <v>0</v>
      </c>
      <c r="U840" s="2" t="inlineStr"/>
    </row>
    <row r="841" ht="15" customHeight="1">
      <c r="A841" t="inlineStr">
        <is>
          <t>A 3618-2022</t>
        </is>
      </c>
      <c r="B841" t="inlineStr">
        <is>
          <t>avverkningsanmälan</t>
        </is>
      </c>
      <c r="C841" t="inlineStr">
        <is>
          <t>Föryngringsavverkning</t>
        </is>
      </c>
      <c r="D841" s="1" t="n">
        <v>44586</v>
      </c>
      <c r="E841" s="1" t="n">
        <v>46216</v>
      </c>
      <c r="F841" t="inlineStr">
        <is>
          <t>BLEKINGE LÄN</t>
        </is>
      </c>
      <c r="G841" t="inlineStr">
        <is>
          <t>KARLSKRONA</t>
        </is>
      </c>
      <c r="I841" t="n">
        <v>0.9</v>
      </c>
      <c r="J841" t="n">
        <v>0</v>
      </c>
      <c r="K841" t="n">
        <v>0</v>
      </c>
      <c r="L841" t="n">
        <v>0</v>
      </c>
      <c r="M841" t="n">
        <v>0</v>
      </c>
      <c r="N841" t="n">
        <v>0</v>
      </c>
      <c r="O841" t="n">
        <v>0</v>
      </c>
      <c r="P841" t="n">
        <v>0</v>
      </c>
      <c r="Q841" t="n">
        <v>0</v>
      </c>
      <c r="R841" t="n">
        <v>0</v>
      </c>
      <c r="S841" t="n">
        <v>0</v>
      </c>
      <c r="T841" t="n">
        <v>0</v>
      </c>
      <c r="U841" s="2" t="inlineStr"/>
    </row>
    <row r="842" ht="15" customHeight="1">
      <c r="A842" t="inlineStr">
        <is>
          <t>A 44953-2025</t>
        </is>
      </c>
      <c r="B842" t="inlineStr">
        <is>
          <t>avverkningsanmälan</t>
        </is>
      </c>
      <c r="C842" t="inlineStr">
        <is>
          <t>Föryngringsavverkning</t>
        </is>
      </c>
      <c r="D842" s="1" t="n">
        <v>45918</v>
      </c>
      <c r="E842" s="1" t="n">
        <v>46216</v>
      </c>
      <c r="F842" t="inlineStr">
        <is>
          <t>BLEKINGE LÄN</t>
        </is>
      </c>
      <c r="G842" t="inlineStr">
        <is>
          <t>KARLSHAMN</t>
        </is>
      </c>
      <c r="I842" t="n">
        <v>0.6</v>
      </c>
      <c r="J842" t="n">
        <v>0</v>
      </c>
      <c r="K842" t="n">
        <v>0</v>
      </c>
      <c r="L842" t="n">
        <v>0</v>
      </c>
      <c r="M842" t="n">
        <v>0</v>
      </c>
      <c r="N842" t="n">
        <v>0</v>
      </c>
      <c r="O842" t="n">
        <v>0</v>
      </c>
      <c r="P842" t="n">
        <v>0</v>
      </c>
      <c r="Q842" t="n">
        <v>0</v>
      </c>
      <c r="R842" t="n">
        <v>0</v>
      </c>
      <c r="S842" t="n">
        <v>0</v>
      </c>
      <c r="T842" t="n">
        <v>0</v>
      </c>
      <c r="U842" s="2" t="inlineStr"/>
    </row>
    <row r="843" ht="15" customHeight="1">
      <c r="A843" t="inlineStr">
        <is>
          <t>A 34247-2025</t>
        </is>
      </c>
      <c r="B843" t="inlineStr">
        <is>
          <t>avverkningsanmälan</t>
        </is>
      </c>
      <c r="C843" t="inlineStr">
        <is>
          <t>Föryngringsavverkning</t>
        </is>
      </c>
      <c r="D843" s="1" t="n">
        <v>45845</v>
      </c>
      <c r="E843" s="1" t="n">
        <v>46216</v>
      </c>
      <c r="F843" t="inlineStr">
        <is>
          <t>BLEKINGE LÄN</t>
        </is>
      </c>
      <c r="G843" t="inlineStr">
        <is>
          <t>KARLSHAMN</t>
        </is>
      </c>
      <c r="I843" t="n">
        <v>0.5</v>
      </c>
      <c r="J843" t="n">
        <v>0</v>
      </c>
      <c r="K843" t="n">
        <v>0</v>
      </c>
      <c r="L843" t="n">
        <v>0</v>
      </c>
      <c r="M843" t="n">
        <v>0</v>
      </c>
      <c r="N843" t="n">
        <v>0</v>
      </c>
      <c r="O843" t="n">
        <v>0</v>
      </c>
      <c r="P843" t="n">
        <v>0</v>
      </c>
      <c r="Q843" t="n">
        <v>0</v>
      </c>
      <c r="R843" t="n">
        <v>0</v>
      </c>
      <c r="S843" t="n">
        <v>0</v>
      </c>
      <c r="T843" t="n">
        <v>0</v>
      </c>
      <c r="U843" s="2" t="inlineStr"/>
    </row>
    <row r="844" ht="15" customHeight="1">
      <c r="A844" t="inlineStr">
        <is>
          <t>A 10008-2025</t>
        </is>
      </c>
      <c r="B844" t="inlineStr">
        <is>
          <t>avverkningsanmälan</t>
        </is>
      </c>
      <c r="C844" t="inlineStr">
        <is>
          <t>Föryngringsavverkning</t>
        </is>
      </c>
      <c r="D844" s="1" t="n">
        <v>45719</v>
      </c>
      <c r="E844" s="1" t="n">
        <v>46216</v>
      </c>
      <c r="F844" t="inlineStr">
        <is>
          <t>BLEKINGE LÄN</t>
        </is>
      </c>
      <c r="G844" t="inlineStr">
        <is>
          <t>KARLSHAMN</t>
        </is>
      </c>
      <c r="I844" t="n">
        <v>1.4</v>
      </c>
      <c r="J844" t="n">
        <v>0</v>
      </c>
      <c r="K844" t="n">
        <v>0</v>
      </c>
      <c r="L844" t="n">
        <v>0</v>
      </c>
      <c r="M844" t="n">
        <v>0</v>
      </c>
      <c r="N844" t="n">
        <v>0</v>
      </c>
      <c r="O844" t="n">
        <v>0</v>
      </c>
      <c r="P844" t="n">
        <v>0</v>
      </c>
      <c r="Q844" t="n">
        <v>0</v>
      </c>
      <c r="R844" t="n">
        <v>0</v>
      </c>
      <c r="S844" t="n">
        <v>0</v>
      </c>
      <c r="T844" t="n">
        <v>0</v>
      </c>
      <c r="U844" s="2" t="inlineStr"/>
    </row>
    <row r="845" ht="15" customHeight="1">
      <c r="A845" t="inlineStr">
        <is>
          <t>A 13619-2023</t>
        </is>
      </c>
      <c r="B845" t="inlineStr">
        <is>
          <t>avverkningsanmälan</t>
        </is>
      </c>
      <c r="C845" t="inlineStr">
        <is>
          <t>Föryngringsavverkning</t>
        </is>
      </c>
      <c r="D845" s="1" t="n">
        <v>45006</v>
      </c>
      <c r="E845" s="1" t="n">
        <v>46216</v>
      </c>
      <c r="F845" t="inlineStr">
        <is>
          <t>BLEKINGE LÄN</t>
        </is>
      </c>
      <c r="G845" t="inlineStr">
        <is>
          <t>RONNEBY</t>
        </is>
      </c>
      <c r="I845" t="n">
        <v>1.9</v>
      </c>
      <c r="J845" t="n">
        <v>0</v>
      </c>
      <c r="K845" t="n">
        <v>0</v>
      </c>
      <c r="L845" t="n">
        <v>0</v>
      </c>
      <c r="M845" t="n">
        <v>0</v>
      </c>
      <c r="N845" t="n">
        <v>0</v>
      </c>
      <c r="O845" t="n">
        <v>0</v>
      </c>
      <c r="P845" t="n">
        <v>0</v>
      </c>
      <c r="Q845" t="n">
        <v>0</v>
      </c>
      <c r="R845" t="n">
        <v>0</v>
      </c>
      <c r="S845" t="n">
        <v>0</v>
      </c>
      <c r="T845" t="n">
        <v>0</v>
      </c>
      <c r="U845" s="2" t="inlineStr"/>
    </row>
    <row r="846" ht="15" customHeight="1">
      <c r="A846" t="inlineStr">
        <is>
          <t>A 45317-2025</t>
        </is>
      </c>
      <c r="B846" t="inlineStr">
        <is>
          <t>avverkningsanmälan</t>
        </is>
      </c>
      <c r="C846" t="inlineStr">
        <is>
          <t>Föryngringsavverkning</t>
        </is>
      </c>
      <c r="D846" s="1" t="n">
        <v>45921</v>
      </c>
      <c r="E846" s="1" t="n">
        <v>46216</v>
      </c>
      <c r="F846" t="inlineStr">
        <is>
          <t>BLEKINGE LÄN</t>
        </is>
      </c>
      <c r="G846" t="inlineStr">
        <is>
          <t>RONNEBY</t>
        </is>
      </c>
      <c r="I846" t="n">
        <v>3.8</v>
      </c>
      <c r="J846" t="n">
        <v>0</v>
      </c>
      <c r="K846" t="n">
        <v>0</v>
      </c>
      <c r="L846" t="n">
        <v>0</v>
      </c>
      <c r="M846" t="n">
        <v>0</v>
      </c>
      <c r="N846" t="n">
        <v>0</v>
      </c>
      <c r="O846" t="n">
        <v>0</v>
      </c>
      <c r="P846" t="n">
        <v>0</v>
      </c>
      <c r="Q846" t="n">
        <v>0</v>
      </c>
      <c r="R846" t="n">
        <v>0</v>
      </c>
      <c r="S846" t="n">
        <v>0</v>
      </c>
      <c r="T846" t="n">
        <v>0</v>
      </c>
      <c r="U846" s="2" t="inlineStr"/>
    </row>
    <row r="847" ht="15" customHeight="1">
      <c r="A847" t="inlineStr">
        <is>
          <t>A 36724-2024</t>
        </is>
      </c>
      <c r="B847" t="inlineStr">
        <is>
          <t>avverkningsanmälan</t>
        </is>
      </c>
      <c r="C847" t="inlineStr">
        <is>
          <t>Föryngringsavverkning</t>
        </is>
      </c>
      <c r="D847" s="1" t="n">
        <v>45537</v>
      </c>
      <c r="E847" s="1" t="n">
        <v>46216</v>
      </c>
      <c r="F847" t="inlineStr">
        <is>
          <t>BLEKINGE LÄN</t>
        </is>
      </c>
      <c r="G847" t="inlineStr">
        <is>
          <t>RONNEBY</t>
        </is>
      </c>
      <c r="I847" t="n">
        <v>1.3</v>
      </c>
      <c r="J847" t="n">
        <v>0</v>
      </c>
      <c r="K847" t="n">
        <v>0</v>
      </c>
      <c r="L847" t="n">
        <v>0</v>
      </c>
      <c r="M847" t="n">
        <v>0</v>
      </c>
      <c r="N847" t="n">
        <v>0</v>
      </c>
      <c r="O847" t="n">
        <v>0</v>
      </c>
      <c r="P847" t="n">
        <v>0</v>
      </c>
      <c r="Q847" t="n">
        <v>0</v>
      </c>
      <c r="R847" t="n">
        <v>0</v>
      </c>
      <c r="S847" t="n">
        <v>0</v>
      </c>
      <c r="T847" t="n">
        <v>0</v>
      </c>
      <c r="U847" s="2" t="inlineStr"/>
    </row>
    <row r="848" ht="15" customHeight="1">
      <c r="A848" t="inlineStr">
        <is>
          <t>A 27378-2025</t>
        </is>
      </c>
      <c r="B848" t="inlineStr">
        <is>
          <t>avverkningsanmälan</t>
        </is>
      </c>
      <c r="C848" t="inlineStr">
        <is>
          <t>Föryngringsavverkning</t>
        </is>
      </c>
      <c r="D848" s="1" t="n">
        <v>45812</v>
      </c>
      <c r="E848" s="1" t="n">
        <v>46216</v>
      </c>
      <c r="F848" t="inlineStr">
        <is>
          <t>BLEKINGE LÄN</t>
        </is>
      </c>
      <c r="G848" t="inlineStr">
        <is>
          <t>KARLSKRONA</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48181-2023</t>
        </is>
      </c>
      <c r="B849" t="inlineStr">
        <is>
          <t>avverkningsanmälan</t>
        </is>
      </c>
      <c r="C849" t="inlineStr">
        <is>
          <t>Föryngringsavverkning</t>
        </is>
      </c>
      <c r="D849" s="1" t="n">
        <v>45205</v>
      </c>
      <c r="E849" s="1" t="n">
        <v>46216</v>
      </c>
      <c r="F849" t="inlineStr">
        <is>
          <t>BLEKINGE LÄN</t>
        </is>
      </c>
      <c r="G849" t="inlineStr">
        <is>
          <t>KARLSHAMN</t>
        </is>
      </c>
      <c r="I849" t="n">
        <v>1.8</v>
      </c>
      <c r="J849" t="n">
        <v>0</v>
      </c>
      <c r="K849" t="n">
        <v>0</v>
      </c>
      <c r="L849" t="n">
        <v>0</v>
      </c>
      <c r="M849" t="n">
        <v>0</v>
      </c>
      <c r="N849" t="n">
        <v>0</v>
      </c>
      <c r="O849" t="n">
        <v>0</v>
      </c>
      <c r="P849" t="n">
        <v>0</v>
      </c>
      <c r="Q849" t="n">
        <v>0</v>
      </c>
      <c r="R849" t="n">
        <v>0</v>
      </c>
      <c r="S849" t="n">
        <v>0</v>
      </c>
      <c r="T849" t="n">
        <v>0</v>
      </c>
      <c r="U849" s="2" t="inlineStr"/>
    </row>
    <row r="850" ht="15" customHeight="1">
      <c r="A850" t="inlineStr">
        <is>
          <t>A 48186-2023</t>
        </is>
      </c>
      <c r="B850" t="inlineStr">
        <is>
          <t>avverkningsanmälan</t>
        </is>
      </c>
      <c r="C850" t="inlineStr">
        <is>
          <t>Föryngringsavverkning</t>
        </is>
      </c>
      <c r="D850" s="1" t="n">
        <v>45205</v>
      </c>
      <c r="E850" s="1" t="n">
        <v>46216</v>
      </c>
      <c r="F850" t="inlineStr">
        <is>
          <t>BLEKINGE LÄN</t>
        </is>
      </c>
      <c r="G850" t="inlineStr">
        <is>
          <t>KARLSHAMN</t>
        </is>
      </c>
      <c r="I850" t="n">
        <v>2.4</v>
      </c>
      <c r="J850" t="n">
        <v>0</v>
      </c>
      <c r="K850" t="n">
        <v>0</v>
      </c>
      <c r="L850" t="n">
        <v>0</v>
      </c>
      <c r="M850" t="n">
        <v>0</v>
      </c>
      <c r="N850" t="n">
        <v>0</v>
      </c>
      <c r="O850" t="n">
        <v>0</v>
      </c>
      <c r="P850" t="n">
        <v>0</v>
      </c>
      <c r="Q850" t="n">
        <v>0</v>
      </c>
      <c r="R850" t="n">
        <v>0</v>
      </c>
      <c r="S850" t="n">
        <v>0</v>
      </c>
      <c r="T850" t="n">
        <v>0</v>
      </c>
      <c r="U850" s="2" t="inlineStr"/>
    </row>
    <row r="851" ht="15" customHeight="1">
      <c r="A851" t="inlineStr">
        <is>
          <t>A 44549-2025</t>
        </is>
      </c>
      <c r="B851" t="inlineStr">
        <is>
          <t>avverkningsanmälan</t>
        </is>
      </c>
      <c r="C851" t="inlineStr">
        <is>
          <t>Föryngringsavverkning</t>
        </is>
      </c>
      <c r="D851" s="1" t="n">
        <v>45917</v>
      </c>
      <c r="E851" s="1" t="n">
        <v>46216</v>
      </c>
      <c r="F851" t="inlineStr">
        <is>
          <t>BLEKINGE LÄN</t>
        </is>
      </c>
      <c r="G851" t="inlineStr">
        <is>
          <t>KARLSKRONA</t>
        </is>
      </c>
      <c r="I851" t="n">
        <v>0.6</v>
      </c>
      <c r="J851" t="n">
        <v>0</v>
      </c>
      <c r="K851" t="n">
        <v>0</v>
      </c>
      <c r="L851" t="n">
        <v>0</v>
      </c>
      <c r="M851" t="n">
        <v>0</v>
      </c>
      <c r="N851" t="n">
        <v>0</v>
      </c>
      <c r="O851" t="n">
        <v>0</v>
      </c>
      <c r="P851" t="n">
        <v>0</v>
      </c>
      <c r="Q851" t="n">
        <v>0</v>
      </c>
      <c r="R851" t="n">
        <v>0</v>
      </c>
      <c r="S851" t="n">
        <v>0</v>
      </c>
      <c r="T851" t="n">
        <v>0</v>
      </c>
      <c r="U851" s="2" t="inlineStr"/>
    </row>
    <row r="852" ht="15" customHeight="1">
      <c r="A852" t="inlineStr">
        <is>
          <t>A 5882-2025</t>
        </is>
      </c>
      <c r="B852" t="inlineStr">
        <is>
          <t>avverkningsanmälan</t>
        </is>
      </c>
      <c r="C852" t="inlineStr">
        <is>
          <t>Föryngringsavverkning</t>
        </is>
      </c>
      <c r="D852" s="1" t="n">
        <v>45695</v>
      </c>
      <c r="E852" s="1" t="n">
        <v>46216</v>
      </c>
      <c r="F852" t="inlineStr">
        <is>
          <t>BLEKINGE LÄN</t>
        </is>
      </c>
      <c r="G852" t="inlineStr">
        <is>
          <t>KARLSKRONA</t>
        </is>
      </c>
      <c r="I852" t="n">
        <v>2.5</v>
      </c>
      <c r="J852" t="n">
        <v>0</v>
      </c>
      <c r="K852" t="n">
        <v>0</v>
      </c>
      <c r="L852" t="n">
        <v>0</v>
      </c>
      <c r="M852" t="n">
        <v>0</v>
      </c>
      <c r="N852" t="n">
        <v>0</v>
      </c>
      <c r="O852" t="n">
        <v>0</v>
      </c>
      <c r="P852" t="n">
        <v>0</v>
      </c>
      <c r="Q852" t="n">
        <v>0</v>
      </c>
      <c r="R852" t="n">
        <v>0</v>
      </c>
      <c r="S852" t="n">
        <v>0</v>
      </c>
      <c r="T852" t="n">
        <v>0</v>
      </c>
      <c r="U852" s="2" t="inlineStr"/>
    </row>
    <row r="853" ht="15" customHeight="1">
      <c r="A853" t="inlineStr">
        <is>
          <t>A 45770-2025</t>
        </is>
      </c>
      <c r="B853" t="inlineStr">
        <is>
          <t>avverkningsanmälan</t>
        </is>
      </c>
      <c r="C853" t="inlineStr">
        <is>
          <t>Föryngringsavverkning</t>
        </is>
      </c>
      <c r="D853" s="1" t="n">
        <v>45923</v>
      </c>
      <c r="E853" s="1" t="n">
        <v>46216</v>
      </c>
      <c r="F853" t="inlineStr">
        <is>
          <t>BLEKINGE LÄN</t>
        </is>
      </c>
      <c r="G853" t="inlineStr">
        <is>
          <t>KARLSKRONA</t>
        </is>
      </c>
      <c r="I853" t="n">
        <v>1.7</v>
      </c>
      <c r="J853" t="n">
        <v>0</v>
      </c>
      <c r="K853" t="n">
        <v>0</v>
      </c>
      <c r="L853" t="n">
        <v>0</v>
      </c>
      <c r="M853" t="n">
        <v>0</v>
      </c>
      <c r="N853" t="n">
        <v>0</v>
      </c>
      <c r="O853" t="n">
        <v>0</v>
      </c>
      <c r="P853" t="n">
        <v>0</v>
      </c>
      <c r="Q853" t="n">
        <v>0</v>
      </c>
      <c r="R853" t="n">
        <v>0</v>
      </c>
      <c r="S853" t="n">
        <v>0</v>
      </c>
      <c r="T853" t="n">
        <v>0</v>
      </c>
      <c r="U853" s="2" t="inlineStr"/>
    </row>
    <row r="854" ht="15" customHeight="1">
      <c r="A854" t="inlineStr">
        <is>
          <t>A 45377-2025</t>
        </is>
      </c>
      <c r="B854" t="inlineStr">
        <is>
          <t>avverkningsanmälan</t>
        </is>
      </c>
      <c r="C854" t="inlineStr">
        <is>
          <t>Föryngringsavverkning</t>
        </is>
      </c>
      <c r="D854" s="1" t="n">
        <v>45922</v>
      </c>
      <c r="E854" s="1" t="n">
        <v>46216</v>
      </c>
      <c r="F854" t="inlineStr">
        <is>
          <t>BLEKINGE LÄN</t>
        </is>
      </c>
      <c r="G854" t="inlineStr">
        <is>
          <t>KARLSKRONA</t>
        </is>
      </c>
      <c r="I854" t="n">
        <v>1</v>
      </c>
      <c r="J854" t="n">
        <v>0</v>
      </c>
      <c r="K854" t="n">
        <v>0</v>
      </c>
      <c r="L854" t="n">
        <v>0</v>
      </c>
      <c r="M854" t="n">
        <v>0</v>
      </c>
      <c r="N854" t="n">
        <v>0</v>
      </c>
      <c r="O854" t="n">
        <v>0</v>
      </c>
      <c r="P854" t="n">
        <v>0</v>
      </c>
      <c r="Q854" t="n">
        <v>0</v>
      </c>
      <c r="R854" t="n">
        <v>0</v>
      </c>
      <c r="S854" t="n">
        <v>0</v>
      </c>
      <c r="T854" t="n">
        <v>0</v>
      </c>
      <c r="U854" s="2" t="inlineStr"/>
    </row>
    <row r="855" ht="15" customHeight="1">
      <c r="A855" t="inlineStr">
        <is>
          <t>A 55077-2025</t>
        </is>
      </c>
      <c r="B855" t="inlineStr">
        <is>
          <t>avverkningsanmälan</t>
        </is>
      </c>
      <c r="C855" t="inlineStr">
        <is>
          <t>Föryngringsavverkning</t>
        </is>
      </c>
      <c r="D855" s="1" t="n">
        <v>45967</v>
      </c>
      <c r="E855" s="1" t="n">
        <v>46216</v>
      </c>
      <c r="F855" t="inlineStr">
        <is>
          <t>BLEKINGE LÄN</t>
        </is>
      </c>
      <c r="G855" t="inlineStr">
        <is>
          <t>KARLSHAMN</t>
        </is>
      </c>
      <c r="H855" t="inlineStr">
        <is>
          <t>Sveaskog</t>
        </is>
      </c>
      <c r="I855" t="n">
        <v>4.8</v>
      </c>
      <c r="J855" t="n">
        <v>0</v>
      </c>
      <c r="K855" t="n">
        <v>0</v>
      </c>
      <c r="L855" t="n">
        <v>0</v>
      </c>
      <c r="M855" t="n">
        <v>0</v>
      </c>
      <c r="N855" t="n">
        <v>0</v>
      </c>
      <c r="O855" t="n">
        <v>0</v>
      </c>
      <c r="P855" t="n">
        <v>0</v>
      </c>
      <c r="Q855" t="n">
        <v>0</v>
      </c>
      <c r="R855" t="n">
        <v>0</v>
      </c>
      <c r="S855" t="n">
        <v>0</v>
      </c>
      <c r="T855" t="n">
        <v>0</v>
      </c>
      <c r="U855" s="2" t="inlineStr"/>
    </row>
    <row r="856" ht="15" customHeight="1">
      <c r="A856" t="inlineStr">
        <is>
          <t>A 34458-2025</t>
        </is>
      </c>
      <c r="B856" t="inlineStr">
        <is>
          <t>avverkningsanmälan</t>
        </is>
      </c>
      <c r="C856" t="inlineStr">
        <is>
          <t>Föryngringsavverkning</t>
        </is>
      </c>
      <c r="D856" s="1" t="n">
        <v>45846</v>
      </c>
      <c r="E856" s="1" t="n">
        <v>46216</v>
      </c>
      <c r="F856" t="inlineStr">
        <is>
          <t>BLEKINGE LÄN</t>
        </is>
      </c>
      <c r="G856" t="inlineStr">
        <is>
          <t>KARLSHAMN</t>
        </is>
      </c>
      <c r="I856" t="n">
        <v>6.2</v>
      </c>
      <c r="J856" t="n">
        <v>0</v>
      </c>
      <c r="K856" t="n">
        <v>0</v>
      </c>
      <c r="L856" t="n">
        <v>0</v>
      </c>
      <c r="M856" t="n">
        <v>0</v>
      </c>
      <c r="N856" t="n">
        <v>0</v>
      </c>
      <c r="O856" t="n">
        <v>0</v>
      </c>
      <c r="P856" t="n">
        <v>0</v>
      </c>
      <c r="Q856" t="n">
        <v>0</v>
      </c>
      <c r="R856" t="n">
        <v>0</v>
      </c>
      <c r="S856" t="n">
        <v>0</v>
      </c>
      <c r="T856" t="n">
        <v>0</v>
      </c>
      <c r="U856" s="2" t="inlineStr"/>
    </row>
    <row r="857" ht="15" customHeight="1">
      <c r="A857" t="inlineStr">
        <is>
          <t>A 9953-2025</t>
        </is>
      </c>
      <c r="B857" t="inlineStr">
        <is>
          <t>avverkningsanmälan</t>
        </is>
      </c>
      <c r="C857" t="inlineStr">
        <is>
          <t>Föryngringsavverkning</t>
        </is>
      </c>
      <c r="D857" s="1" t="n">
        <v>45719</v>
      </c>
      <c r="E857" s="1" t="n">
        <v>46216</v>
      </c>
      <c r="F857" t="inlineStr">
        <is>
          <t>BLEKINGE LÄN</t>
        </is>
      </c>
      <c r="G857" t="inlineStr">
        <is>
          <t>RONNEBY</t>
        </is>
      </c>
      <c r="I857" t="n">
        <v>0.5</v>
      </c>
      <c r="J857" t="n">
        <v>0</v>
      </c>
      <c r="K857" t="n">
        <v>0</v>
      </c>
      <c r="L857" t="n">
        <v>0</v>
      </c>
      <c r="M857" t="n">
        <v>0</v>
      </c>
      <c r="N857" t="n">
        <v>0</v>
      </c>
      <c r="O857" t="n">
        <v>0</v>
      </c>
      <c r="P857" t="n">
        <v>0</v>
      </c>
      <c r="Q857" t="n">
        <v>0</v>
      </c>
      <c r="R857" t="n">
        <v>0</v>
      </c>
      <c r="S857" t="n">
        <v>0</v>
      </c>
      <c r="T857" t="n">
        <v>0</v>
      </c>
      <c r="U857" s="2" t="inlineStr"/>
    </row>
    <row r="858" ht="15" customHeight="1">
      <c r="A858" t="inlineStr">
        <is>
          <t>A 45368-2025</t>
        </is>
      </c>
      <c r="B858" t="inlineStr">
        <is>
          <t>avverkningsanmälan</t>
        </is>
      </c>
      <c r="C858" t="inlineStr">
        <is>
          <t>Föryngringsavverkning</t>
        </is>
      </c>
      <c r="D858" s="1" t="n">
        <v>45922</v>
      </c>
      <c r="E858" s="1" t="n">
        <v>46216</v>
      </c>
      <c r="F858" t="inlineStr">
        <is>
          <t>BLEKINGE LÄN</t>
        </is>
      </c>
      <c r="G858" t="inlineStr">
        <is>
          <t>KARLSKRONA</t>
        </is>
      </c>
      <c r="I858" t="n">
        <v>1.9</v>
      </c>
      <c r="J858" t="n">
        <v>0</v>
      </c>
      <c r="K858" t="n">
        <v>0</v>
      </c>
      <c r="L858" t="n">
        <v>0</v>
      </c>
      <c r="M858" t="n">
        <v>0</v>
      </c>
      <c r="N858" t="n">
        <v>0</v>
      </c>
      <c r="O858" t="n">
        <v>0</v>
      </c>
      <c r="P858" t="n">
        <v>0</v>
      </c>
      <c r="Q858" t="n">
        <v>0</v>
      </c>
      <c r="R858" t="n">
        <v>0</v>
      </c>
      <c r="S858" t="n">
        <v>0</v>
      </c>
      <c r="T858" t="n">
        <v>0</v>
      </c>
      <c r="U858" s="2" t="inlineStr"/>
    </row>
    <row r="859" ht="15" customHeight="1">
      <c r="A859" t="inlineStr">
        <is>
          <t>A 45724-2025</t>
        </is>
      </c>
      <c r="B859" t="inlineStr">
        <is>
          <t>avverkningsanmälan</t>
        </is>
      </c>
      <c r="C859" t="inlineStr">
        <is>
          <t>Föryngringsavverkning</t>
        </is>
      </c>
      <c r="D859" s="1" t="n">
        <v>45923</v>
      </c>
      <c r="E859" s="1" t="n">
        <v>46216</v>
      </c>
      <c r="F859" t="inlineStr">
        <is>
          <t>BLEKINGE LÄN</t>
        </is>
      </c>
      <c r="G859" t="inlineStr">
        <is>
          <t>RONNEBY</t>
        </is>
      </c>
      <c r="I859" t="n">
        <v>2.5</v>
      </c>
      <c r="J859" t="n">
        <v>0</v>
      </c>
      <c r="K859" t="n">
        <v>0</v>
      </c>
      <c r="L859" t="n">
        <v>0</v>
      </c>
      <c r="M859" t="n">
        <v>0</v>
      </c>
      <c r="N859" t="n">
        <v>0</v>
      </c>
      <c r="O859" t="n">
        <v>0</v>
      </c>
      <c r="P859" t="n">
        <v>0</v>
      </c>
      <c r="Q859" t="n">
        <v>0</v>
      </c>
      <c r="R859" t="n">
        <v>0</v>
      </c>
      <c r="S859" t="n">
        <v>0</v>
      </c>
      <c r="T859" t="n">
        <v>0</v>
      </c>
      <c r="U859" s="2" t="inlineStr"/>
    </row>
    <row r="860" ht="15" customHeight="1">
      <c r="A860" t="inlineStr">
        <is>
          <t>A 45687-2025</t>
        </is>
      </c>
      <c r="B860" t="inlineStr">
        <is>
          <t>avverkningsanmälan</t>
        </is>
      </c>
      <c r="C860" t="inlineStr">
        <is>
          <t>Föryngringsavverkning</t>
        </is>
      </c>
      <c r="D860" s="1" t="n">
        <v>45923</v>
      </c>
      <c r="E860" s="1" t="n">
        <v>46216</v>
      </c>
      <c r="F860" t="inlineStr">
        <is>
          <t>BLEKINGE LÄN</t>
        </is>
      </c>
      <c r="G860" t="inlineStr">
        <is>
          <t>KARLSKRONA</t>
        </is>
      </c>
      <c r="I860" t="n">
        <v>0.9</v>
      </c>
      <c r="J860" t="n">
        <v>0</v>
      </c>
      <c r="K860" t="n">
        <v>0</v>
      </c>
      <c r="L860" t="n">
        <v>0</v>
      </c>
      <c r="M860" t="n">
        <v>0</v>
      </c>
      <c r="N860" t="n">
        <v>0</v>
      </c>
      <c r="O860" t="n">
        <v>0</v>
      </c>
      <c r="P860" t="n">
        <v>0</v>
      </c>
      <c r="Q860" t="n">
        <v>0</v>
      </c>
      <c r="R860" t="n">
        <v>0</v>
      </c>
      <c r="S860" t="n">
        <v>0</v>
      </c>
      <c r="T860" t="n">
        <v>0</v>
      </c>
      <c r="U860" s="2" t="inlineStr"/>
    </row>
    <row r="861" ht="15" customHeight="1">
      <c r="A861" t="inlineStr">
        <is>
          <t>A 34302-2025</t>
        </is>
      </c>
      <c r="B861" t="inlineStr">
        <is>
          <t>avverkningsanmälan</t>
        </is>
      </c>
      <c r="C861" t="inlineStr">
        <is>
          <t>Föryngringsavverkning</t>
        </is>
      </c>
      <c r="D861" s="1" t="n">
        <v>45846</v>
      </c>
      <c r="E861" s="1" t="n">
        <v>46216</v>
      </c>
      <c r="F861" t="inlineStr">
        <is>
          <t>BLEKINGE LÄN</t>
        </is>
      </c>
      <c r="G861" t="inlineStr">
        <is>
          <t>RONNEBY</t>
        </is>
      </c>
      <c r="I861" t="n">
        <v>0</v>
      </c>
      <c r="J861" t="n">
        <v>0</v>
      </c>
      <c r="K861" t="n">
        <v>0</v>
      </c>
      <c r="L861" t="n">
        <v>0</v>
      </c>
      <c r="M861" t="n">
        <v>0</v>
      </c>
      <c r="N861" t="n">
        <v>0</v>
      </c>
      <c r="O861" t="n">
        <v>0</v>
      </c>
      <c r="P861" t="n">
        <v>0</v>
      </c>
      <c r="Q861" t="n">
        <v>0</v>
      </c>
      <c r="R861" t="n">
        <v>0</v>
      </c>
      <c r="S861" t="n">
        <v>0</v>
      </c>
      <c r="T861" t="n">
        <v>0</v>
      </c>
      <c r="U861" s="2" t="inlineStr"/>
    </row>
    <row r="862" ht="15" customHeight="1">
      <c r="A862" t="inlineStr">
        <is>
          <t>A 34307-2025</t>
        </is>
      </c>
      <c r="B862" t="inlineStr">
        <is>
          <t>avverkningsanmälan</t>
        </is>
      </c>
      <c r="C862" t="inlineStr">
        <is>
          <t>Föryngringsavverkning</t>
        </is>
      </c>
      <c r="D862" s="1" t="n">
        <v>45846</v>
      </c>
      <c r="E862" s="1" t="n">
        <v>46216</v>
      </c>
      <c r="F862" t="inlineStr">
        <is>
          <t>BLEKINGE LÄN</t>
        </is>
      </c>
      <c r="G862" t="inlineStr">
        <is>
          <t>RONNEBY</t>
        </is>
      </c>
      <c r="I862" t="n">
        <v>0</v>
      </c>
      <c r="J862" t="n">
        <v>0</v>
      </c>
      <c r="K862" t="n">
        <v>0</v>
      </c>
      <c r="L862" t="n">
        <v>0</v>
      </c>
      <c r="M862" t="n">
        <v>0</v>
      </c>
      <c r="N862" t="n">
        <v>0</v>
      </c>
      <c r="O862" t="n">
        <v>0</v>
      </c>
      <c r="P862" t="n">
        <v>0</v>
      </c>
      <c r="Q862" t="n">
        <v>0</v>
      </c>
      <c r="R862" t="n">
        <v>0</v>
      </c>
      <c r="S862" t="n">
        <v>0</v>
      </c>
      <c r="T862" t="n">
        <v>0</v>
      </c>
      <c r="U862" s="2" t="inlineStr"/>
    </row>
    <row r="863" ht="15" customHeight="1">
      <c r="A863" t="inlineStr">
        <is>
          <t>A 45718-2025</t>
        </is>
      </c>
      <c r="B863" t="inlineStr">
        <is>
          <t>avverkningsanmälan</t>
        </is>
      </c>
      <c r="C863" t="inlineStr">
        <is>
          <t>Föryngringsavverkning</t>
        </is>
      </c>
      <c r="D863" s="1" t="n">
        <v>45923</v>
      </c>
      <c r="E863" s="1" t="n">
        <v>46216</v>
      </c>
      <c r="F863" t="inlineStr">
        <is>
          <t>BLEKINGE LÄN</t>
        </is>
      </c>
      <c r="G863" t="inlineStr">
        <is>
          <t>KARLSKRONA</t>
        </is>
      </c>
      <c r="I863" t="n">
        <v>1.9</v>
      </c>
      <c r="J863" t="n">
        <v>0</v>
      </c>
      <c r="K863" t="n">
        <v>0</v>
      </c>
      <c r="L863" t="n">
        <v>0</v>
      </c>
      <c r="M863" t="n">
        <v>0</v>
      </c>
      <c r="N863" t="n">
        <v>0</v>
      </c>
      <c r="O863" t="n">
        <v>0</v>
      </c>
      <c r="P863" t="n">
        <v>0</v>
      </c>
      <c r="Q863" t="n">
        <v>0</v>
      </c>
      <c r="R863" t="n">
        <v>0</v>
      </c>
      <c r="S863" t="n">
        <v>0</v>
      </c>
      <c r="T863" t="n">
        <v>0</v>
      </c>
      <c r="U863" s="2" t="inlineStr"/>
    </row>
    <row r="864" ht="15" customHeight="1">
      <c r="A864" t="inlineStr">
        <is>
          <t>A 39984-2022</t>
        </is>
      </c>
      <c r="B864" t="inlineStr">
        <is>
          <t>avverkningsanmälan</t>
        </is>
      </c>
      <c r="C864" t="inlineStr">
        <is>
          <t>Föryngringsavverkning</t>
        </is>
      </c>
      <c r="D864" s="1" t="n">
        <v>44820</v>
      </c>
      <c r="E864" s="1" t="n">
        <v>46216</v>
      </c>
      <c r="F864" t="inlineStr">
        <is>
          <t>BLEKINGE LÄN</t>
        </is>
      </c>
      <c r="G864" t="inlineStr">
        <is>
          <t>KARLSKRONA</t>
        </is>
      </c>
      <c r="I864" t="n">
        <v>3</v>
      </c>
      <c r="J864" t="n">
        <v>0</v>
      </c>
      <c r="K864" t="n">
        <v>0</v>
      </c>
      <c r="L864" t="n">
        <v>0</v>
      </c>
      <c r="M864" t="n">
        <v>0</v>
      </c>
      <c r="N864" t="n">
        <v>0</v>
      </c>
      <c r="O864" t="n">
        <v>0</v>
      </c>
      <c r="P864" t="n">
        <v>0</v>
      </c>
      <c r="Q864" t="n">
        <v>0</v>
      </c>
      <c r="R864" t="n">
        <v>0</v>
      </c>
      <c r="S864" t="n">
        <v>0</v>
      </c>
      <c r="T864" t="n">
        <v>0</v>
      </c>
      <c r="U864" s="2" t="inlineStr"/>
    </row>
    <row r="865" ht="15" customHeight="1">
      <c r="A865" t="inlineStr">
        <is>
          <t>A 33558-2023</t>
        </is>
      </c>
      <c r="B865" t="inlineStr">
        <is>
          <t>avverkningsanmälan</t>
        </is>
      </c>
      <c r="C865" t="inlineStr">
        <is>
          <t>Föryngringsavverkning</t>
        </is>
      </c>
      <c r="D865" s="1" t="n">
        <v>45118</v>
      </c>
      <c r="E865" s="1" t="n">
        <v>46216</v>
      </c>
      <c r="F865" t="inlineStr">
        <is>
          <t>BLEKINGE LÄN</t>
        </is>
      </c>
      <c r="G865" t="inlineStr">
        <is>
          <t>RONNEBY</t>
        </is>
      </c>
      <c r="I865" t="n">
        <v>2.6</v>
      </c>
      <c r="J865" t="n">
        <v>0</v>
      </c>
      <c r="K865" t="n">
        <v>0</v>
      </c>
      <c r="L865" t="n">
        <v>0</v>
      </c>
      <c r="M865" t="n">
        <v>0</v>
      </c>
      <c r="N865" t="n">
        <v>0</v>
      </c>
      <c r="O865" t="n">
        <v>0</v>
      </c>
      <c r="P865" t="n">
        <v>0</v>
      </c>
      <c r="Q865" t="n">
        <v>0</v>
      </c>
      <c r="R865" t="n">
        <v>0</v>
      </c>
      <c r="S865" t="n">
        <v>0</v>
      </c>
      <c r="T865" t="n">
        <v>0</v>
      </c>
      <c r="U865" s="2" t="inlineStr"/>
    </row>
    <row r="866" ht="15" customHeight="1">
      <c r="A866" t="inlineStr">
        <is>
          <t>A 46299-2025</t>
        </is>
      </c>
      <c r="B866" t="inlineStr">
        <is>
          <t>avverkningsanmälan</t>
        </is>
      </c>
      <c r="C866" t="inlineStr">
        <is>
          <t>Föryngringsavverkning</t>
        </is>
      </c>
      <c r="D866" s="1" t="n">
        <v>45925</v>
      </c>
      <c r="E866" s="1" t="n">
        <v>46216</v>
      </c>
      <c r="F866" t="inlineStr">
        <is>
          <t>BLEKINGE LÄN</t>
        </is>
      </c>
      <c r="G866" t="inlineStr">
        <is>
          <t>RONNEBY</t>
        </is>
      </c>
      <c r="I866" t="n">
        <v>4.5</v>
      </c>
      <c r="J866" t="n">
        <v>0</v>
      </c>
      <c r="K866" t="n">
        <v>0</v>
      </c>
      <c r="L866" t="n">
        <v>0</v>
      </c>
      <c r="M866" t="n">
        <v>0</v>
      </c>
      <c r="N866" t="n">
        <v>0</v>
      </c>
      <c r="O866" t="n">
        <v>0</v>
      </c>
      <c r="P866" t="n">
        <v>0</v>
      </c>
      <c r="Q866" t="n">
        <v>0</v>
      </c>
      <c r="R866" t="n">
        <v>0</v>
      </c>
      <c r="S866" t="n">
        <v>0</v>
      </c>
      <c r="T866" t="n">
        <v>0</v>
      </c>
      <c r="U866" s="2" t="inlineStr"/>
    </row>
    <row r="867" ht="15" customHeight="1">
      <c r="A867" t="inlineStr">
        <is>
          <t>A 55999-2024</t>
        </is>
      </c>
      <c r="B867" t="inlineStr">
        <is>
          <t>avverkningsanmälan</t>
        </is>
      </c>
      <c r="C867" t="inlineStr">
        <is>
          <t>Föryngringsavverkning</t>
        </is>
      </c>
      <c r="D867" s="1" t="n">
        <v>45623</v>
      </c>
      <c r="E867" s="1" t="n">
        <v>46216</v>
      </c>
      <c r="F867" t="inlineStr">
        <is>
          <t>BLEKINGE LÄN</t>
        </is>
      </c>
      <c r="G867" t="inlineStr">
        <is>
          <t>OLOFSTRÖM</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46315-2025</t>
        </is>
      </c>
      <c r="B868" t="inlineStr">
        <is>
          <t>avverkningsanmälan</t>
        </is>
      </c>
      <c r="C868" t="inlineStr">
        <is>
          <t>Föryngringsavverkning</t>
        </is>
      </c>
      <c r="D868" s="1" t="n">
        <v>45925</v>
      </c>
      <c r="E868" s="1" t="n">
        <v>46216</v>
      </c>
      <c r="F868" t="inlineStr">
        <is>
          <t>BLEKINGE LÄN</t>
        </is>
      </c>
      <c r="G868" t="inlineStr">
        <is>
          <t>OLOFSTRÖM</t>
        </is>
      </c>
      <c r="I868" t="n">
        <v>1.9</v>
      </c>
      <c r="J868" t="n">
        <v>0</v>
      </c>
      <c r="K868" t="n">
        <v>0</v>
      </c>
      <c r="L868" t="n">
        <v>0</v>
      </c>
      <c r="M868" t="n">
        <v>0</v>
      </c>
      <c r="N868" t="n">
        <v>0</v>
      </c>
      <c r="O868" t="n">
        <v>0</v>
      </c>
      <c r="P868" t="n">
        <v>0</v>
      </c>
      <c r="Q868" t="n">
        <v>0</v>
      </c>
      <c r="R868" t="n">
        <v>0</v>
      </c>
      <c r="S868" t="n">
        <v>0</v>
      </c>
      <c r="T868" t="n">
        <v>0</v>
      </c>
      <c r="U868" s="2" t="inlineStr"/>
    </row>
    <row r="869" ht="15" customHeight="1">
      <c r="A869" t="inlineStr">
        <is>
          <t>A 46325-2025</t>
        </is>
      </c>
      <c r="B869" t="inlineStr">
        <is>
          <t>avverkningsanmälan</t>
        </is>
      </c>
      <c r="C869" t="inlineStr">
        <is>
          <t>Föryngringsavverkning</t>
        </is>
      </c>
      <c r="D869" s="1" t="n">
        <v>45925</v>
      </c>
      <c r="E869" s="1" t="n">
        <v>46216</v>
      </c>
      <c r="F869" t="inlineStr">
        <is>
          <t>BLEKINGE LÄN</t>
        </is>
      </c>
      <c r="G869" t="inlineStr">
        <is>
          <t>OLOFSTRÖM</t>
        </is>
      </c>
      <c r="I869" t="n">
        <v>1.4</v>
      </c>
      <c r="J869" t="n">
        <v>0</v>
      </c>
      <c r="K869" t="n">
        <v>0</v>
      </c>
      <c r="L869" t="n">
        <v>0</v>
      </c>
      <c r="M869" t="n">
        <v>0</v>
      </c>
      <c r="N869" t="n">
        <v>0</v>
      </c>
      <c r="O869" t="n">
        <v>0</v>
      </c>
      <c r="P869" t="n">
        <v>0</v>
      </c>
      <c r="Q869" t="n">
        <v>0</v>
      </c>
      <c r="R869" t="n">
        <v>0</v>
      </c>
      <c r="S869" t="n">
        <v>0</v>
      </c>
      <c r="T869" t="n">
        <v>0</v>
      </c>
      <c r="U869" s="2" t="inlineStr"/>
    </row>
    <row r="870" ht="15" customHeight="1">
      <c r="A870" t="inlineStr">
        <is>
          <t>A 38788-2025</t>
        </is>
      </c>
      <c r="B870" t="inlineStr">
        <is>
          <t>avverkningsanmälan</t>
        </is>
      </c>
      <c r="C870" t="inlineStr">
        <is>
          <t>Föryngringsavverkning</t>
        </is>
      </c>
      <c r="D870" s="1" t="n">
        <v>45887</v>
      </c>
      <c r="E870" s="1" t="n">
        <v>46216</v>
      </c>
      <c r="F870" t="inlineStr">
        <is>
          <t>BLEKINGE LÄN</t>
        </is>
      </c>
      <c r="G870" t="inlineStr">
        <is>
          <t>KARLSKRONA</t>
        </is>
      </c>
      <c r="I870" t="n">
        <v>0.9</v>
      </c>
      <c r="J870" t="n">
        <v>0</v>
      </c>
      <c r="K870" t="n">
        <v>0</v>
      </c>
      <c r="L870" t="n">
        <v>0</v>
      </c>
      <c r="M870" t="n">
        <v>0</v>
      </c>
      <c r="N870" t="n">
        <v>0</v>
      </c>
      <c r="O870" t="n">
        <v>0</v>
      </c>
      <c r="P870" t="n">
        <v>0</v>
      </c>
      <c r="Q870" t="n">
        <v>0</v>
      </c>
      <c r="R870" t="n">
        <v>0</v>
      </c>
      <c r="S870" t="n">
        <v>0</v>
      </c>
      <c r="T870" t="n">
        <v>0</v>
      </c>
      <c r="U870" s="2" t="inlineStr"/>
    </row>
    <row r="871" ht="15" customHeight="1">
      <c r="A871" t="inlineStr">
        <is>
          <t>A 34967-2025</t>
        </is>
      </c>
      <c r="B871" t="inlineStr">
        <is>
          <t>avverkningsanmälan</t>
        </is>
      </c>
      <c r="C871" t="inlineStr">
        <is>
          <t>Föryngringsavverkning</t>
        </is>
      </c>
      <c r="D871" s="1" t="n">
        <v>45849</v>
      </c>
      <c r="E871" s="1" t="n">
        <v>46216</v>
      </c>
      <c r="F871" t="inlineStr">
        <is>
          <t>BLEKINGE LÄN</t>
        </is>
      </c>
      <c r="G871" t="inlineStr">
        <is>
          <t>KARLSHAMN</t>
        </is>
      </c>
      <c r="I871" t="n">
        <v>0.6</v>
      </c>
      <c r="J871" t="n">
        <v>0</v>
      </c>
      <c r="K871" t="n">
        <v>0</v>
      </c>
      <c r="L871" t="n">
        <v>0</v>
      </c>
      <c r="M871" t="n">
        <v>0</v>
      </c>
      <c r="N871" t="n">
        <v>0</v>
      </c>
      <c r="O871" t="n">
        <v>0</v>
      </c>
      <c r="P871" t="n">
        <v>0</v>
      </c>
      <c r="Q871" t="n">
        <v>0</v>
      </c>
      <c r="R871" t="n">
        <v>0</v>
      </c>
      <c r="S871" t="n">
        <v>0</v>
      </c>
      <c r="T871" t="n">
        <v>0</v>
      </c>
      <c r="U871" s="2" t="inlineStr"/>
    </row>
    <row r="872" ht="15" customHeight="1">
      <c r="A872" t="inlineStr">
        <is>
          <t>A 6563-2025</t>
        </is>
      </c>
      <c r="B872" t="inlineStr">
        <is>
          <t>avverkningsanmälan</t>
        </is>
      </c>
      <c r="C872" t="inlineStr">
        <is>
          <t>Föryngringsavverkning</t>
        </is>
      </c>
      <c r="D872" s="1" t="n">
        <v>45699</v>
      </c>
      <c r="E872" s="1" t="n">
        <v>46216</v>
      </c>
      <c r="F872" t="inlineStr">
        <is>
          <t>BLEKINGE LÄN</t>
        </is>
      </c>
      <c r="G872" t="inlineStr">
        <is>
          <t>OLOFSTRÖM</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7726-2025</t>
        </is>
      </c>
      <c r="B873" t="inlineStr">
        <is>
          <t>avverkningsanmälan</t>
        </is>
      </c>
      <c r="C873" t="inlineStr">
        <is>
          <t>Föryngringsavverkning</t>
        </is>
      </c>
      <c r="D873" s="1" t="n">
        <v>45706</v>
      </c>
      <c r="E873" s="1" t="n">
        <v>46216</v>
      </c>
      <c r="F873" t="inlineStr">
        <is>
          <t>BLEKINGE LÄN</t>
        </is>
      </c>
      <c r="G873" t="inlineStr">
        <is>
          <t>RONNEBY</t>
        </is>
      </c>
      <c r="I873" t="n">
        <v>3.1</v>
      </c>
      <c r="J873" t="n">
        <v>0</v>
      </c>
      <c r="K873" t="n">
        <v>0</v>
      </c>
      <c r="L873" t="n">
        <v>0</v>
      </c>
      <c r="M873" t="n">
        <v>0</v>
      </c>
      <c r="N873" t="n">
        <v>0</v>
      </c>
      <c r="O873" t="n">
        <v>0</v>
      </c>
      <c r="P873" t="n">
        <v>0</v>
      </c>
      <c r="Q873" t="n">
        <v>0</v>
      </c>
      <c r="R873" t="n">
        <v>0</v>
      </c>
      <c r="S873" t="n">
        <v>0</v>
      </c>
      <c r="T873" t="n">
        <v>0</v>
      </c>
      <c r="U873" s="2" t="inlineStr"/>
    </row>
    <row r="874" ht="15" customHeight="1">
      <c r="A874" t="inlineStr">
        <is>
          <t>A 24179-2022</t>
        </is>
      </c>
      <c r="B874" t="inlineStr">
        <is>
          <t>avverkningsanmälan</t>
        </is>
      </c>
      <c r="C874" t="inlineStr">
        <is>
          <t>Föryngringsavverkning</t>
        </is>
      </c>
      <c r="D874" s="1" t="n">
        <v>44725</v>
      </c>
      <c r="E874" s="1" t="n">
        <v>46216</v>
      </c>
      <c r="F874" t="inlineStr">
        <is>
          <t>BLEKINGE LÄN</t>
        </is>
      </c>
      <c r="G874" t="inlineStr">
        <is>
          <t>KARLSKRONA</t>
        </is>
      </c>
      <c r="I874" t="n">
        <v>3.3</v>
      </c>
      <c r="J874" t="n">
        <v>0</v>
      </c>
      <c r="K874" t="n">
        <v>0</v>
      </c>
      <c r="L874" t="n">
        <v>0</v>
      </c>
      <c r="M874" t="n">
        <v>0</v>
      </c>
      <c r="N874" t="n">
        <v>0</v>
      </c>
      <c r="O874" t="n">
        <v>0</v>
      </c>
      <c r="P874" t="n">
        <v>0</v>
      </c>
      <c r="Q874" t="n">
        <v>0</v>
      </c>
      <c r="R874" t="n">
        <v>0</v>
      </c>
      <c r="S874" t="n">
        <v>0</v>
      </c>
      <c r="T874" t="n">
        <v>0</v>
      </c>
      <c r="U874" s="2" t="inlineStr"/>
    </row>
    <row r="875" ht="15" customHeight="1">
      <c r="A875" t="inlineStr">
        <is>
          <t>A 15589-2025</t>
        </is>
      </c>
      <c r="B875" t="inlineStr">
        <is>
          <t>avverkningsanmälan</t>
        </is>
      </c>
      <c r="C875" t="inlineStr">
        <is>
          <t>Föryngringsavverkning</t>
        </is>
      </c>
      <c r="D875" s="1" t="n">
        <v>45747</v>
      </c>
      <c r="E875" s="1" t="n">
        <v>46216</v>
      </c>
      <c r="F875" t="inlineStr">
        <is>
          <t>BLEKINGE LÄN</t>
        </is>
      </c>
      <c r="G875" t="inlineStr">
        <is>
          <t>KARLSKRONA</t>
        </is>
      </c>
      <c r="I875" t="n">
        <v>4.1</v>
      </c>
      <c r="J875" t="n">
        <v>0</v>
      </c>
      <c r="K875" t="n">
        <v>0</v>
      </c>
      <c r="L875" t="n">
        <v>0</v>
      </c>
      <c r="M875" t="n">
        <v>0</v>
      </c>
      <c r="N875" t="n">
        <v>0</v>
      </c>
      <c r="O875" t="n">
        <v>0</v>
      </c>
      <c r="P875" t="n">
        <v>0</v>
      </c>
      <c r="Q875" t="n">
        <v>0</v>
      </c>
      <c r="R875" t="n">
        <v>0</v>
      </c>
      <c r="S875" t="n">
        <v>0</v>
      </c>
      <c r="T875" t="n">
        <v>0</v>
      </c>
      <c r="U875" s="2" t="inlineStr"/>
    </row>
    <row r="876" ht="15" customHeight="1">
      <c r="A876" t="inlineStr">
        <is>
          <t>A 46354-2025</t>
        </is>
      </c>
      <c r="B876" t="inlineStr">
        <is>
          <t>avverkningsanmälan</t>
        </is>
      </c>
      <c r="C876" t="inlineStr">
        <is>
          <t>Föryngringsavverkning</t>
        </is>
      </c>
      <c r="D876" s="1" t="n">
        <v>45925</v>
      </c>
      <c r="E876" s="1" t="n">
        <v>46216</v>
      </c>
      <c r="F876" t="inlineStr">
        <is>
          <t>BLEKINGE LÄN</t>
        </is>
      </c>
      <c r="G876" t="inlineStr">
        <is>
          <t>KARLSKRONA</t>
        </is>
      </c>
      <c r="I876" t="n">
        <v>2</v>
      </c>
      <c r="J876" t="n">
        <v>0</v>
      </c>
      <c r="K876" t="n">
        <v>0</v>
      </c>
      <c r="L876" t="n">
        <v>0</v>
      </c>
      <c r="M876" t="n">
        <v>0</v>
      </c>
      <c r="N876" t="n">
        <v>0</v>
      </c>
      <c r="O876" t="n">
        <v>0</v>
      </c>
      <c r="P876" t="n">
        <v>0</v>
      </c>
      <c r="Q876" t="n">
        <v>0</v>
      </c>
      <c r="R876" t="n">
        <v>0</v>
      </c>
      <c r="S876" t="n">
        <v>0</v>
      </c>
      <c r="T876" t="n">
        <v>0</v>
      </c>
      <c r="U876" s="2" t="inlineStr"/>
    </row>
    <row r="877" ht="15" customHeight="1">
      <c r="A877" t="inlineStr">
        <is>
          <t>A 62698-2023</t>
        </is>
      </c>
      <c r="B877" t="inlineStr">
        <is>
          <t>avverkningsanmälan</t>
        </is>
      </c>
      <c r="C877" t="inlineStr">
        <is>
          <t>Föryngringsavverkning</t>
        </is>
      </c>
      <c r="D877" s="1" t="n">
        <v>45268</v>
      </c>
      <c r="E877" s="1" t="n">
        <v>46216</v>
      </c>
      <c r="F877" t="inlineStr">
        <is>
          <t>BLEKINGE LÄN</t>
        </is>
      </c>
      <c r="G877" t="inlineStr">
        <is>
          <t>OLOFSTRÖM</t>
        </is>
      </c>
      <c r="H877" t="inlineStr">
        <is>
          <t>Övriga Aktiebolag</t>
        </is>
      </c>
      <c r="I877" t="n">
        <v>2.5</v>
      </c>
      <c r="J877" t="n">
        <v>0</v>
      </c>
      <c r="K877" t="n">
        <v>0</v>
      </c>
      <c r="L877" t="n">
        <v>0</v>
      </c>
      <c r="M877" t="n">
        <v>0</v>
      </c>
      <c r="N877" t="n">
        <v>0</v>
      </c>
      <c r="O877" t="n">
        <v>0</v>
      </c>
      <c r="P877" t="n">
        <v>0</v>
      </c>
      <c r="Q877" t="n">
        <v>0</v>
      </c>
      <c r="R877" t="n">
        <v>0</v>
      </c>
      <c r="S877" t="n">
        <v>0</v>
      </c>
      <c r="T877" t="n">
        <v>0</v>
      </c>
      <c r="U877" s="2" t="inlineStr"/>
    </row>
    <row r="878" ht="15" customHeight="1">
      <c r="A878" t="inlineStr">
        <is>
          <t>A 52696-2023</t>
        </is>
      </c>
      <c r="B878" t="inlineStr">
        <is>
          <t>avverkningsanmälan</t>
        </is>
      </c>
      <c r="C878" t="inlineStr">
        <is>
          <t>Föryngringsavverkning</t>
        </is>
      </c>
      <c r="D878" s="1" t="n">
        <v>45225</v>
      </c>
      <c r="E878" s="1" t="n">
        <v>46216</v>
      </c>
      <c r="F878" t="inlineStr">
        <is>
          <t>BLEKINGE LÄN</t>
        </is>
      </c>
      <c r="G878" t="inlineStr">
        <is>
          <t>KARLSKRONA</t>
        </is>
      </c>
      <c r="I878" t="n">
        <v>0.5</v>
      </c>
      <c r="J878" t="n">
        <v>0</v>
      </c>
      <c r="K878" t="n">
        <v>0</v>
      </c>
      <c r="L878" t="n">
        <v>0</v>
      </c>
      <c r="M878" t="n">
        <v>0</v>
      </c>
      <c r="N878" t="n">
        <v>0</v>
      </c>
      <c r="O878" t="n">
        <v>0</v>
      </c>
      <c r="P878" t="n">
        <v>0</v>
      </c>
      <c r="Q878" t="n">
        <v>0</v>
      </c>
      <c r="R878" t="n">
        <v>0</v>
      </c>
      <c r="S878" t="n">
        <v>0</v>
      </c>
      <c r="T878" t="n">
        <v>0</v>
      </c>
      <c r="U878" s="2" t="inlineStr"/>
    </row>
    <row r="879" ht="15" customHeight="1">
      <c r="A879" t="inlineStr">
        <is>
          <t>A 46752-2025</t>
        </is>
      </c>
      <c r="B879" t="inlineStr">
        <is>
          <t>avverkningsanmälan</t>
        </is>
      </c>
      <c r="C879" t="inlineStr">
        <is>
          <t>Föryngringsavverkning</t>
        </is>
      </c>
      <c r="D879" s="1" t="n">
        <v>45926</v>
      </c>
      <c r="E879" s="1" t="n">
        <v>46216</v>
      </c>
      <c r="F879" t="inlineStr">
        <is>
          <t>BLEKINGE LÄN</t>
        </is>
      </c>
      <c r="G879" t="inlineStr">
        <is>
          <t>KARLSHAMN</t>
        </is>
      </c>
      <c r="I879" t="n">
        <v>2.3</v>
      </c>
      <c r="J879" t="n">
        <v>0</v>
      </c>
      <c r="K879" t="n">
        <v>0</v>
      </c>
      <c r="L879" t="n">
        <v>0</v>
      </c>
      <c r="M879" t="n">
        <v>0</v>
      </c>
      <c r="N879" t="n">
        <v>0</v>
      </c>
      <c r="O879" t="n">
        <v>0</v>
      </c>
      <c r="P879" t="n">
        <v>0</v>
      </c>
      <c r="Q879" t="n">
        <v>0</v>
      </c>
      <c r="R879" t="n">
        <v>0</v>
      </c>
      <c r="S879" t="n">
        <v>0</v>
      </c>
      <c r="T879" t="n">
        <v>0</v>
      </c>
      <c r="U879" s="2" t="inlineStr"/>
    </row>
    <row r="880" ht="15" customHeight="1">
      <c r="A880" t="inlineStr">
        <is>
          <t>A 43636-2025</t>
        </is>
      </c>
      <c r="B880" t="inlineStr">
        <is>
          <t>avverkningsanmälan</t>
        </is>
      </c>
      <c r="C880" t="inlineStr">
        <is>
          <t>Föryngringsavverkning</t>
        </is>
      </c>
      <c r="D880" s="1" t="n">
        <v>45911</v>
      </c>
      <c r="E880" s="1" t="n">
        <v>46216</v>
      </c>
      <c r="F880" t="inlineStr">
        <is>
          <t>BLEKINGE LÄN</t>
        </is>
      </c>
      <c r="G880" t="inlineStr">
        <is>
          <t>KARLSHAMN</t>
        </is>
      </c>
      <c r="I880" t="n">
        <v>3</v>
      </c>
      <c r="J880" t="n">
        <v>0</v>
      </c>
      <c r="K880" t="n">
        <v>0</v>
      </c>
      <c r="L880" t="n">
        <v>0</v>
      </c>
      <c r="M880" t="n">
        <v>0</v>
      </c>
      <c r="N880" t="n">
        <v>0</v>
      </c>
      <c r="O880" t="n">
        <v>0</v>
      </c>
      <c r="P880" t="n">
        <v>0</v>
      </c>
      <c r="Q880" t="n">
        <v>0</v>
      </c>
      <c r="R880" t="n">
        <v>0</v>
      </c>
      <c r="S880" t="n">
        <v>0</v>
      </c>
      <c r="T880" t="n">
        <v>0</v>
      </c>
      <c r="U880" s="2" t="inlineStr"/>
    </row>
    <row r="881" ht="15" customHeight="1">
      <c r="A881" t="inlineStr">
        <is>
          <t>A 47155-2025</t>
        </is>
      </c>
      <c r="B881" t="inlineStr">
        <is>
          <t>avverkningsanmälan</t>
        </is>
      </c>
      <c r="C881" t="inlineStr">
        <is>
          <t>Föryngringsavverkning</t>
        </is>
      </c>
      <c r="D881" s="1" t="n">
        <v>45929</v>
      </c>
      <c r="E881" s="1" t="n">
        <v>46216</v>
      </c>
      <c r="F881" t="inlineStr">
        <is>
          <t>BLEKINGE LÄN</t>
        </is>
      </c>
      <c r="G881" t="inlineStr">
        <is>
          <t>KARLSKRONA</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16867-2025</t>
        </is>
      </c>
      <c r="B882" t="inlineStr">
        <is>
          <t>avverkningsanmälan</t>
        </is>
      </c>
      <c r="C882" t="inlineStr">
        <is>
          <t>Föryngringsavverkning</t>
        </is>
      </c>
      <c r="D882" s="1" t="n">
        <v>45754</v>
      </c>
      <c r="E882" s="1" t="n">
        <v>46216</v>
      </c>
      <c r="F882" t="inlineStr">
        <is>
          <t>BLEKINGE LÄN</t>
        </is>
      </c>
      <c r="G882" t="inlineStr">
        <is>
          <t>RONNEBY</t>
        </is>
      </c>
      <c r="I882" t="n">
        <v>0.6</v>
      </c>
      <c r="J882" t="n">
        <v>0</v>
      </c>
      <c r="K882" t="n">
        <v>0</v>
      </c>
      <c r="L882" t="n">
        <v>0</v>
      </c>
      <c r="M882" t="n">
        <v>0</v>
      </c>
      <c r="N882" t="n">
        <v>0</v>
      </c>
      <c r="O882" t="n">
        <v>0</v>
      </c>
      <c r="P882" t="n">
        <v>0</v>
      </c>
      <c r="Q882" t="n">
        <v>0</v>
      </c>
      <c r="R882" t="n">
        <v>0</v>
      </c>
      <c r="S882" t="n">
        <v>0</v>
      </c>
      <c r="T882" t="n">
        <v>0</v>
      </c>
      <c r="U882" s="2" t="inlineStr"/>
    </row>
    <row r="883" ht="15" customHeight="1">
      <c r="A883" t="inlineStr">
        <is>
          <t>A 2197-2024</t>
        </is>
      </c>
      <c r="B883" t="inlineStr">
        <is>
          <t>avverkningsanmälan</t>
        </is>
      </c>
      <c r="C883" t="inlineStr">
        <is>
          <t>Föryngringsavverkning</t>
        </is>
      </c>
      <c r="D883" s="1" t="n">
        <v>45309</v>
      </c>
      <c r="E883" s="1" t="n">
        <v>46216</v>
      </c>
      <c r="F883" t="inlineStr">
        <is>
          <t>BLEKINGE LÄN</t>
        </is>
      </c>
      <c r="G883" t="inlineStr">
        <is>
          <t>KARLSKRONA</t>
        </is>
      </c>
      <c r="I883" t="n">
        <v>1.6</v>
      </c>
      <c r="J883" t="n">
        <v>0</v>
      </c>
      <c r="K883" t="n">
        <v>0</v>
      </c>
      <c r="L883" t="n">
        <v>0</v>
      </c>
      <c r="M883" t="n">
        <v>0</v>
      </c>
      <c r="N883" t="n">
        <v>0</v>
      </c>
      <c r="O883" t="n">
        <v>0</v>
      </c>
      <c r="P883" t="n">
        <v>0</v>
      </c>
      <c r="Q883" t="n">
        <v>0</v>
      </c>
      <c r="R883" t="n">
        <v>0</v>
      </c>
      <c r="S883" t="n">
        <v>0</v>
      </c>
      <c r="T883" t="n">
        <v>0</v>
      </c>
      <c r="U883" s="2" t="inlineStr"/>
    </row>
    <row r="884" ht="15" customHeight="1">
      <c r="A884" t="inlineStr">
        <is>
          <t>A 58379-2024</t>
        </is>
      </c>
      <c r="B884" t="inlineStr">
        <is>
          <t>avverkningsanmälan</t>
        </is>
      </c>
      <c r="C884" t="inlineStr">
        <is>
          <t>Föryngringsavverkning</t>
        </is>
      </c>
      <c r="D884" s="1" t="n">
        <v>45632</v>
      </c>
      <c r="E884" s="1" t="n">
        <v>46216</v>
      </c>
      <c r="F884" t="inlineStr">
        <is>
          <t>BLEKINGE LÄN</t>
        </is>
      </c>
      <c r="G884" t="inlineStr">
        <is>
          <t>KARLSHAMN</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65639-2021</t>
        </is>
      </c>
      <c r="B885" t="inlineStr">
        <is>
          <t>avverkningsanmälan</t>
        </is>
      </c>
      <c r="C885" t="inlineStr">
        <is>
          <t>Föryngringsavverkning</t>
        </is>
      </c>
      <c r="D885" s="1" t="n">
        <v>44516</v>
      </c>
      <c r="E885" s="1" t="n">
        <v>46216</v>
      </c>
      <c r="F885" t="inlineStr">
        <is>
          <t>BLEKINGE LÄN</t>
        </is>
      </c>
      <c r="G885" t="inlineStr">
        <is>
          <t>KARLSKRONA</t>
        </is>
      </c>
      <c r="I885" t="n">
        <v>1.9</v>
      </c>
      <c r="J885" t="n">
        <v>0</v>
      </c>
      <c r="K885" t="n">
        <v>0</v>
      </c>
      <c r="L885" t="n">
        <v>0</v>
      </c>
      <c r="M885" t="n">
        <v>0</v>
      </c>
      <c r="N885" t="n">
        <v>0</v>
      </c>
      <c r="O885" t="n">
        <v>0</v>
      </c>
      <c r="P885" t="n">
        <v>0</v>
      </c>
      <c r="Q885" t="n">
        <v>0</v>
      </c>
      <c r="R885" t="n">
        <v>0</v>
      </c>
      <c r="S885" t="n">
        <v>0</v>
      </c>
      <c r="T885" t="n">
        <v>0</v>
      </c>
      <c r="U885" s="2" t="inlineStr"/>
    </row>
    <row r="886" ht="15" customHeight="1">
      <c r="A886" t="inlineStr">
        <is>
          <t>A 35442-2025</t>
        </is>
      </c>
      <c r="B886" t="inlineStr">
        <is>
          <t>avverkningsanmälan</t>
        </is>
      </c>
      <c r="C886" t="inlineStr">
        <is>
          <t>Föryngringsavverkning</t>
        </is>
      </c>
      <c r="D886" s="1" t="n">
        <v>45855</v>
      </c>
      <c r="E886" s="1" t="n">
        <v>46216</v>
      </c>
      <c r="F886" t="inlineStr">
        <is>
          <t>BLEKINGE LÄN</t>
        </is>
      </c>
      <c r="G886" t="inlineStr">
        <is>
          <t>KARLSHAMN</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47159-2025</t>
        </is>
      </c>
      <c r="B887" t="inlineStr">
        <is>
          <t>avverkningsanmälan</t>
        </is>
      </c>
      <c r="C887" t="inlineStr">
        <is>
          <t>Föryngringsavverkning</t>
        </is>
      </c>
      <c r="D887" s="1" t="n">
        <v>45929</v>
      </c>
      <c r="E887" s="1" t="n">
        <v>46216</v>
      </c>
      <c r="F887" t="inlineStr">
        <is>
          <t>BLEKINGE LÄN</t>
        </is>
      </c>
      <c r="G887" t="inlineStr">
        <is>
          <t>KARLSKRONA</t>
        </is>
      </c>
      <c r="I887" t="n">
        <v>0.5</v>
      </c>
      <c r="J887" t="n">
        <v>0</v>
      </c>
      <c r="K887" t="n">
        <v>0</v>
      </c>
      <c r="L887" t="n">
        <v>0</v>
      </c>
      <c r="M887" t="n">
        <v>0</v>
      </c>
      <c r="N887" t="n">
        <v>0</v>
      </c>
      <c r="O887" t="n">
        <v>0</v>
      </c>
      <c r="P887" t="n">
        <v>0</v>
      </c>
      <c r="Q887" t="n">
        <v>0</v>
      </c>
      <c r="R887" t="n">
        <v>0</v>
      </c>
      <c r="S887" t="n">
        <v>0</v>
      </c>
      <c r="T887" t="n">
        <v>0</v>
      </c>
      <c r="U887" s="2" t="inlineStr"/>
    </row>
    <row r="888" ht="15" customHeight="1">
      <c r="A888" t="inlineStr">
        <is>
          <t>A 42431-2023</t>
        </is>
      </c>
      <c r="B888" t="inlineStr">
        <is>
          <t>avverkningsanmälan</t>
        </is>
      </c>
      <c r="C888" t="inlineStr">
        <is>
          <t>Föryngringsavverkning</t>
        </is>
      </c>
      <c r="D888" s="1" t="n">
        <v>45180</v>
      </c>
      <c r="E888" s="1" t="n">
        <v>46216</v>
      </c>
      <c r="F888" t="inlineStr">
        <is>
          <t>BLEKINGE LÄN</t>
        </is>
      </c>
      <c r="G888" t="inlineStr">
        <is>
          <t>OLOFSTRÖM</t>
        </is>
      </c>
      <c r="I888" t="n">
        <v>3.7</v>
      </c>
      <c r="J888" t="n">
        <v>0</v>
      </c>
      <c r="K888" t="n">
        <v>0</v>
      </c>
      <c r="L888" t="n">
        <v>0</v>
      </c>
      <c r="M888" t="n">
        <v>0</v>
      </c>
      <c r="N888" t="n">
        <v>0</v>
      </c>
      <c r="O888" t="n">
        <v>0</v>
      </c>
      <c r="P888" t="n">
        <v>0</v>
      </c>
      <c r="Q888" t="n">
        <v>0</v>
      </c>
      <c r="R888" t="n">
        <v>0</v>
      </c>
      <c r="S888" t="n">
        <v>0</v>
      </c>
      <c r="T888" t="n">
        <v>0</v>
      </c>
      <c r="U888" s="2" t="inlineStr"/>
    </row>
    <row r="889" ht="15" customHeight="1">
      <c r="A889" t="inlineStr">
        <is>
          <t>A 15358-2024</t>
        </is>
      </c>
      <c r="B889" t="inlineStr">
        <is>
          <t>avverkningsanmälan</t>
        </is>
      </c>
      <c r="C889" t="inlineStr">
        <is>
          <t>Föryngringsavverkning</t>
        </is>
      </c>
      <c r="D889" s="1" t="n">
        <v>45400</v>
      </c>
      <c r="E889" s="1" t="n">
        <v>46216</v>
      </c>
      <c r="F889" t="inlineStr">
        <is>
          <t>BLEKINGE LÄN</t>
        </is>
      </c>
      <c r="G889" t="inlineStr">
        <is>
          <t>KARLSHAMN</t>
        </is>
      </c>
      <c r="I889" t="n">
        <v>3.1</v>
      </c>
      <c r="J889" t="n">
        <v>0</v>
      </c>
      <c r="K889" t="n">
        <v>0</v>
      </c>
      <c r="L889" t="n">
        <v>0</v>
      </c>
      <c r="M889" t="n">
        <v>0</v>
      </c>
      <c r="N889" t="n">
        <v>0</v>
      </c>
      <c r="O889" t="n">
        <v>0</v>
      </c>
      <c r="P889" t="n">
        <v>0</v>
      </c>
      <c r="Q889" t="n">
        <v>0</v>
      </c>
      <c r="R889" t="n">
        <v>0</v>
      </c>
      <c r="S889" t="n">
        <v>0</v>
      </c>
      <c r="T889" t="n">
        <v>0</v>
      </c>
      <c r="U889" s="2" t="inlineStr"/>
    </row>
    <row r="890" ht="15" customHeight="1">
      <c r="A890" t="inlineStr">
        <is>
          <t>A 35580-2025</t>
        </is>
      </c>
      <c r="B890" t="inlineStr">
        <is>
          <t>avverkningsanmälan</t>
        </is>
      </c>
      <c r="C890" t="inlineStr">
        <is>
          <t>Föryngringsavverkning</t>
        </is>
      </c>
      <c r="D890" s="1" t="n">
        <v>45856</v>
      </c>
      <c r="E890" s="1" t="n">
        <v>46216</v>
      </c>
      <c r="F890" t="inlineStr">
        <is>
          <t>BLEKINGE LÄN</t>
        </is>
      </c>
      <c r="G890" t="inlineStr">
        <is>
          <t>RONNEBY</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51460-2023</t>
        </is>
      </c>
      <c r="B891" t="inlineStr">
        <is>
          <t>avverkningsanmälan</t>
        </is>
      </c>
      <c r="C891" t="inlineStr">
        <is>
          <t>Föryngringsavverkning</t>
        </is>
      </c>
      <c r="D891" s="1" t="n">
        <v>45221</v>
      </c>
      <c r="E891" s="1" t="n">
        <v>46216</v>
      </c>
      <c r="F891" t="inlineStr">
        <is>
          <t>BLEKINGE LÄN</t>
        </is>
      </c>
      <c r="G891" t="inlineStr">
        <is>
          <t>OLOFSTRÖM</t>
        </is>
      </c>
      <c r="I891" t="n">
        <v>5.8</v>
      </c>
      <c r="J891" t="n">
        <v>0</v>
      </c>
      <c r="K891" t="n">
        <v>0</v>
      </c>
      <c r="L891" t="n">
        <v>0</v>
      </c>
      <c r="M891" t="n">
        <v>0</v>
      </c>
      <c r="N891" t="n">
        <v>0</v>
      </c>
      <c r="O891" t="n">
        <v>0</v>
      </c>
      <c r="P891" t="n">
        <v>0</v>
      </c>
      <c r="Q891" t="n">
        <v>0</v>
      </c>
      <c r="R891" t="n">
        <v>0</v>
      </c>
      <c r="S891" t="n">
        <v>0</v>
      </c>
      <c r="T891" t="n">
        <v>0</v>
      </c>
      <c r="U891" s="2" t="inlineStr"/>
    </row>
    <row r="892" ht="15" customHeight="1">
      <c r="A892" t="inlineStr">
        <is>
          <t>A 46749-2025</t>
        </is>
      </c>
      <c r="B892" t="inlineStr">
        <is>
          <t>avverkningsanmälan</t>
        </is>
      </c>
      <c r="C892" t="inlineStr">
        <is>
          <t>Föryngringsavverkning</t>
        </is>
      </c>
      <c r="D892" s="1" t="n">
        <v>45926</v>
      </c>
      <c r="E892" s="1" t="n">
        <v>46216</v>
      </c>
      <c r="F892" t="inlineStr">
        <is>
          <t>BLEKINGE LÄN</t>
        </is>
      </c>
      <c r="G892" t="inlineStr">
        <is>
          <t>KARLSHAMN</t>
        </is>
      </c>
      <c r="I892" t="n">
        <v>1.4</v>
      </c>
      <c r="J892" t="n">
        <v>0</v>
      </c>
      <c r="K892" t="n">
        <v>0</v>
      </c>
      <c r="L892" t="n">
        <v>0</v>
      </c>
      <c r="M892" t="n">
        <v>0</v>
      </c>
      <c r="N892" t="n">
        <v>0</v>
      </c>
      <c r="O892" t="n">
        <v>0</v>
      </c>
      <c r="P892" t="n">
        <v>0</v>
      </c>
      <c r="Q892" t="n">
        <v>0</v>
      </c>
      <c r="R892" t="n">
        <v>0</v>
      </c>
      <c r="S892" t="n">
        <v>0</v>
      </c>
      <c r="T892" t="n">
        <v>0</v>
      </c>
      <c r="U892" s="2" t="inlineStr"/>
    </row>
    <row r="893" ht="15" customHeight="1">
      <c r="A893" t="inlineStr">
        <is>
          <t>A 46531-2023</t>
        </is>
      </c>
      <c r="B893" t="inlineStr">
        <is>
          <t>avverkningsanmälan</t>
        </is>
      </c>
      <c r="C893" t="inlineStr">
        <is>
          <t>Föryngringsavverkning</t>
        </is>
      </c>
      <c r="D893" s="1" t="n">
        <v>45197</v>
      </c>
      <c r="E893" s="1" t="n">
        <v>46216</v>
      </c>
      <c r="F893" t="inlineStr">
        <is>
          <t>BLEKINGE LÄN</t>
        </is>
      </c>
      <c r="G893" t="inlineStr">
        <is>
          <t>OLOFSTRÖM</t>
        </is>
      </c>
      <c r="I893" t="n">
        <v>2.7</v>
      </c>
      <c r="J893" t="n">
        <v>0</v>
      </c>
      <c r="K893" t="n">
        <v>0</v>
      </c>
      <c r="L893" t="n">
        <v>0</v>
      </c>
      <c r="M893" t="n">
        <v>0</v>
      </c>
      <c r="N893" t="n">
        <v>0</v>
      </c>
      <c r="O893" t="n">
        <v>0</v>
      </c>
      <c r="P893" t="n">
        <v>0</v>
      </c>
      <c r="Q893" t="n">
        <v>0</v>
      </c>
      <c r="R893" t="n">
        <v>0</v>
      </c>
      <c r="S893" t="n">
        <v>0</v>
      </c>
      <c r="T893" t="n">
        <v>0</v>
      </c>
      <c r="U893" s="2" t="inlineStr"/>
    </row>
    <row r="894" ht="15" customHeight="1">
      <c r="A894" t="inlineStr">
        <is>
          <t>A 47242-2025</t>
        </is>
      </c>
      <c r="B894" t="inlineStr">
        <is>
          <t>avverkningsanmälan</t>
        </is>
      </c>
      <c r="C894" t="inlineStr">
        <is>
          <t>Föryngringsavverkning</t>
        </is>
      </c>
      <c r="D894" s="1" t="n">
        <v>45930</v>
      </c>
      <c r="E894" s="1" t="n">
        <v>46216</v>
      </c>
      <c r="F894" t="inlineStr">
        <is>
          <t>BLEKINGE LÄN</t>
        </is>
      </c>
      <c r="G894" t="inlineStr">
        <is>
          <t>KARLSKRONA</t>
        </is>
      </c>
      <c r="I894" t="n">
        <v>0.5</v>
      </c>
      <c r="J894" t="n">
        <v>0</v>
      </c>
      <c r="K894" t="n">
        <v>0</v>
      </c>
      <c r="L894" t="n">
        <v>0</v>
      </c>
      <c r="M894" t="n">
        <v>0</v>
      </c>
      <c r="N894" t="n">
        <v>0</v>
      </c>
      <c r="O894" t="n">
        <v>0</v>
      </c>
      <c r="P894" t="n">
        <v>0</v>
      </c>
      <c r="Q894" t="n">
        <v>0</v>
      </c>
      <c r="R894" t="n">
        <v>0</v>
      </c>
      <c r="S894" t="n">
        <v>0</v>
      </c>
      <c r="T894" t="n">
        <v>0</v>
      </c>
      <c r="U894" s="2" t="inlineStr"/>
    </row>
    <row r="895" ht="15" customHeight="1">
      <c r="A895" t="inlineStr">
        <is>
          <t>A 47226-2025</t>
        </is>
      </c>
      <c r="B895" t="inlineStr">
        <is>
          <t>avverkningsanmälan</t>
        </is>
      </c>
      <c r="C895" t="inlineStr">
        <is>
          <t>Föryngringsavverkning</t>
        </is>
      </c>
      <c r="D895" s="1" t="n">
        <v>45930</v>
      </c>
      <c r="E895" s="1" t="n">
        <v>46216</v>
      </c>
      <c r="F895" t="inlineStr">
        <is>
          <t>BLEKINGE LÄN</t>
        </is>
      </c>
      <c r="G895" t="inlineStr">
        <is>
          <t>OLOFSTRÖM</t>
        </is>
      </c>
      <c r="I895" t="n">
        <v>7.3</v>
      </c>
      <c r="J895" t="n">
        <v>0</v>
      </c>
      <c r="K895" t="n">
        <v>0</v>
      </c>
      <c r="L895" t="n">
        <v>0</v>
      </c>
      <c r="M895" t="n">
        <v>0</v>
      </c>
      <c r="N895" t="n">
        <v>0</v>
      </c>
      <c r="O895" t="n">
        <v>0</v>
      </c>
      <c r="P895" t="n">
        <v>0</v>
      </c>
      <c r="Q895" t="n">
        <v>0</v>
      </c>
      <c r="R895" t="n">
        <v>0</v>
      </c>
      <c r="S895" t="n">
        <v>0</v>
      </c>
      <c r="T895" t="n">
        <v>0</v>
      </c>
      <c r="U895" s="2" t="inlineStr"/>
    </row>
    <row r="896" ht="15" customHeight="1">
      <c r="A896" t="inlineStr">
        <is>
          <t>A 1909-2024</t>
        </is>
      </c>
      <c r="B896" t="inlineStr">
        <is>
          <t>avverkningsanmälan</t>
        </is>
      </c>
      <c r="C896" t="inlineStr">
        <is>
          <t>Föryngringsavverkning</t>
        </is>
      </c>
      <c r="D896" s="1" t="n">
        <v>45308</v>
      </c>
      <c r="E896" s="1" t="n">
        <v>46216</v>
      </c>
      <c r="F896" t="inlineStr">
        <is>
          <t>BLEKINGE LÄN</t>
        </is>
      </c>
      <c r="G896" t="inlineStr">
        <is>
          <t>KARLSKRONA</t>
        </is>
      </c>
      <c r="I896" t="n">
        <v>2</v>
      </c>
      <c r="J896" t="n">
        <v>0</v>
      </c>
      <c r="K896" t="n">
        <v>0</v>
      </c>
      <c r="L896" t="n">
        <v>0</v>
      </c>
      <c r="M896" t="n">
        <v>0</v>
      </c>
      <c r="N896" t="n">
        <v>0</v>
      </c>
      <c r="O896" t="n">
        <v>0</v>
      </c>
      <c r="P896" t="n">
        <v>0</v>
      </c>
      <c r="Q896" t="n">
        <v>0</v>
      </c>
      <c r="R896" t="n">
        <v>0</v>
      </c>
      <c r="S896" t="n">
        <v>0</v>
      </c>
      <c r="T896" t="n">
        <v>0</v>
      </c>
      <c r="U896" s="2" t="inlineStr"/>
    </row>
    <row r="897" ht="15" customHeight="1">
      <c r="A897" t="inlineStr">
        <is>
          <t>A 50831-2024</t>
        </is>
      </c>
      <c r="B897" t="inlineStr">
        <is>
          <t>avverkningsanmälan</t>
        </is>
      </c>
      <c r="C897" t="inlineStr">
        <is>
          <t>Föryngringsavverkning</t>
        </is>
      </c>
      <c r="D897" s="1" t="n">
        <v>45602</v>
      </c>
      <c r="E897" s="1" t="n">
        <v>46216</v>
      </c>
      <c r="F897" t="inlineStr">
        <is>
          <t>BLEKINGE LÄN</t>
        </is>
      </c>
      <c r="G897" t="inlineStr">
        <is>
          <t>KARLSKRONA</t>
        </is>
      </c>
      <c r="I897" t="n">
        <v>2.6</v>
      </c>
      <c r="J897" t="n">
        <v>0</v>
      </c>
      <c r="K897" t="n">
        <v>0</v>
      </c>
      <c r="L897" t="n">
        <v>0</v>
      </c>
      <c r="M897" t="n">
        <v>0</v>
      </c>
      <c r="N897" t="n">
        <v>0</v>
      </c>
      <c r="O897" t="n">
        <v>0</v>
      </c>
      <c r="P897" t="n">
        <v>0</v>
      </c>
      <c r="Q897" t="n">
        <v>0</v>
      </c>
      <c r="R897" t="n">
        <v>0</v>
      </c>
      <c r="S897" t="n">
        <v>0</v>
      </c>
      <c r="T897" t="n">
        <v>0</v>
      </c>
      <c r="U897" s="2" t="inlineStr"/>
    </row>
    <row r="898" ht="15" customHeight="1">
      <c r="A898" t="inlineStr">
        <is>
          <t>A 50846-2024</t>
        </is>
      </c>
      <c r="B898" t="inlineStr">
        <is>
          <t>avverkningsanmälan</t>
        </is>
      </c>
      <c r="C898" t="inlineStr">
        <is>
          <t>Föryngringsavverkning</t>
        </is>
      </c>
      <c r="D898" s="1" t="n">
        <v>45602</v>
      </c>
      <c r="E898" s="1" t="n">
        <v>46216</v>
      </c>
      <c r="F898" t="inlineStr">
        <is>
          <t>BLEKINGE LÄN</t>
        </is>
      </c>
      <c r="G898" t="inlineStr">
        <is>
          <t>KARLSKRONA</t>
        </is>
      </c>
      <c r="I898" t="n">
        <v>1.2</v>
      </c>
      <c r="J898" t="n">
        <v>0</v>
      </c>
      <c r="K898" t="n">
        <v>0</v>
      </c>
      <c r="L898" t="n">
        <v>0</v>
      </c>
      <c r="M898" t="n">
        <v>0</v>
      </c>
      <c r="N898" t="n">
        <v>0</v>
      </c>
      <c r="O898" t="n">
        <v>0</v>
      </c>
      <c r="P898" t="n">
        <v>0</v>
      </c>
      <c r="Q898" t="n">
        <v>0</v>
      </c>
      <c r="R898" t="n">
        <v>0</v>
      </c>
      <c r="S898" t="n">
        <v>0</v>
      </c>
      <c r="T898" t="n">
        <v>0</v>
      </c>
      <c r="U898" s="2" t="inlineStr"/>
    </row>
    <row r="899" ht="15" customHeight="1">
      <c r="A899" t="inlineStr">
        <is>
          <t>A 13411-2025</t>
        </is>
      </c>
      <c r="B899" t="inlineStr">
        <is>
          <t>avverkningsanmälan</t>
        </is>
      </c>
      <c r="C899" t="inlineStr">
        <is>
          <t>Föryngringsavverkning</t>
        </is>
      </c>
      <c r="D899" s="1" t="n">
        <v>45735</v>
      </c>
      <c r="E899" s="1" t="n">
        <v>46216</v>
      </c>
      <c r="F899" t="inlineStr">
        <is>
          <t>BLEKINGE LÄN</t>
        </is>
      </c>
      <c r="G899" t="inlineStr">
        <is>
          <t>KARLSKRONA</t>
        </is>
      </c>
      <c r="I899" t="n">
        <v>11.8</v>
      </c>
      <c r="J899" t="n">
        <v>0</v>
      </c>
      <c r="K899" t="n">
        <v>0</v>
      </c>
      <c r="L899" t="n">
        <v>0</v>
      </c>
      <c r="M899" t="n">
        <v>0</v>
      </c>
      <c r="N899" t="n">
        <v>0</v>
      </c>
      <c r="O899" t="n">
        <v>0</v>
      </c>
      <c r="P899" t="n">
        <v>0</v>
      </c>
      <c r="Q899" t="n">
        <v>0</v>
      </c>
      <c r="R899" t="n">
        <v>0</v>
      </c>
      <c r="S899" t="n">
        <v>0</v>
      </c>
      <c r="T899" t="n">
        <v>0</v>
      </c>
      <c r="U899" s="2" t="inlineStr"/>
    </row>
    <row r="900" ht="15" customHeight="1">
      <c r="A900" t="inlineStr">
        <is>
          <t>A 3225-2026</t>
        </is>
      </c>
      <c r="B900" t="inlineStr">
        <is>
          <t>avverkningsanmälan</t>
        </is>
      </c>
      <c r="C900" t="inlineStr">
        <is>
          <t>Föryngringsavverkning</t>
        </is>
      </c>
      <c r="D900" s="1" t="n">
        <v>46041</v>
      </c>
      <c r="E900" s="1" t="n">
        <v>46216</v>
      </c>
      <c r="F900" t="inlineStr">
        <is>
          <t>BLEKINGE LÄN</t>
        </is>
      </c>
      <c r="G900" t="inlineStr">
        <is>
          <t>KARLSHAMN</t>
        </is>
      </c>
      <c r="I900" t="n">
        <v>4.6</v>
      </c>
      <c r="J900" t="n">
        <v>0</v>
      </c>
      <c r="K900" t="n">
        <v>0</v>
      </c>
      <c r="L900" t="n">
        <v>0</v>
      </c>
      <c r="M900" t="n">
        <v>0</v>
      </c>
      <c r="N900" t="n">
        <v>0</v>
      </c>
      <c r="O900" t="n">
        <v>0</v>
      </c>
      <c r="P900" t="n">
        <v>0</v>
      </c>
      <c r="Q900" t="n">
        <v>0</v>
      </c>
      <c r="R900" t="n">
        <v>0</v>
      </c>
      <c r="S900" t="n">
        <v>0</v>
      </c>
      <c r="T900" t="n">
        <v>0</v>
      </c>
      <c r="U900" s="2" t="inlineStr"/>
    </row>
    <row r="901" ht="15" customHeight="1">
      <c r="A901" t="inlineStr">
        <is>
          <t>A 47774-2023</t>
        </is>
      </c>
      <c r="B901" t="inlineStr">
        <is>
          <t>avverkningsanmälan</t>
        </is>
      </c>
      <c r="C901" t="inlineStr">
        <is>
          <t>Föryngringsavverkning</t>
        </is>
      </c>
      <c r="D901" s="1" t="n">
        <v>45203</v>
      </c>
      <c r="E901" s="1" t="n">
        <v>46216</v>
      </c>
      <c r="F901" t="inlineStr">
        <is>
          <t>BLEKINGE LÄN</t>
        </is>
      </c>
      <c r="G901" t="inlineStr">
        <is>
          <t>OLOFSTRÖM</t>
        </is>
      </c>
      <c r="I901" t="n">
        <v>0.3</v>
      </c>
      <c r="J901" t="n">
        <v>0</v>
      </c>
      <c r="K901" t="n">
        <v>0</v>
      </c>
      <c r="L901" t="n">
        <v>0</v>
      </c>
      <c r="M901" t="n">
        <v>0</v>
      </c>
      <c r="N901" t="n">
        <v>0</v>
      </c>
      <c r="O901" t="n">
        <v>0</v>
      </c>
      <c r="P901" t="n">
        <v>0</v>
      </c>
      <c r="Q901" t="n">
        <v>0</v>
      </c>
      <c r="R901" t="n">
        <v>0</v>
      </c>
      <c r="S901" t="n">
        <v>0</v>
      </c>
      <c r="T901" t="n">
        <v>0</v>
      </c>
      <c r="U901" s="2" t="inlineStr"/>
    </row>
    <row r="902" ht="15" customHeight="1">
      <c r="A902" t="inlineStr">
        <is>
          <t>A 52084-2023</t>
        </is>
      </c>
      <c r="B902" t="inlineStr">
        <is>
          <t>avverkningsanmälan</t>
        </is>
      </c>
      <c r="C902" t="inlineStr">
        <is>
          <t>Föryngringsavverkning</t>
        </is>
      </c>
      <c r="D902" s="1" t="n">
        <v>45216</v>
      </c>
      <c r="E902" s="1" t="n">
        <v>46216</v>
      </c>
      <c r="F902" t="inlineStr">
        <is>
          <t>BLEKINGE LÄN</t>
        </is>
      </c>
      <c r="G902" t="inlineStr">
        <is>
          <t>SÖLVESBORG</t>
        </is>
      </c>
      <c r="I902" t="n">
        <v>1.6</v>
      </c>
      <c r="J902" t="n">
        <v>0</v>
      </c>
      <c r="K902" t="n">
        <v>0</v>
      </c>
      <c r="L902" t="n">
        <v>0</v>
      </c>
      <c r="M902" t="n">
        <v>0</v>
      </c>
      <c r="N902" t="n">
        <v>0</v>
      </c>
      <c r="O902" t="n">
        <v>0</v>
      </c>
      <c r="P902" t="n">
        <v>0</v>
      </c>
      <c r="Q902" t="n">
        <v>0</v>
      </c>
      <c r="R902" t="n">
        <v>0</v>
      </c>
      <c r="S902" t="n">
        <v>0</v>
      </c>
      <c r="T902" t="n">
        <v>0</v>
      </c>
      <c r="U902" s="2" t="inlineStr"/>
    </row>
    <row r="903" ht="15" customHeight="1">
      <c r="A903" t="inlineStr">
        <is>
          <t>A 22643-2025</t>
        </is>
      </c>
      <c r="B903" t="inlineStr">
        <is>
          <t>avverkningsanmälan</t>
        </is>
      </c>
      <c r="C903" t="inlineStr">
        <is>
          <t>Föryngringsavverkning</t>
        </is>
      </c>
      <c r="D903" s="1" t="n">
        <v>45789</v>
      </c>
      <c r="E903" s="1" t="n">
        <v>46216</v>
      </c>
      <c r="F903" t="inlineStr">
        <is>
          <t>BLEKINGE LÄN</t>
        </is>
      </c>
      <c r="G903" t="inlineStr">
        <is>
          <t>KARLSKRONA</t>
        </is>
      </c>
      <c r="I903" t="n">
        <v>1.5</v>
      </c>
      <c r="J903" t="n">
        <v>0</v>
      </c>
      <c r="K903" t="n">
        <v>0</v>
      </c>
      <c r="L903" t="n">
        <v>0</v>
      </c>
      <c r="M903" t="n">
        <v>0</v>
      </c>
      <c r="N903" t="n">
        <v>0</v>
      </c>
      <c r="O903" t="n">
        <v>0</v>
      </c>
      <c r="P903" t="n">
        <v>0</v>
      </c>
      <c r="Q903" t="n">
        <v>0</v>
      </c>
      <c r="R903" t="n">
        <v>0</v>
      </c>
      <c r="S903" t="n">
        <v>0</v>
      </c>
      <c r="T903" t="n">
        <v>0</v>
      </c>
      <c r="U903" s="2" t="inlineStr"/>
    </row>
    <row r="904" ht="15" customHeight="1">
      <c r="A904" t="inlineStr">
        <is>
          <t>A 64810-2023</t>
        </is>
      </c>
      <c r="B904" t="inlineStr">
        <is>
          <t>avverkningsanmälan</t>
        </is>
      </c>
      <c r="C904" t="inlineStr">
        <is>
          <t>Föryngringsavverkning</t>
        </is>
      </c>
      <c r="D904" s="1" t="n">
        <v>45282</v>
      </c>
      <c r="E904" s="1" t="n">
        <v>46216</v>
      </c>
      <c r="F904" t="inlineStr">
        <is>
          <t>BLEKINGE LÄN</t>
        </is>
      </c>
      <c r="G904" t="inlineStr">
        <is>
          <t>OLOFSTRÖM</t>
        </is>
      </c>
      <c r="I904" t="n">
        <v>1.9</v>
      </c>
      <c r="J904" t="n">
        <v>0</v>
      </c>
      <c r="K904" t="n">
        <v>0</v>
      </c>
      <c r="L904" t="n">
        <v>0</v>
      </c>
      <c r="M904" t="n">
        <v>0</v>
      </c>
      <c r="N904" t="n">
        <v>0</v>
      </c>
      <c r="O904" t="n">
        <v>0</v>
      </c>
      <c r="P904" t="n">
        <v>0</v>
      </c>
      <c r="Q904" t="n">
        <v>0</v>
      </c>
      <c r="R904" t="n">
        <v>0</v>
      </c>
      <c r="S904" t="n">
        <v>0</v>
      </c>
      <c r="T904" t="n">
        <v>0</v>
      </c>
      <c r="U904" s="2" t="inlineStr"/>
    </row>
    <row r="905" ht="15" customHeight="1">
      <c r="A905" t="inlineStr">
        <is>
          <t>A 47885-2025</t>
        </is>
      </c>
      <c r="B905" t="inlineStr">
        <is>
          <t>avverkningsanmälan</t>
        </is>
      </c>
      <c r="C905" t="inlineStr">
        <is>
          <t>Föryngringsavverkning</t>
        </is>
      </c>
      <c r="D905" s="1" t="n">
        <v>45932</v>
      </c>
      <c r="E905" s="1" t="n">
        <v>46216</v>
      </c>
      <c r="F905" t="inlineStr">
        <is>
          <t>BLEKINGE LÄN</t>
        </is>
      </c>
      <c r="G905" t="inlineStr">
        <is>
          <t>RONNEBY</t>
        </is>
      </c>
      <c r="H905" t="inlineStr">
        <is>
          <t>Övriga Aktiebolag</t>
        </is>
      </c>
      <c r="I905" t="n">
        <v>1.7</v>
      </c>
      <c r="J905" t="n">
        <v>0</v>
      </c>
      <c r="K905" t="n">
        <v>0</v>
      </c>
      <c r="L905" t="n">
        <v>0</v>
      </c>
      <c r="M905" t="n">
        <v>0</v>
      </c>
      <c r="N905" t="n">
        <v>0</v>
      </c>
      <c r="O905" t="n">
        <v>0</v>
      </c>
      <c r="P905" t="n">
        <v>0</v>
      </c>
      <c r="Q905" t="n">
        <v>0</v>
      </c>
      <c r="R905" t="n">
        <v>0</v>
      </c>
      <c r="S905" t="n">
        <v>0</v>
      </c>
      <c r="T905" t="n">
        <v>0</v>
      </c>
      <c r="U905" s="2" t="inlineStr"/>
    </row>
    <row r="906" ht="15" customHeight="1">
      <c r="A906" t="inlineStr">
        <is>
          <t>A 42074-2023</t>
        </is>
      </c>
      <c r="B906" t="inlineStr">
        <is>
          <t>avverkningsanmälan</t>
        </is>
      </c>
      <c r="C906" t="inlineStr">
        <is>
          <t>Föryngringsavverkning</t>
        </is>
      </c>
      <c r="D906" s="1" t="n">
        <v>45174</v>
      </c>
      <c r="E906" s="1" t="n">
        <v>46216</v>
      </c>
      <c r="F906" t="inlineStr">
        <is>
          <t>BLEKINGE LÄN</t>
        </is>
      </c>
      <c r="G906" t="inlineStr">
        <is>
          <t>KARLSKRONA</t>
        </is>
      </c>
      <c r="I906" t="n">
        <v>2</v>
      </c>
      <c r="J906" t="n">
        <v>0</v>
      </c>
      <c r="K906" t="n">
        <v>0</v>
      </c>
      <c r="L906" t="n">
        <v>0</v>
      </c>
      <c r="M906" t="n">
        <v>0</v>
      </c>
      <c r="N906" t="n">
        <v>0</v>
      </c>
      <c r="O906" t="n">
        <v>0</v>
      </c>
      <c r="P906" t="n">
        <v>0</v>
      </c>
      <c r="Q906" t="n">
        <v>0</v>
      </c>
      <c r="R906" t="n">
        <v>0</v>
      </c>
      <c r="S906" t="n">
        <v>0</v>
      </c>
      <c r="T906" t="n">
        <v>0</v>
      </c>
      <c r="U906" s="2" t="inlineStr"/>
    </row>
    <row r="907" ht="15" customHeight="1">
      <c r="A907" t="inlineStr">
        <is>
          <t>A 9230-2025</t>
        </is>
      </c>
      <c r="B907" t="inlineStr">
        <is>
          <t>avverkningsanmälan</t>
        </is>
      </c>
      <c r="C907" t="inlineStr">
        <is>
          <t>Föryngringsavverkning</t>
        </is>
      </c>
      <c r="D907" s="1" t="n">
        <v>45714</v>
      </c>
      <c r="E907" s="1" t="n">
        <v>46216</v>
      </c>
      <c r="F907" t="inlineStr">
        <is>
          <t>BLEKINGE LÄN</t>
        </is>
      </c>
      <c r="G907" t="inlineStr">
        <is>
          <t>RONNEBY</t>
        </is>
      </c>
      <c r="I907" t="n">
        <v>1.8</v>
      </c>
      <c r="J907" t="n">
        <v>0</v>
      </c>
      <c r="K907" t="n">
        <v>0</v>
      </c>
      <c r="L907" t="n">
        <v>0</v>
      </c>
      <c r="M907" t="n">
        <v>0</v>
      </c>
      <c r="N907" t="n">
        <v>0</v>
      </c>
      <c r="O907" t="n">
        <v>0</v>
      </c>
      <c r="P907" t="n">
        <v>0</v>
      </c>
      <c r="Q907" t="n">
        <v>0</v>
      </c>
      <c r="R907" t="n">
        <v>0</v>
      </c>
      <c r="S907" t="n">
        <v>0</v>
      </c>
      <c r="T907" t="n">
        <v>0</v>
      </c>
      <c r="U907" s="2" t="inlineStr"/>
    </row>
    <row r="908" ht="15" customHeight="1">
      <c r="A908" t="inlineStr">
        <is>
          <t>A 56072-2023</t>
        </is>
      </c>
      <c r="B908" t="inlineStr">
        <is>
          <t>avverkningsanmälan</t>
        </is>
      </c>
      <c r="C908" t="inlineStr">
        <is>
          <t>Föryngringsavverkning</t>
        </is>
      </c>
      <c r="D908" s="1" t="n">
        <v>45233</v>
      </c>
      <c r="E908" s="1" t="n">
        <v>46216</v>
      </c>
      <c r="F908" t="inlineStr">
        <is>
          <t>BLEKINGE LÄN</t>
        </is>
      </c>
      <c r="G908" t="inlineStr">
        <is>
          <t>OLOFSTRÖM</t>
        </is>
      </c>
      <c r="I908" t="n">
        <v>2.4</v>
      </c>
      <c r="J908" t="n">
        <v>0</v>
      </c>
      <c r="K908" t="n">
        <v>0</v>
      </c>
      <c r="L908" t="n">
        <v>0</v>
      </c>
      <c r="M908" t="n">
        <v>0</v>
      </c>
      <c r="N908" t="n">
        <v>0</v>
      </c>
      <c r="O908" t="n">
        <v>0</v>
      </c>
      <c r="P908" t="n">
        <v>0</v>
      </c>
      <c r="Q908" t="n">
        <v>0</v>
      </c>
      <c r="R908" t="n">
        <v>0</v>
      </c>
      <c r="S908" t="n">
        <v>0</v>
      </c>
      <c r="T908" t="n">
        <v>0</v>
      </c>
      <c r="U908" s="2" t="inlineStr"/>
    </row>
    <row r="909" ht="15" customHeight="1">
      <c r="A909" t="inlineStr">
        <is>
          <t>A 32327-2024</t>
        </is>
      </c>
      <c r="B909" t="inlineStr">
        <is>
          <t>avverkningsanmälan</t>
        </is>
      </c>
      <c r="C909" t="inlineStr">
        <is>
          <t>Föryngringsavverkning</t>
        </is>
      </c>
      <c r="D909" s="1" t="n">
        <v>45512</v>
      </c>
      <c r="E909" s="1" t="n">
        <v>46216</v>
      </c>
      <c r="F909" t="inlineStr">
        <is>
          <t>BLEKINGE LÄN</t>
        </is>
      </c>
      <c r="G909" t="inlineStr">
        <is>
          <t>KARLSKRONA</t>
        </is>
      </c>
      <c r="I909" t="n">
        <v>2.8</v>
      </c>
      <c r="J909" t="n">
        <v>0</v>
      </c>
      <c r="K909" t="n">
        <v>0</v>
      </c>
      <c r="L909" t="n">
        <v>0</v>
      </c>
      <c r="M909" t="n">
        <v>0</v>
      </c>
      <c r="N909" t="n">
        <v>0</v>
      </c>
      <c r="O909" t="n">
        <v>0</v>
      </c>
      <c r="P909" t="n">
        <v>0</v>
      </c>
      <c r="Q909" t="n">
        <v>0</v>
      </c>
      <c r="R909" t="n">
        <v>0</v>
      </c>
      <c r="S909" t="n">
        <v>0</v>
      </c>
      <c r="T909" t="n">
        <v>0</v>
      </c>
      <c r="U909" s="2" t="inlineStr"/>
    </row>
    <row r="910" ht="15" customHeight="1">
      <c r="A910" t="inlineStr">
        <is>
          <t>A 22096-2024</t>
        </is>
      </c>
      <c r="B910" t="inlineStr">
        <is>
          <t>avverkningsanmälan</t>
        </is>
      </c>
      <c r="C910" t="inlineStr">
        <is>
          <t>Föryngringsavverkning</t>
        </is>
      </c>
      <c r="D910" s="1" t="n">
        <v>45443</v>
      </c>
      <c r="E910" s="1" t="n">
        <v>46216</v>
      </c>
      <c r="F910" t="inlineStr">
        <is>
          <t>BLEKINGE LÄN</t>
        </is>
      </c>
      <c r="G910" t="inlineStr">
        <is>
          <t>KARLSKRONA</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47960-2025</t>
        </is>
      </c>
      <c r="B911" t="inlineStr">
        <is>
          <t>avverkningsanmälan</t>
        </is>
      </c>
      <c r="C911" t="inlineStr">
        <is>
          <t>Föryngringsavverkning</t>
        </is>
      </c>
      <c r="D911" s="1" t="n">
        <v>45932</v>
      </c>
      <c r="E911" s="1" t="n">
        <v>46216</v>
      </c>
      <c r="F911" t="inlineStr">
        <is>
          <t>BLEKINGE LÄN</t>
        </is>
      </c>
      <c r="G911" t="inlineStr">
        <is>
          <t>RONNEBY</t>
        </is>
      </c>
      <c r="H911" t="inlineStr">
        <is>
          <t>Övriga Aktiebolag</t>
        </is>
      </c>
      <c r="I911" t="n">
        <v>0.7</v>
      </c>
      <c r="J911" t="n">
        <v>0</v>
      </c>
      <c r="K911" t="n">
        <v>0</v>
      </c>
      <c r="L911" t="n">
        <v>0</v>
      </c>
      <c r="M911" t="n">
        <v>0</v>
      </c>
      <c r="N911" t="n">
        <v>0</v>
      </c>
      <c r="O911" t="n">
        <v>0</v>
      </c>
      <c r="P911" t="n">
        <v>0</v>
      </c>
      <c r="Q911" t="n">
        <v>0</v>
      </c>
      <c r="R911" t="n">
        <v>0</v>
      </c>
      <c r="S911" t="n">
        <v>0</v>
      </c>
      <c r="T911" t="n">
        <v>0</v>
      </c>
      <c r="U911" s="2" t="inlineStr"/>
    </row>
    <row r="912" ht="15" customHeight="1">
      <c r="A912" t="inlineStr">
        <is>
          <t>A 13867-2025</t>
        </is>
      </c>
      <c r="B912" t="inlineStr">
        <is>
          <t>avverkningsanmälan</t>
        </is>
      </c>
      <c r="C912" t="inlineStr">
        <is>
          <t>Föryngringsavverkning</t>
        </is>
      </c>
      <c r="D912" s="1" t="n">
        <v>45737</v>
      </c>
      <c r="E912" s="1" t="n">
        <v>46216</v>
      </c>
      <c r="F912" t="inlineStr">
        <is>
          <t>BLEKINGE LÄN</t>
        </is>
      </c>
      <c r="G912" t="inlineStr">
        <is>
          <t>KARLSHAMN</t>
        </is>
      </c>
      <c r="I912" t="n">
        <v>2.5</v>
      </c>
      <c r="J912" t="n">
        <v>0</v>
      </c>
      <c r="K912" t="n">
        <v>0</v>
      </c>
      <c r="L912" t="n">
        <v>0</v>
      </c>
      <c r="M912" t="n">
        <v>0</v>
      </c>
      <c r="N912" t="n">
        <v>0</v>
      </c>
      <c r="O912" t="n">
        <v>0</v>
      </c>
      <c r="P912" t="n">
        <v>0</v>
      </c>
      <c r="Q912" t="n">
        <v>0</v>
      </c>
      <c r="R912" t="n">
        <v>0</v>
      </c>
      <c r="S912" t="n">
        <v>0</v>
      </c>
      <c r="T912" t="n">
        <v>0</v>
      </c>
      <c r="U912" s="2" t="inlineStr"/>
    </row>
    <row r="913" ht="15" customHeight="1">
      <c r="A913" t="inlineStr">
        <is>
          <t>A 45364-2023</t>
        </is>
      </c>
      <c r="B913" t="inlineStr">
        <is>
          <t>avverkningsanmälan</t>
        </is>
      </c>
      <c r="C913" t="inlineStr">
        <is>
          <t>Föryngringsavverkning</t>
        </is>
      </c>
      <c r="D913" s="1" t="n">
        <v>45192</v>
      </c>
      <c r="E913" s="1" t="n">
        <v>46216</v>
      </c>
      <c r="F913" t="inlineStr">
        <is>
          <t>BLEKINGE LÄN</t>
        </is>
      </c>
      <c r="G913" t="inlineStr">
        <is>
          <t>RONNEBY</t>
        </is>
      </c>
      <c r="I913" t="n">
        <v>0.9</v>
      </c>
      <c r="J913" t="n">
        <v>0</v>
      </c>
      <c r="K913" t="n">
        <v>0</v>
      </c>
      <c r="L913" t="n">
        <v>0</v>
      </c>
      <c r="M913" t="n">
        <v>0</v>
      </c>
      <c r="N913" t="n">
        <v>0</v>
      </c>
      <c r="O913" t="n">
        <v>0</v>
      </c>
      <c r="P913" t="n">
        <v>0</v>
      </c>
      <c r="Q913" t="n">
        <v>0</v>
      </c>
      <c r="R913" t="n">
        <v>0</v>
      </c>
      <c r="S913" t="n">
        <v>0</v>
      </c>
      <c r="T913" t="n">
        <v>0</v>
      </c>
      <c r="U913" s="2" t="inlineStr"/>
    </row>
    <row r="914" ht="15" customHeight="1">
      <c r="A914" t="inlineStr">
        <is>
          <t>A 47968-2025</t>
        </is>
      </c>
      <c r="B914" t="inlineStr">
        <is>
          <t>avverkningsanmälan</t>
        </is>
      </c>
      <c r="C914" t="inlineStr">
        <is>
          <t>Föryngringsavverkning</t>
        </is>
      </c>
      <c r="D914" s="1" t="n">
        <v>45932</v>
      </c>
      <c r="E914" s="1" t="n">
        <v>46216</v>
      </c>
      <c r="F914" t="inlineStr">
        <is>
          <t>BLEKINGE LÄN</t>
        </is>
      </c>
      <c r="G914" t="inlineStr">
        <is>
          <t>RONNEBY</t>
        </is>
      </c>
      <c r="H914" t="inlineStr">
        <is>
          <t>Övriga Aktiebolag</t>
        </is>
      </c>
      <c r="I914" t="n">
        <v>0.8</v>
      </c>
      <c r="J914" t="n">
        <v>0</v>
      </c>
      <c r="K914" t="n">
        <v>0</v>
      </c>
      <c r="L914" t="n">
        <v>0</v>
      </c>
      <c r="M914" t="n">
        <v>0</v>
      </c>
      <c r="N914" t="n">
        <v>0</v>
      </c>
      <c r="O914" t="n">
        <v>0</v>
      </c>
      <c r="P914" t="n">
        <v>0</v>
      </c>
      <c r="Q914" t="n">
        <v>0</v>
      </c>
      <c r="R914" t="n">
        <v>0</v>
      </c>
      <c r="S914" t="n">
        <v>0</v>
      </c>
      <c r="T914" t="n">
        <v>0</v>
      </c>
      <c r="U914" s="2" t="inlineStr"/>
    </row>
    <row r="915" ht="15" customHeight="1">
      <c r="A915" t="inlineStr">
        <is>
          <t>A 10692-2022</t>
        </is>
      </c>
      <c r="B915" t="inlineStr">
        <is>
          <t>avverkningsanmälan</t>
        </is>
      </c>
      <c r="C915" t="inlineStr">
        <is>
          <t>Föryngringsavverkning</t>
        </is>
      </c>
      <c r="D915" s="1" t="n">
        <v>44624</v>
      </c>
      <c r="E915" s="1" t="n">
        <v>46216</v>
      </c>
      <c r="F915" t="inlineStr">
        <is>
          <t>BLEKINGE LÄN</t>
        </is>
      </c>
      <c r="G915" t="inlineStr">
        <is>
          <t>KARLSHAMN</t>
        </is>
      </c>
      <c r="I915" t="n">
        <v>1.7</v>
      </c>
      <c r="J915" t="n">
        <v>0</v>
      </c>
      <c r="K915" t="n">
        <v>0</v>
      </c>
      <c r="L915" t="n">
        <v>0</v>
      </c>
      <c r="M915" t="n">
        <v>0</v>
      </c>
      <c r="N915" t="n">
        <v>0</v>
      </c>
      <c r="O915" t="n">
        <v>0</v>
      </c>
      <c r="P915" t="n">
        <v>0</v>
      </c>
      <c r="Q915" t="n">
        <v>0</v>
      </c>
      <c r="R915" t="n">
        <v>0</v>
      </c>
      <c r="S915" t="n">
        <v>0</v>
      </c>
      <c r="T915" t="n">
        <v>0</v>
      </c>
      <c r="U915" s="2" t="inlineStr"/>
    </row>
    <row r="916" ht="15" customHeight="1">
      <c r="A916" t="inlineStr">
        <is>
          <t>A 36427-2025</t>
        </is>
      </c>
      <c r="B916" t="inlineStr">
        <is>
          <t>avverkningsanmälan</t>
        </is>
      </c>
      <c r="C916" t="inlineStr">
        <is>
          <t>Föryngringsavverkning</t>
        </is>
      </c>
      <c r="D916" s="1" t="n">
        <v>45868</v>
      </c>
      <c r="E916" s="1" t="n">
        <v>46216</v>
      </c>
      <c r="F916" t="inlineStr">
        <is>
          <t>BLEKINGE LÄN</t>
        </is>
      </c>
      <c r="G916" t="inlineStr">
        <is>
          <t>OLOFSTRÖM</t>
        </is>
      </c>
      <c r="I916" t="n">
        <v>2.3</v>
      </c>
      <c r="J916" t="n">
        <v>0</v>
      </c>
      <c r="K916" t="n">
        <v>0</v>
      </c>
      <c r="L916" t="n">
        <v>0</v>
      </c>
      <c r="M916" t="n">
        <v>0</v>
      </c>
      <c r="N916" t="n">
        <v>0</v>
      </c>
      <c r="O916" t="n">
        <v>0</v>
      </c>
      <c r="P916" t="n">
        <v>0</v>
      </c>
      <c r="Q916" t="n">
        <v>0</v>
      </c>
      <c r="R916" t="n">
        <v>0</v>
      </c>
      <c r="S916" t="n">
        <v>0</v>
      </c>
      <c r="T916" t="n">
        <v>0</v>
      </c>
      <c r="U916" s="2" t="inlineStr"/>
    </row>
    <row r="917" ht="15" customHeight="1">
      <c r="A917" t="inlineStr">
        <is>
          <t>A 26274-2024</t>
        </is>
      </c>
      <c r="B917" t="inlineStr">
        <is>
          <t>avverkningsanmälan</t>
        </is>
      </c>
      <c r="C917" t="inlineStr">
        <is>
          <t>Föryngringsavverkning</t>
        </is>
      </c>
      <c r="D917" s="1" t="n">
        <v>45468</v>
      </c>
      <c r="E917" s="1" t="n">
        <v>46216</v>
      </c>
      <c r="F917" t="inlineStr">
        <is>
          <t>BLEKINGE LÄN</t>
        </is>
      </c>
      <c r="G917" t="inlineStr">
        <is>
          <t>KARLSHAMN</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39058-2024</t>
        </is>
      </c>
      <c r="B918" t="inlineStr">
        <is>
          <t>avverkningsanmälan</t>
        </is>
      </c>
      <c r="C918" t="inlineStr">
        <is>
          <t>Föryngringsavverkning</t>
        </is>
      </c>
      <c r="D918" s="1" t="n">
        <v>45548</v>
      </c>
      <c r="E918" s="1" t="n">
        <v>46216</v>
      </c>
      <c r="F918" t="inlineStr">
        <is>
          <t>BLEKINGE LÄN</t>
        </is>
      </c>
      <c r="G918" t="inlineStr">
        <is>
          <t>OLOFSTRÖM</t>
        </is>
      </c>
      <c r="I918" t="n">
        <v>1.6</v>
      </c>
      <c r="J918" t="n">
        <v>0</v>
      </c>
      <c r="K918" t="n">
        <v>0</v>
      </c>
      <c r="L918" t="n">
        <v>0</v>
      </c>
      <c r="M918" t="n">
        <v>0</v>
      </c>
      <c r="N918" t="n">
        <v>0</v>
      </c>
      <c r="O918" t="n">
        <v>0</v>
      </c>
      <c r="P918" t="n">
        <v>0</v>
      </c>
      <c r="Q918" t="n">
        <v>0</v>
      </c>
      <c r="R918" t="n">
        <v>0</v>
      </c>
      <c r="S918" t="n">
        <v>0</v>
      </c>
      <c r="T918" t="n">
        <v>0</v>
      </c>
      <c r="U918" s="2" t="inlineStr"/>
    </row>
    <row r="919" ht="15" customHeight="1">
      <c r="A919" t="inlineStr">
        <is>
          <t>A 52611-2023</t>
        </is>
      </c>
      <c r="B919" t="inlineStr">
        <is>
          <t>avverkningsanmälan</t>
        </is>
      </c>
      <c r="C919" t="inlineStr">
        <is>
          <t>Föryngringsavverkning</t>
        </is>
      </c>
      <c r="D919" s="1" t="n">
        <v>45225</v>
      </c>
      <c r="E919" s="1" t="n">
        <v>46216</v>
      </c>
      <c r="F919" t="inlineStr">
        <is>
          <t>BLEKINGE LÄN</t>
        </is>
      </c>
      <c r="G919" t="inlineStr">
        <is>
          <t>RONNEBY</t>
        </is>
      </c>
      <c r="I919" t="n">
        <v>3.4</v>
      </c>
      <c r="J919" t="n">
        <v>0</v>
      </c>
      <c r="K919" t="n">
        <v>0</v>
      </c>
      <c r="L919" t="n">
        <v>0</v>
      </c>
      <c r="M919" t="n">
        <v>0</v>
      </c>
      <c r="N919" t="n">
        <v>0</v>
      </c>
      <c r="O919" t="n">
        <v>0</v>
      </c>
      <c r="P919" t="n">
        <v>0</v>
      </c>
      <c r="Q919" t="n">
        <v>0</v>
      </c>
      <c r="R919" t="n">
        <v>0</v>
      </c>
      <c r="S919" t="n">
        <v>0</v>
      </c>
      <c r="T919" t="n">
        <v>0</v>
      </c>
      <c r="U919" s="2" t="inlineStr"/>
    </row>
    <row r="920" ht="15" customHeight="1">
      <c r="A920" t="inlineStr">
        <is>
          <t>A 52614-2023</t>
        </is>
      </c>
      <c r="B920" t="inlineStr">
        <is>
          <t>avverkningsanmälan</t>
        </is>
      </c>
      <c r="C920" t="inlineStr">
        <is>
          <t>Föryngringsavverkning</t>
        </is>
      </c>
      <c r="D920" s="1" t="n">
        <v>45225</v>
      </c>
      <c r="E920" s="1" t="n">
        <v>46216</v>
      </c>
      <c r="F920" t="inlineStr">
        <is>
          <t>BLEKINGE LÄN</t>
        </is>
      </c>
      <c r="G920" t="inlineStr">
        <is>
          <t>RONNEBY</t>
        </is>
      </c>
      <c r="I920" t="n">
        <v>10.2</v>
      </c>
      <c r="J920" t="n">
        <v>0</v>
      </c>
      <c r="K920" t="n">
        <v>0</v>
      </c>
      <c r="L920" t="n">
        <v>0</v>
      </c>
      <c r="M920" t="n">
        <v>0</v>
      </c>
      <c r="N920" t="n">
        <v>0</v>
      </c>
      <c r="O920" t="n">
        <v>0</v>
      </c>
      <c r="P920" t="n">
        <v>0</v>
      </c>
      <c r="Q920" t="n">
        <v>0</v>
      </c>
      <c r="R920" t="n">
        <v>0</v>
      </c>
      <c r="S920" t="n">
        <v>0</v>
      </c>
      <c r="T920" t="n">
        <v>0</v>
      </c>
      <c r="U920" s="2" t="inlineStr"/>
    </row>
    <row r="921" ht="15" customHeight="1">
      <c r="A921" t="inlineStr">
        <is>
          <t>A 47904-2025</t>
        </is>
      </c>
      <c r="B921" t="inlineStr">
        <is>
          <t>avverkningsanmälan</t>
        </is>
      </c>
      <c r="C921" t="inlineStr">
        <is>
          <t>Föryngringsavverkning</t>
        </is>
      </c>
      <c r="D921" s="1" t="n">
        <v>45932</v>
      </c>
      <c r="E921" s="1" t="n">
        <v>46216</v>
      </c>
      <c r="F921" t="inlineStr">
        <is>
          <t>BLEKINGE LÄN</t>
        </is>
      </c>
      <c r="G921" t="inlineStr">
        <is>
          <t>RONNEBY</t>
        </is>
      </c>
      <c r="H921" t="inlineStr">
        <is>
          <t>Övriga Aktiebolag</t>
        </is>
      </c>
      <c r="I921" t="n">
        <v>1.8</v>
      </c>
      <c r="J921" t="n">
        <v>0</v>
      </c>
      <c r="K921" t="n">
        <v>0</v>
      </c>
      <c r="L921" t="n">
        <v>0</v>
      </c>
      <c r="M921" t="n">
        <v>0</v>
      </c>
      <c r="N921" t="n">
        <v>0</v>
      </c>
      <c r="O921" t="n">
        <v>0</v>
      </c>
      <c r="P921" t="n">
        <v>0</v>
      </c>
      <c r="Q921" t="n">
        <v>0</v>
      </c>
      <c r="R921" t="n">
        <v>0</v>
      </c>
      <c r="S921" t="n">
        <v>0</v>
      </c>
      <c r="T921" t="n">
        <v>0</v>
      </c>
      <c r="U921" s="2" t="inlineStr"/>
    </row>
    <row r="922" ht="15" customHeight="1">
      <c r="A922" t="inlineStr">
        <is>
          <t>A 67336-2021</t>
        </is>
      </c>
      <c r="B922" t="inlineStr">
        <is>
          <t>avverkningsanmälan</t>
        </is>
      </c>
      <c r="C922" t="inlineStr">
        <is>
          <t>Avverkning för annat ändamål</t>
        </is>
      </c>
      <c r="D922" s="1" t="n">
        <v>44523</v>
      </c>
      <c r="E922" s="1" t="n">
        <v>46216</v>
      </c>
      <c r="F922" t="inlineStr">
        <is>
          <t>BLEKINGE LÄN</t>
        </is>
      </c>
      <c r="G922" t="inlineStr">
        <is>
          <t>KARLSKRONA</t>
        </is>
      </c>
      <c r="I922" t="n">
        <v>13.4</v>
      </c>
      <c r="J922" t="n">
        <v>0</v>
      </c>
      <c r="K922" t="n">
        <v>0</v>
      </c>
      <c r="L922" t="n">
        <v>0</v>
      </c>
      <c r="M922" t="n">
        <v>0</v>
      </c>
      <c r="N922" t="n">
        <v>0</v>
      </c>
      <c r="O922" t="n">
        <v>0</v>
      </c>
      <c r="P922" t="n">
        <v>0</v>
      </c>
      <c r="Q922" t="n">
        <v>0</v>
      </c>
      <c r="R922" t="n">
        <v>0</v>
      </c>
      <c r="S922" t="n">
        <v>0</v>
      </c>
      <c r="T922" t="n">
        <v>0</v>
      </c>
      <c r="U922" s="2" t="inlineStr"/>
    </row>
    <row r="923" ht="15" customHeight="1">
      <c r="A923" t="inlineStr">
        <is>
          <t>A 61564-2024</t>
        </is>
      </c>
      <c r="B923" t="inlineStr">
        <is>
          <t>avverkningsanmälan</t>
        </is>
      </c>
      <c r="C923" t="inlineStr">
        <is>
          <t>Föryngringsavverkning</t>
        </is>
      </c>
      <c r="D923" s="1" t="n">
        <v>45646</v>
      </c>
      <c r="E923" s="1" t="n">
        <v>46216</v>
      </c>
      <c r="F923" t="inlineStr">
        <is>
          <t>BLEKINGE LÄN</t>
        </is>
      </c>
      <c r="G923" t="inlineStr">
        <is>
          <t>RONNEBY</t>
        </is>
      </c>
      <c r="I923" t="n">
        <v>2.5</v>
      </c>
      <c r="J923" t="n">
        <v>0</v>
      </c>
      <c r="K923" t="n">
        <v>0</v>
      </c>
      <c r="L923" t="n">
        <v>0</v>
      </c>
      <c r="M923" t="n">
        <v>0</v>
      </c>
      <c r="N923" t="n">
        <v>0</v>
      </c>
      <c r="O923" t="n">
        <v>0</v>
      </c>
      <c r="P923" t="n">
        <v>0</v>
      </c>
      <c r="Q923" t="n">
        <v>0</v>
      </c>
      <c r="R923" t="n">
        <v>0</v>
      </c>
      <c r="S923" t="n">
        <v>0</v>
      </c>
      <c r="T923" t="n">
        <v>0</v>
      </c>
      <c r="U923" s="2" t="inlineStr"/>
    </row>
    <row r="924" ht="15" customHeight="1">
      <c r="A924" t="inlineStr">
        <is>
          <t>A 29971-2023</t>
        </is>
      </c>
      <c r="B924" t="inlineStr">
        <is>
          <t>avverkningsanmälan</t>
        </is>
      </c>
      <c r="C924" t="inlineStr">
        <is>
          <t>Föryngringsavverkning</t>
        </is>
      </c>
      <c r="D924" s="1" t="n">
        <v>45108</v>
      </c>
      <c r="E924" s="1" t="n">
        <v>46216</v>
      </c>
      <c r="F924" t="inlineStr">
        <is>
          <t>BLEKINGE LÄN</t>
        </is>
      </c>
      <c r="G924" t="inlineStr">
        <is>
          <t>KARLSHAMN</t>
        </is>
      </c>
      <c r="I924" t="n">
        <v>0.3</v>
      </c>
      <c r="J924" t="n">
        <v>0</v>
      </c>
      <c r="K924" t="n">
        <v>0</v>
      </c>
      <c r="L924" t="n">
        <v>0</v>
      </c>
      <c r="M924" t="n">
        <v>0</v>
      </c>
      <c r="N924" t="n">
        <v>0</v>
      </c>
      <c r="O924" t="n">
        <v>0</v>
      </c>
      <c r="P924" t="n">
        <v>0</v>
      </c>
      <c r="Q924" t="n">
        <v>0</v>
      </c>
      <c r="R924" t="n">
        <v>0</v>
      </c>
      <c r="S924" t="n">
        <v>0</v>
      </c>
      <c r="T924" t="n">
        <v>0</v>
      </c>
      <c r="U924" s="2" t="inlineStr"/>
    </row>
    <row r="925" ht="15" customHeight="1">
      <c r="A925" t="inlineStr">
        <is>
          <t>A 16060-2025</t>
        </is>
      </c>
      <c r="B925" t="inlineStr">
        <is>
          <t>avverkningsanmälan</t>
        </is>
      </c>
      <c r="C925" t="inlineStr">
        <is>
          <t>Föryngringsavverkning</t>
        </is>
      </c>
      <c r="D925" s="1" t="n">
        <v>45749</v>
      </c>
      <c r="E925" s="1" t="n">
        <v>46216</v>
      </c>
      <c r="F925" t="inlineStr">
        <is>
          <t>BLEKINGE LÄN</t>
        </is>
      </c>
      <c r="G925" t="inlineStr">
        <is>
          <t>KARLSKRONA</t>
        </is>
      </c>
      <c r="I925" t="n">
        <v>2.3</v>
      </c>
      <c r="J925" t="n">
        <v>0</v>
      </c>
      <c r="K925" t="n">
        <v>0</v>
      </c>
      <c r="L925" t="n">
        <v>0</v>
      </c>
      <c r="M925" t="n">
        <v>0</v>
      </c>
      <c r="N925" t="n">
        <v>0</v>
      </c>
      <c r="O925" t="n">
        <v>0</v>
      </c>
      <c r="P925" t="n">
        <v>0</v>
      </c>
      <c r="Q925" t="n">
        <v>0</v>
      </c>
      <c r="R925" t="n">
        <v>0</v>
      </c>
      <c r="S925" t="n">
        <v>0</v>
      </c>
      <c r="T925" t="n">
        <v>0</v>
      </c>
      <c r="U925" s="2" t="inlineStr"/>
    </row>
    <row r="926" ht="15" customHeight="1">
      <c r="A926" t="inlineStr">
        <is>
          <t>A 36765-2025</t>
        </is>
      </c>
      <c r="B926" t="inlineStr">
        <is>
          <t>avverkningsanmälan</t>
        </is>
      </c>
      <c r="C926" t="inlineStr">
        <is>
          <t>Föryngringsavverkning</t>
        </is>
      </c>
      <c r="D926" s="1" t="n">
        <v>45873</v>
      </c>
      <c r="E926" s="1" t="n">
        <v>46216</v>
      </c>
      <c r="F926" t="inlineStr">
        <is>
          <t>BLEKINGE LÄN</t>
        </is>
      </c>
      <c r="G926" t="inlineStr">
        <is>
          <t>KARLSKRONA</t>
        </is>
      </c>
      <c r="I926" t="n">
        <v>1.1</v>
      </c>
      <c r="J926" t="n">
        <v>0</v>
      </c>
      <c r="K926" t="n">
        <v>0</v>
      </c>
      <c r="L926" t="n">
        <v>0</v>
      </c>
      <c r="M926" t="n">
        <v>0</v>
      </c>
      <c r="N926" t="n">
        <v>0</v>
      </c>
      <c r="O926" t="n">
        <v>0</v>
      </c>
      <c r="P926" t="n">
        <v>0</v>
      </c>
      <c r="Q926" t="n">
        <v>0</v>
      </c>
      <c r="R926" t="n">
        <v>0</v>
      </c>
      <c r="S926" t="n">
        <v>0</v>
      </c>
      <c r="T926" t="n">
        <v>0</v>
      </c>
      <c r="U926" s="2" t="inlineStr"/>
    </row>
    <row r="927" ht="15" customHeight="1">
      <c r="A927" t="inlineStr">
        <is>
          <t>A 12517-2022</t>
        </is>
      </c>
      <c r="B927" t="inlineStr">
        <is>
          <t>avverkningsanmälan</t>
        </is>
      </c>
      <c r="C927" t="inlineStr">
        <is>
          <t>Föryngringsavverkning</t>
        </is>
      </c>
      <c r="D927" s="1" t="n">
        <v>44638</v>
      </c>
      <c r="E927" s="1" t="n">
        <v>46216</v>
      </c>
      <c r="F927" t="inlineStr">
        <is>
          <t>BLEKINGE LÄN</t>
        </is>
      </c>
      <c r="G927" t="inlineStr">
        <is>
          <t>KARLSKRONA</t>
        </is>
      </c>
      <c r="I927" t="n">
        <v>1.6</v>
      </c>
      <c r="J927" t="n">
        <v>0</v>
      </c>
      <c r="K927" t="n">
        <v>0</v>
      </c>
      <c r="L927" t="n">
        <v>0</v>
      </c>
      <c r="M927" t="n">
        <v>0</v>
      </c>
      <c r="N927" t="n">
        <v>0</v>
      </c>
      <c r="O927" t="n">
        <v>0</v>
      </c>
      <c r="P927" t="n">
        <v>0</v>
      </c>
      <c r="Q927" t="n">
        <v>0</v>
      </c>
      <c r="R927" t="n">
        <v>0</v>
      </c>
      <c r="S927" t="n">
        <v>0</v>
      </c>
      <c r="T927" t="n">
        <v>0</v>
      </c>
      <c r="U927" s="2" t="inlineStr"/>
    </row>
    <row r="928" ht="15" customHeight="1">
      <c r="A928" t="inlineStr">
        <is>
          <t>A 53605-2024</t>
        </is>
      </c>
      <c r="B928" t="inlineStr">
        <is>
          <t>avverkningsanmälan</t>
        </is>
      </c>
      <c r="C928" t="inlineStr">
        <is>
          <t>Föryngringsavverkning</t>
        </is>
      </c>
      <c r="D928" s="1" t="n">
        <v>45614</v>
      </c>
      <c r="E928" s="1" t="n">
        <v>46216</v>
      </c>
      <c r="F928" t="inlineStr">
        <is>
          <t>BLEKINGE LÄN</t>
        </is>
      </c>
      <c r="G928" t="inlineStr">
        <is>
          <t>OLOFSTRÖM</t>
        </is>
      </c>
      <c r="I928" t="n">
        <v>1.5</v>
      </c>
      <c r="J928" t="n">
        <v>0</v>
      </c>
      <c r="K928" t="n">
        <v>0</v>
      </c>
      <c r="L928" t="n">
        <v>0</v>
      </c>
      <c r="M928" t="n">
        <v>0</v>
      </c>
      <c r="N928" t="n">
        <v>0</v>
      </c>
      <c r="O928" t="n">
        <v>0</v>
      </c>
      <c r="P928" t="n">
        <v>0</v>
      </c>
      <c r="Q928" t="n">
        <v>0</v>
      </c>
      <c r="R928" t="n">
        <v>0</v>
      </c>
      <c r="S928" t="n">
        <v>0</v>
      </c>
      <c r="T928" t="n">
        <v>0</v>
      </c>
      <c r="U928" s="2" t="inlineStr"/>
    </row>
    <row r="929" ht="15" customHeight="1">
      <c r="A929" t="inlineStr">
        <is>
          <t>A 49093-2025</t>
        </is>
      </c>
      <c r="B929" t="inlineStr">
        <is>
          <t>avverkningsanmälan</t>
        </is>
      </c>
      <c r="C929" t="inlineStr">
        <is>
          <t>Föryngringsavverkning</t>
        </is>
      </c>
      <c r="D929" s="1" t="n">
        <v>45937</v>
      </c>
      <c r="E929" s="1" t="n">
        <v>46216</v>
      </c>
      <c r="F929" t="inlineStr">
        <is>
          <t>BLEKINGE LÄN</t>
        </is>
      </c>
      <c r="G929" t="inlineStr">
        <is>
          <t>KARLSKRONA</t>
        </is>
      </c>
      <c r="I929" t="n">
        <v>6.6</v>
      </c>
      <c r="J929" t="n">
        <v>0</v>
      </c>
      <c r="K929" t="n">
        <v>0</v>
      </c>
      <c r="L929" t="n">
        <v>0</v>
      </c>
      <c r="M929" t="n">
        <v>0</v>
      </c>
      <c r="N929" t="n">
        <v>0</v>
      </c>
      <c r="O929" t="n">
        <v>0</v>
      </c>
      <c r="P929" t="n">
        <v>0</v>
      </c>
      <c r="Q929" t="n">
        <v>0</v>
      </c>
      <c r="R929" t="n">
        <v>0</v>
      </c>
      <c r="S929" t="n">
        <v>0</v>
      </c>
      <c r="T929" t="n">
        <v>0</v>
      </c>
      <c r="U929" s="2" t="inlineStr"/>
    </row>
    <row r="930" ht="15" customHeight="1">
      <c r="A930" t="inlineStr">
        <is>
          <t>A 33715-2025</t>
        </is>
      </c>
      <c r="B930" t="inlineStr">
        <is>
          <t>avverkningsanmälan</t>
        </is>
      </c>
      <c r="C930" t="inlineStr">
        <is>
          <t>Föryngringsavverkning</t>
        </is>
      </c>
      <c r="D930" s="1" t="n">
        <v>45841</v>
      </c>
      <c r="E930" s="1" t="n">
        <v>46216</v>
      </c>
      <c r="F930" t="inlineStr">
        <is>
          <t>BLEKINGE LÄN</t>
        </is>
      </c>
      <c r="G930" t="inlineStr">
        <is>
          <t>KARLSHAMN</t>
        </is>
      </c>
      <c r="I930" t="n">
        <v>1.3</v>
      </c>
      <c r="J930" t="n">
        <v>0</v>
      </c>
      <c r="K930" t="n">
        <v>0</v>
      </c>
      <c r="L930" t="n">
        <v>0</v>
      </c>
      <c r="M930" t="n">
        <v>0</v>
      </c>
      <c r="N930" t="n">
        <v>0</v>
      </c>
      <c r="O930" t="n">
        <v>0</v>
      </c>
      <c r="P930" t="n">
        <v>0</v>
      </c>
      <c r="Q930" t="n">
        <v>0</v>
      </c>
      <c r="R930" t="n">
        <v>0</v>
      </c>
      <c r="S930" t="n">
        <v>0</v>
      </c>
      <c r="T930" t="n">
        <v>0</v>
      </c>
      <c r="U930" s="2" t="inlineStr"/>
    </row>
    <row r="931" ht="15" customHeight="1">
      <c r="A931" t="inlineStr">
        <is>
          <t>A 64465-2023</t>
        </is>
      </c>
      <c r="B931" t="inlineStr">
        <is>
          <t>avverkningsanmälan</t>
        </is>
      </c>
      <c r="C931" t="inlineStr">
        <is>
          <t>Föryngringsavverkning</t>
        </is>
      </c>
      <c r="D931" s="1" t="n">
        <v>45280</v>
      </c>
      <c r="E931" s="1" t="n">
        <v>46216</v>
      </c>
      <c r="F931" t="inlineStr">
        <is>
          <t>BLEKINGE LÄN</t>
        </is>
      </c>
      <c r="G931" t="inlineStr">
        <is>
          <t>RONNEBY</t>
        </is>
      </c>
      <c r="I931" t="n">
        <v>2.2</v>
      </c>
      <c r="J931" t="n">
        <v>0</v>
      </c>
      <c r="K931" t="n">
        <v>0</v>
      </c>
      <c r="L931" t="n">
        <v>0</v>
      </c>
      <c r="M931" t="n">
        <v>0</v>
      </c>
      <c r="N931" t="n">
        <v>0</v>
      </c>
      <c r="O931" t="n">
        <v>0</v>
      </c>
      <c r="P931" t="n">
        <v>0</v>
      </c>
      <c r="Q931" t="n">
        <v>0</v>
      </c>
      <c r="R931" t="n">
        <v>0</v>
      </c>
      <c r="S931" t="n">
        <v>0</v>
      </c>
      <c r="T931" t="n">
        <v>0</v>
      </c>
      <c r="U931" s="2" t="inlineStr"/>
    </row>
    <row r="932" ht="15" customHeight="1">
      <c r="A932" t="inlineStr">
        <is>
          <t>A 56191-2023</t>
        </is>
      </c>
      <c r="B932" t="inlineStr">
        <is>
          <t>avverkningsanmälan</t>
        </is>
      </c>
      <c r="C932" t="inlineStr">
        <is>
          <t>Föryngringsavverkning</t>
        </is>
      </c>
      <c r="D932" s="1" t="n">
        <v>45240</v>
      </c>
      <c r="E932" s="1" t="n">
        <v>46216</v>
      </c>
      <c r="F932" t="inlineStr">
        <is>
          <t>BLEKINGE LÄN</t>
        </is>
      </c>
      <c r="G932" t="inlineStr">
        <is>
          <t>KARLSHAMN</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48998-2025</t>
        </is>
      </c>
      <c r="B933" t="inlineStr">
        <is>
          <t>avverkningsanmälan</t>
        </is>
      </c>
      <c r="C933" t="inlineStr">
        <is>
          <t>Föryngringsavverkning</t>
        </is>
      </c>
      <c r="D933" s="1" t="n">
        <v>45937</v>
      </c>
      <c r="E933" s="1" t="n">
        <v>46216</v>
      </c>
      <c r="F933" t="inlineStr">
        <is>
          <t>BLEKINGE LÄN</t>
        </is>
      </c>
      <c r="G933" t="inlineStr">
        <is>
          <t>RONNEBY</t>
        </is>
      </c>
      <c r="I933" t="n">
        <v>1.6</v>
      </c>
      <c r="J933" t="n">
        <v>0</v>
      </c>
      <c r="K933" t="n">
        <v>0</v>
      </c>
      <c r="L933" t="n">
        <v>0</v>
      </c>
      <c r="M933" t="n">
        <v>0</v>
      </c>
      <c r="N933" t="n">
        <v>0</v>
      </c>
      <c r="O933" t="n">
        <v>0</v>
      </c>
      <c r="P933" t="n">
        <v>0</v>
      </c>
      <c r="Q933" t="n">
        <v>0</v>
      </c>
      <c r="R933" t="n">
        <v>0</v>
      </c>
      <c r="S933" t="n">
        <v>0</v>
      </c>
      <c r="T933" t="n">
        <v>0</v>
      </c>
      <c r="U933" s="2" t="inlineStr"/>
    </row>
    <row r="934" ht="15" customHeight="1">
      <c r="A934" t="inlineStr">
        <is>
          <t>A 2369-2024</t>
        </is>
      </c>
      <c r="B934" t="inlineStr">
        <is>
          <t>avverkningsanmälan</t>
        </is>
      </c>
      <c r="C934" t="inlineStr">
        <is>
          <t>Föryngringsavverkning</t>
        </is>
      </c>
      <c r="D934" s="1" t="n">
        <v>45310</v>
      </c>
      <c r="E934" s="1" t="n">
        <v>46216</v>
      </c>
      <c r="F934" t="inlineStr">
        <is>
          <t>BLEKINGE LÄN</t>
        </is>
      </c>
      <c r="G934" t="inlineStr">
        <is>
          <t>KARLSHAMN</t>
        </is>
      </c>
      <c r="H934" t="inlineStr">
        <is>
          <t>Kommuner</t>
        </is>
      </c>
      <c r="I934" t="n">
        <v>7.3</v>
      </c>
      <c r="J934" t="n">
        <v>0</v>
      </c>
      <c r="K934" t="n">
        <v>0</v>
      </c>
      <c r="L934" t="n">
        <v>0</v>
      </c>
      <c r="M934" t="n">
        <v>0</v>
      </c>
      <c r="N934" t="n">
        <v>0</v>
      </c>
      <c r="O934" t="n">
        <v>0</v>
      </c>
      <c r="P934" t="n">
        <v>0</v>
      </c>
      <c r="Q934" t="n">
        <v>0</v>
      </c>
      <c r="R934" t="n">
        <v>0</v>
      </c>
      <c r="S934" t="n">
        <v>0</v>
      </c>
      <c r="T934" t="n">
        <v>0</v>
      </c>
      <c r="U934" s="2" t="inlineStr"/>
    </row>
    <row r="935" ht="15" customHeight="1">
      <c r="A935" t="inlineStr">
        <is>
          <t>A 48853-2025</t>
        </is>
      </c>
      <c r="B935" t="inlineStr">
        <is>
          <t>avverkningsanmälan</t>
        </is>
      </c>
      <c r="C935" t="inlineStr">
        <is>
          <t>Föryngringsavverkning</t>
        </is>
      </c>
      <c r="D935" s="1" t="n">
        <v>45937</v>
      </c>
      <c r="E935" s="1" t="n">
        <v>46216</v>
      </c>
      <c r="F935" t="inlineStr">
        <is>
          <t>BLEKINGE LÄN</t>
        </is>
      </c>
      <c r="G935" t="inlineStr">
        <is>
          <t>KARLSHAMN</t>
        </is>
      </c>
      <c r="I935" t="n">
        <v>7.6</v>
      </c>
      <c r="J935" t="n">
        <v>0</v>
      </c>
      <c r="K935" t="n">
        <v>0</v>
      </c>
      <c r="L935" t="n">
        <v>0</v>
      </c>
      <c r="M935" t="n">
        <v>0</v>
      </c>
      <c r="N935" t="n">
        <v>0</v>
      </c>
      <c r="O935" t="n">
        <v>0</v>
      </c>
      <c r="P935" t="n">
        <v>0</v>
      </c>
      <c r="Q935" t="n">
        <v>0</v>
      </c>
      <c r="R935" t="n">
        <v>0</v>
      </c>
      <c r="S935" t="n">
        <v>0</v>
      </c>
      <c r="T935" t="n">
        <v>0</v>
      </c>
      <c r="U935" s="2" t="inlineStr"/>
    </row>
    <row r="936" ht="15" customHeight="1">
      <c r="A936" t="inlineStr">
        <is>
          <t>A 14554-2023</t>
        </is>
      </c>
      <c r="B936" t="inlineStr">
        <is>
          <t>avverkningsanmälan</t>
        </is>
      </c>
      <c r="C936" t="inlineStr">
        <is>
          <t>Föryngringsavverkning</t>
        </is>
      </c>
      <c r="D936" s="1" t="n">
        <v>45013</v>
      </c>
      <c r="E936" s="1" t="n">
        <v>46216</v>
      </c>
      <c r="F936" t="inlineStr">
        <is>
          <t>BLEKINGE LÄN</t>
        </is>
      </c>
      <c r="G936" t="inlineStr">
        <is>
          <t>KARLSKRONA</t>
        </is>
      </c>
      <c r="I936" t="n">
        <v>1.8</v>
      </c>
      <c r="J936" t="n">
        <v>0</v>
      </c>
      <c r="K936" t="n">
        <v>0</v>
      </c>
      <c r="L936" t="n">
        <v>0</v>
      </c>
      <c r="M936" t="n">
        <v>0</v>
      </c>
      <c r="N936" t="n">
        <v>0</v>
      </c>
      <c r="O936" t="n">
        <v>0</v>
      </c>
      <c r="P936" t="n">
        <v>0</v>
      </c>
      <c r="Q936" t="n">
        <v>0</v>
      </c>
      <c r="R936" t="n">
        <v>0</v>
      </c>
      <c r="S936" t="n">
        <v>0</v>
      </c>
      <c r="T936" t="n">
        <v>0</v>
      </c>
      <c r="U936" s="2" t="inlineStr"/>
    </row>
    <row r="937" ht="15" customHeight="1">
      <c r="A937" t="inlineStr">
        <is>
          <t>A 14557-2023</t>
        </is>
      </c>
      <c r="B937" t="inlineStr">
        <is>
          <t>avverkningsanmälan</t>
        </is>
      </c>
      <c r="C937" t="inlineStr">
        <is>
          <t>Föryngringsavverkning</t>
        </is>
      </c>
      <c r="D937" s="1" t="n">
        <v>45013</v>
      </c>
      <c r="E937" s="1" t="n">
        <v>46216</v>
      </c>
      <c r="F937" t="inlineStr">
        <is>
          <t>BLEKINGE LÄN</t>
        </is>
      </c>
      <c r="G937" t="inlineStr">
        <is>
          <t>KARLSKRONA</t>
        </is>
      </c>
      <c r="I937" t="n">
        <v>0.8</v>
      </c>
      <c r="J937" t="n">
        <v>0</v>
      </c>
      <c r="K937" t="n">
        <v>0</v>
      </c>
      <c r="L937" t="n">
        <v>0</v>
      </c>
      <c r="M937" t="n">
        <v>0</v>
      </c>
      <c r="N937" t="n">
        <v>0</v>
      </c>
      <c r="O937" t="n">
        <v>0</v>
      </c>
      <c r="P937" t="n">
        <v>0</v>
      </c>
      <c r="Q937" t="n">
        <v>0</v>
      </c>
      <c r="R937" t="n">
        <v>0</v>
      </c>
      <c r="S937" t="n">
        <v>0</v>
      </c>
      <c r="T937" t="n">
        <v>0</v>
      </c>
      <c r="U937" s="2" t="inlineStr"/>
    </row>
    <row r="938" ht="15" customHeight="1">
      <c r="A938" t="inlineStr">
        <is>
          <t>A 1183-2025</t>
        </is>
      </c>
      <c r="B938" t="inlineStr">
        <is>
          <t>avverkningsanmälan</t>
        </is>
      </c>
      <c r="C938" t="inlineStr">
        <is>
          <t>Avverkning för annat ändamål</t>
        </is>
      </c>
      <c r="D938" s="1" t="n">
        <v>45653</v>
      </c>
      <c r="E938" s="1" t="n">
        <v>46216</v>
      </c>
      <c r="F938" t="inlineStr">
        <is>
          <t>BLEKINGE LÄN</t>
        </is>
      </c>
      <c r="G938" t="inlineStr">
        <is>
          <t>RONNEBY</t>
        </is>
      </c>
      <c r="I938" t="n">
        <v>1</v>
      </c>
      <c r="J938" t="n">
        <v>0</v>
      </c>
      <c r="K938" t="n">
        <v>0</v>
      </c>
      <c r="L938" t="n">
        <v>0</v>
      </c>
      <c r="M938" t="n">
        <v>0</v>
      </c>
      <c r="N938" t="n">
        <v>0</v>
      </c>
      <c r="O938" t="n">
        <v>0</v>
      </c>
      <c r="P938" t="n">
        <v>0</v>
      </c>
      <c r="Q938" t="n">
        <v>0</v>
      </c>
      <c r="R938" t="n">
        <v>0</v>
      </c>
      <c r="S938" t="n">
        <v>0</v>
      </c>
      <c r="T938" t="n">
        <v>0</v>
      </c>
      <c r="U938" s="2" t="inlineStr"/>
    </row>
    <row r="939" ht="15" customHeight="1">
      <c r="A939" t="inlineStr">
        <is>
          <t>A 37196-2025</t>
        </is>
      </c>
      <c r="B939" t="inlineStr">
        <is>
          <t>avverkningsanmälan</t>
        </is>
      </c>
      <c r="C939" t="inlineStr">
        <is>
          <t>Föryngringsavverkning</t>
        </is>
      </c>
      <c r="D939" s="1" t="n">
        <v>45875</v>
      </c>
      <c r="E939" s="1" t="n">
        <v>46216</v>
      </c>
      <c r="F939" t="inlineStr">
        <is>
          <t>BLEKINGE LÄN</t>
        </is>
      </c>
      <c r="G939" t="inlineStr">
        <is>
          <t>KARLSKRONA</t>
        </is>
      </c>
      <c r="I939" t="n">
        <v>2.2</v>
      </c>
      <c r="J939" t="n">
        <v>0</v>
      </c>
      <c r="K939" t="n">
        <v>0</v>
      </c>
      <c r="L939" t="n">
        <v>0</v>
      </c>
      <c r="M939" t="n">
        <v>0</v>
      </c>
      <c r="N939" t="n">
        <v>0</v>
      </c>
      <c r="O939" t="n">
        <v>0</v>
      </c>
      <c r="P939" t="n">
        <v>0</v>
      </c>
      <c r="Q939" t="n">
        <v>0</v>
      </c>
      <c r="R939" t="n">
        <v>0</v>
      </c>
      <c r="S939" t="n">
        <v>0</v>
      </c>
      <c r="T939" t="n">
        <v>0</v>
      </c>
      <c r="U939" s="2" t="inlineStr"/>
    </row>
    <row r="940" ht="15" customHeight="1">
      <c r="A940" t="inlineStr">
        <is>
          <t>A 49005-2025</t>
        </is>
      </c>
      <c r="B940" t="inlineStr">
        <is>
          <t>avverkningsanmälan</t>
        </is>
      </c>
      <c r="C940" t="inlineStr">
        <is>
          <t>Föryngringsavverkning</t>
        </is>
      </c>
      <c r="D940" s="1" t="n">
        <v>45937</v>
      </c>
      <c r="E940" s="1" t="n">
        <v>46216</v>
      </c>
      <c r="F940" t="inlineStr">
        <is>
          <t>BLEKINGE LÄN</t>
        </is>
      </c>
      <c r="G940" t="inlineStr">
        <is>
          <t>RONNEBY</t>
        </is>
      </c>
      <c r="I940" t="n">
        <v>3.5</v>
      </c>
      <c r="J940" t="n">
        <v>0</v>
      </c>
      <c r="K940" t="n">
        <v>0</v>
      </c>
      <c r="L940" t="n">
        <v>0</v>
      </c>
      <c r="M940" t="n">
        <v>0</v>
      </c>
      <c r="N940" t="n">
        <v>0</v>
      </c>
      <c r="O940" t="n">
        <v>0</v>
      </c>
      <c r="P940" t="n">
        <v>0</v>
      </c>
      <c r="Q940" t="n">
        <v>0</v>
      </c>
      <c r="R940" t="n">
        <v>0</v>
      </c>
      <c r="S940" t="n">
        <v>0</v>
      </c>
      <c r="T940" t="n">
        <v>0</v>
      </c>
      <c r="U940" s="2" t="inlineStr"/>
    </row>
    <row r="941" ht="15" customHeight="1">
      <c r="A941" t="inlineStr">
        <is>
          <t>A 37024-2025</t>
        </is>
      </c>
      <c r="B941" t="inlineStr">
        <is>
          <t>avverkningsanmälan</t>
        </is>
      </c>
      <c r="C941" t="inlineStr">
        <is>
          <t>Föryngringsavverkning</t>
        </is>
      </c>
      <c r="D941" s="1" t="n">
        <v>45874</v>
      </c>
      <c r="E941" s="1" t="n">
        <v>46216</v>
      </c>
      <c r="F941" t="inlineStr">
        <is>
          <t>BLEKINGE LÄN</t>
        </is>
      </c>
      <c r="G941" t="inlineStr">
        <is>
          <t>KARLSHAMN</t>
        </is>
      </c>
      <c r="I941" t="n">
        <v>1.2</v>
      </c>
      <c r="J941" t="n">
        <v>0</v>
      </c>
      <c r="K941" t="n">
        <v>0</v>
      </c>
      <c r="L941" t="n">
        <v>0</v>
      </c>
      <c r="M941" t="n">
        <v>0</v>
      </c>
      <c r="N941" t="n">
        <v>0</v>
      </c>
      <c r="O941" t="n">
        <v>0</v>
      </c>
      <c r="P941" t="n">
        <v>0</v>
      </c>
      <c r="Q941" t="n">
        <v>0</v>
      </c>
      <c r="R941" t="n">
        <v>0</v>
      </c>
      <c r="S941" t="n">
        <v>0</v>
      </c>
      <c r="T941" t="n">
        <v>0</v>
      </c>
      <c r="U941" s="2" t="inlineStr"/>
    </row>
    <row r="942" ht="15" customHeight="1">
      <c r="A942" t="inlineStr">
        <is>
          <t>A 49271-2025</t>
        </is>
      </c>
      <c r="B942" t="inlineStr">
        <is>
          <t>avverkningsanmälan</t>
        </is>
      </c>
      <c r="C942" t="inlineStr">
        <is>
          <t>Föryngringsavverkning</t>
        </is>
      </c>
      <c r="D942" s="1" t="n">
        <v>45938</v>
      </c>
      <c r="E942" s="1" t="n">
        <v>46216</v>
      </c>
      <c r="F942" t="inlineStr">
        <is>
          <t>BLEKINGE LÄN</t>
        </is>
      </c>
      <c r="G942" t="inlineStr">
        <is>
          <t>OLOFSTRÖM</t>
        </is>
      </c>
      <c r="I942" t="n">
        <v>3.2</v>
      </c>
      <c r="J942" t="n">
        <v>0</v>
      </c>
      <c r="K942" t="n">
        <v>0</v>
      </c>
      <c r="L942" t="n">
        <v>0</v>
      </c>
      <c r="M942" t="n">
        <v>0</v>
      </c>
      <c r="N942" t="n">
        <v>0</v>
      </c>
      <c r="O942" t="n">
        <v>0</v>
      </c>
      <c r="P942" t="n">
        <v>0</v>
      </c>
      <c r="Q942" t="n">
        <v>0</v>
      </c>
      <c r="R942" t="n">
        <v>0</v>
      </c>
      <c r="S942" t="n">
        <v>0</v>
      </c>
      <c r="T942" t="n">
        <v>0</v>
      </c>
      <c r="U942" s="2" t="inlineStr"/>
    </row>
    <row r="943" ht="15" customHeight="1">
      <c r="A943" t="inlineStr">
        <is>
          <t>A 37179-2025</t>
        </is>
      </c>
      <c r="B943" t="inlineStr">
        <is>
          <t>avverkningsanmälan</t>
        </is>
      </c>
      <c r="C943" t="inlineStr">
        <is>
          <t>Föryngringsavverkning</t>
        </is>
      </c>
      <c r="D943" s="1" t="n">
        <v>45875</v>
      </c>
      <c r="E943" s="1" t="n">
        <v>46216</v>
      </c>
      <c r="F943" t="inlineStr">
        <is>
          <t>BLEKINGE LÄN</t>
        </is>
      </c>
      <c r="G943" t="inlineStr">
        <is>
          <t>KARLSKRONA</t>
        </is>
      </c>
      <c r="I943" t="n">
        <v>3.9</v>
      </c>
      <c r="J943" t="n">
        <v>0</v>
      </c>
      <c r="K943" t="n">
        <v>0</v>
      </c>
      <c r="L943" t="n">
        <v>0</v>
      </c>
      <c r="M943" t="n">
        <v>0</v>
      </c>
      <c r="N943" t="n">
        <v>0</v>
      </c>
      <c r="O943" t="n">
        <v>0</v>
      </c>
      <c r="P943" t="n">
        <v>0</v>
      </c>
      <c r="Q943" t="n">
        <v>0</v>
      </c>
      <c r="R943" t="n">
        <v>0</v>
      </c>
      <c r="S943" t="n">
        <v>0</v>
      </c>
      <c r="T943" t="n">
        <v>0</v>
      </c>
      <c r="U943" s="2" t="inlineStr"/>
    </row>
    <row r="944" ht="15" customHeight="1">
      <c r="A944" t="inlineStr">
        <is>
          <t>A 31288-2023</t>
        </is>
      </c>
      <c r="B944" t="inlineStr">
        <is>
          <t>avverkningsanmälan</t>
        </is>
      </c>
      <c r="C944" t="inlineStr">
        <is>
          <t>Föryngringsavverkning</t>
        </is>
      </c>
      <c r="D944" s="1" t="n">
        <v>45114</v>
      </c>
      <c r="E944" s="1" t="n">
        <v>46216</v>
      </c>
      <c r="F944" t="inlineStr">
        <is>
          <t>BLEKINGE LÄN</t>
        </is>
      </c>
      <c r="G944" t="inlineStr">
        <is>
          <t>KARLSHAMN</t>
        </is>
      </c>
      <c r="I944" t="n">
        <v>7.2</v>
      </c>
      <c r="J944" t="n">
        <v>0</v>
      </c>
      <c r="K944" t="n">
        <v>0</v>
      </c>
      <c r="L944" t="n">
        <v>0</v>
      </c>
      <c r="M944" t="n">
        <v>0</v>
      </c>
      <c r="N944" t="n">
        <v>0</v>
      </c>
      <c r="O944" t="n">
        <v>0</v>
      </c>
      <c r="P944" t="n">
        <v>0</v>
      </c>
      <c r="Q944" t="n">
        <v>0</v>
      </c>
      <c r="R944" t="n">
        <v>0</v>
      </c>
      <c r="S944" t="n">
        <v>0</v>
      </c>
      <c r="T944" t="n">
        <v>0</v>
      </c>
      <c r="U944" s="2" t="inlineStr"/>
    </row>
    <row r="945" ht="15" customHeight="1">
      <c r="A945" t="inlineStr">
        <is>
          <t>A 49086-2025</t>
        </is>
      </c>
      <c r="B945" t="inlineStr">
        <is>
          <t>avverkningsanmälan</t>
        </is>
      </c>
      <c r="C945" t="inlineStr">
        <is>
          <t>Föryngringsavverkning</t>
        </is>
      </c>
      <c r="D945" s="1" t="n">
        <v>45937</v>
      </c>
      <c r="E945" s="1" t="n">
        <v>46216</v>
      </c>
      <c r="F945" t="inlineStr">
        <is>
          <t>BLEKINGE LÄN</t>
        </is>
      </c>
      <c r="G945" t="inlineStr">
        <is>
          <t>KARLSKRONA</t>
        </is>
      </c>
      <c r="I945" t="n">
        <v>12.2</v>
      </c>
      <c r="J945" t="n">
        <v>0</v>
      </c>
      <c r="K945" t="n">
        <v>0</v>
      </c>
      <c r="L945" t="n">
        <v>0</v>
      </c>
      <c r="M945" t="n">
        <v>0</v>
      </c>
      <c r="N945" t="n">
        <v>0</v>
      </c>
      <c r="O945" t="n">
        <v>0</v>
      </c>
      <c r="P945" t="n">
        <v>0</v>
      </c>
      <c r="Q945" t="n">
        <v>0</v>
      </c>
      <c r="R945" t="n">
        <v>0</v>
      </c>
      <c r="S945" t="n">
        <v>0</v>
      </c>
      <c r="T945" t="n">
        <v>0</v>
      </c>
      <c r="U945" s="2" t="inlineStr"/>
    </row>
    <row r="946" ht="15" customHeight="1">
      <c r="A946" t="inlineStr">
        <is>
          <t>A 9583-2024</t>
        </is>
      </c>
      <c r="B946" t="inlineStr">
        <is>
          <t>avverkningsanmälan</t>
        </is>
      </c>
      <c r="C946" t="inlineStr">
        <is>
          <t>Föryngringsavverkning</t>
        </is>
      </c>
      <c r="D946" s="1" t="n">
        <v>45360</v>
      </c>
      <c r="E946" s="1" t="n">
        <v>46216</v>
      </c>
      <c r="F946" t="inlineStr">
        <is>
          <t>BLEKINGE LÄN</t>
        </is>
      </c>
      <c r="G946" t="inlineStr">
        <is>
          <t>RONNEBY</t>
        </is>
      </c>
      <c r="I946" t="n">
        <v>2.1</v>
      </c>
      <c r="J946" t="n">
        <v>0</v>
      </c>
      <c r="K946" t="n">
        <v>0</v>
      </c>
      <c r="L946" t="n">
        <v>0</v>
      </c>
      <c r="M946" t="n">
        <v>0</v>
      </c>
      <c r="N946" t="n">
        <v>0</v>
      </c>
      <c r="O946" t="n">
        <v>0</v>
      </c>
      <c r="P946" t="n">
        <v>0</v>
      </c>
      <c r="Q946" t="n">
        <v>0</v>
      </c>
      <c r="R946" t="n">
        <v>0</v>
      </c>
      <c r="S946" t="n">
        <v>0</v>
      </c>
      <c r="T946" t="n">
        <v>0</v>
      </c>
      <c r="U946" s="2" t="inlineStr"/>
    </row>
    <row r="947" ht="15" customHeight="1">
      <c r="A947" t="inlineStr">
        <is>
          <t>A 9620-2024</t>
        </is>
      </c>
      <c r="B947" t="inlineStr">
        <is>
          <t>avverkningsanmälan</t>
        </is>
      </c>
      <c r="C947" t="inlineStr">
        <is>
          <t>Föryngringsavverkning</t>
        </is>
      </c>
      <c r="D947" s="1" t="n">
        <v>45361</v>
      </c>
      <c r="E947" s="1" t="n">
        <v>46216</v>
      </c>
      <c r="F947" t="inlineStr">
        <is>
          <t>BLEKINGE LÄN</t>
        </is>
      </c>
      <c r="G947" t="inlineStr">
        <is>
          <t>KARLSKRONA</t>
        </is>
      </c>
      <c r="I947" t="n">
        <v>1.7</v>
      </c>
      <c r="J947" t="n">
        <v>0</v>
      </c>
      <c r="K947" t="n">
        <v>0</v>
      </c>
      <c r="L947" t="n">
        <v>0</v>
      </c>
      <c r="M947" t="n">
        <v>0</v>
      </c>
      <c r="N947" t="n">
        <v>0</v>
      </c>
      <c r="O947" t="n">
        <v>0</v>
      </c>
      <c r="P947" t="n">
        <v>0</v>
      </c>
      <c r="Q947" t="n">
        <v>0</v>
      </c>
      <c r="R947" t="n">
        <v>0</v>
      </c>
      <c r="S947" t="n">
        <v>0</v>
      </c>
      <c r="T947" t="n">
        <v>0</v>
      </c>
      <c r="U947" s="2" t="inlineStr"/>
    </row>
    <row r="948" ht="15" customHeight="1">
      <c r="A948" t="inlineStr">
        <is>
          <t>A 41000-2024</t>
        </is>
      </c>
      <c r="B948" t="inlineStr">
        <is>
          <t>avverkningsanmälan</t>
        </is>
      </c>
      <c r="C948" t="inlineStr">
        <is>
          <t>Föryngringsavverkning</t>
        </is>
      </c>
      <c r="D948" s="1" t="n">
        <v>45558</v>
      </c>
      <c r="E948" s="1" t="n">
        <v>46216</v>
      </c>
      <c r="F948" t="inlineStr">
        <is>
          <t>BLEKINGE LÄN</t>
        </is>
      </c>
      <c r="G948" t="inlineStr">
        <is>
          <t>KARLSKRONA</t>
        </is>
      </c>
      <c r="I948" t="n">
        <v>4.2</v>
      </c>
      <c r="J948" t="n">
        <v>0</v>
      </c>
      <c r="K948" t="n">
        <v>0</v>
      </c>
      <c r="L948" t="n">
        <v>0</v>
      </c>
      <c r="M948" t="n">
        <v>0</v>
      </c>
      <c r="N948" t="n">
        <v>0</v>
      </c>
      <c r="O948" t="n">
        <v>0</v>
      </c>
      <c r="P948" t="n">
        <v>0</v>
      </c>
      <c r="Q948" t="n">
        <v>0</v>
      </c>
      <c r="R948" t="n">
        <v>0</v>
      </c>
      <c r="S948" t="n">
        <v>0</v>
      </c>
      <c r="T948" t="n">
        <v>0</v>
      </c>
      <c r="U948" s="2" t="inlineStr"/>
    </row>
    <row r="949" ht="15" customHeight="1">
      <c r="A949" t="inlineStr">
        <is>
          <t>A 41040-2024</t>
        </is>
      </c>
      <c r="B949" t="inlineStr">
        <is>
          <t>avverkningsanmälan</t>
        </is>
      </c>
      <c r="C949" t="inlineStr">
        <is>
          <t>Föryngringsavverkning</t>
        </is>
      </c>
      <c r="D949" s="1" t="n">
        <v>45559</v>
      </c>
      <c r="E949" s="1" t="n">
        <v>46216</v>
      </c>
      <c r="F949" t="inlineStr">
        <is>
          <t>BLEKINGE LÄN</t>
        </is>
      </c>
      <c r="G949" t="inlineStr">
        <is>
          <t>RONNEBY</t>
        </is>
      </c>
      <c r="H949" t="inlineStr">
        <is>
          <t>Övriga Aktiebolag</t>
        </is>
      </c>
      <c r="I949" t="n">
        <v>2</v>
      </c>
      <c r="J949" t="n">
        <v>0</v>
      </c>
      <c r="K949" t="n">
        <v>0</v>
      </c>
      <c r="L949" t="n">
        <v>0</v>
      </c>
      <c r="M949" t="n">
        <v>0</v>
      </c>
      <c r="N949" t="n">
        <v>0</v>
      </c>
      <c r="O949" t="n">
        <v>0</v>
      </c>
      <c r="P949" t="n">
        <v>0</v>
      </c>
      <c r="Q949" t="n">
        <v>0</v>
      </c>
      <c r="R949" t="n">
        <v>0</v>
      </c>
      <c r="S949" t="n">
        <v>0</v>
      </c>
      <c r="T949" t="n">
        <v>0</v>
      </c>
      <c r="U949" s="2" t="inlineStr"/>
    </row>
    <row r="950" ht="15" customHeight="1">
      <c r="A950" t="inlineStr">
        <is>
          <t>A 41063-2024</t>
        </is>
      </c>
      <c r="B950" t="inlineStr">
        <is>
          <t>avverkningsanmälan</t>
        </is>
      </c>
      <c r="C950" t="inlineStr">
        <is>
          <t>Föryngringsavverkning</t>
        </is>
      </c>
      <c r="D950" s="1" t="n">
        <v>45559</v>
      </c>
      <c r="E950" s="1" t="n">
        <v>46216</v>
      </c>
      <c r="F950" t="inlineStr">
        <is>
          <t>BLEKINGE LÄN</t>
        </is>
      </c>
      <c r="G950" t="inlineStr">
        <is>
          <t>RONNEBY</t>
        </is>
      </c>
      <c r="H950" t="inlineStr">
        <is>
          <t>Övriga Aktiebolag</t>
        </is>
      </c>
      <c r="I950" t="n">
        <v>0.6</v>
      </c>
      <c r="J950" t="n">
        <v>0</v>
      </c>
      <c r="K950" t="n">
        <v>0</v>
      </c>
      <c r="L950" t="n">
        <v>0</v>
      </c>
      <c r="M950" t="n">
        <v>0</v>
      </c>
      <c r="N950" t="n">
        <v>0</v>
      </c>
      <c r="O950" t="n">
        <v>0</v>
      </c>
      <c r="P950" t="n">
        <v>0</v>
      </c>
      <c r="Q950" t="n">
        <v>0</v>
      </c>
      <c r="R950" t="n">
        <v>0</v>
      </c>
      <c r="S950" t="n">
        <v>0</v>
      </c>
      <c r="T950" t="n">
        <v>0</v>
      </c>
      <c r="U950" s="2" t="inlineStr"/>
    </row>
    <row r="951" ht="15" customHeight="1">
      <c r="A951" t="inlineStr">
        <is>
          <t>A 49649-2025</t>
        </is>
      </c>
      <c r="B951" t="inlineStr">
        <is>
          <t>avverkningsanmälan</t>
        </is>
      </c>
      <c r="C951" t="inlineStr">
        <is>
          <t>Föryngringsavverkning</t>
        </is>
      </c>
      <c r="D951" s="1" t="n">
        <v>45939</v>
      </c>
      <c r="E951" s="1" t="n">
        <v>46216</v>
      </c>
      <c r="F951" t="inlineStr">
        <is>
          <t>BLEKINGE LÄN</t>
        </is>
      </c>
      <c r="G951" t="inlineStr">
        <is>
          <t>KARLSHAMN</t>
        </is>
      </c>
      <c r="I951" t="n">
        <v>6.3</v>
      </c>
      <c r="J951" t="n">
        <v>0</v>
      </c>
      <c r="K951" t="n">
        <v>0</v>
      </c>
      <c r="L951" t="n">
        <v>0</v>
      </c>
      <c r="M951" t="n">
        <v>0</v>
      </c>
      <c r="N951" t="n">
        <v>0</v>
      </c>
      <c r="O951" t="n">
        <v>0</v>
      </c>
      <c r="P951" t="n">
        <v>0</v>
      </c>
      <c r="Q951" t="n">
        <v>0</v>
      </c>
      <c r="R951" t="n">
        <v>0</v>
      </c>
      <c r="S951" t="n">
        <v>0</v>
      </c>
      <c r="T951" t="n">
        <v>0</v>
      </c>
      <c r="U951" s="2" t="inlineStr"/>
    </row>
    <row r="952" ht="15" customHeight="1">
      <c r="A952" t="inlineStr">
        <is>
          <t>A 49784-2025</t>
        </is>
      </c>
      <c r="B952" t="inlineStr">
        <is>
          <t>avverkningsanmälan</t>
        </is>
      </c>
      <c r="C952" t="inlineStr">
        <is>
          <t>Föryngringsavverkning</t>
        </is>
      </c>
      <c r="D952" s="1" t="n">
        <v>45940</v>
      </c>
      <c r="E952" s="1" t="n">
        <v>46216</v>
      </c>
      <c r="F952" t="inlineStr">
        <is>
          <t>BLEKINGE LÄN</t>
        </is>
      </c>
      <c r="G952" t="inlineStr">
        <is>
          <t>OLOFSTRÖM</t>
        </is>
      </c>
      <c r="I952" t="n">
        <v>2.3</v>
      </c>
      <c r="J952" t="n">
        <v>0</v>
      </c>
      <c r="K952" t="n">
        <v>0</v>
      </c>
      <c r="L952" t="n">
        <v>0</v>
      </c>
      <c r="M952" t="n">
        <v>0</v>
      </c>
      <c r="N952" t="n">
        <v>0</v>
      </c>
      <c r="O952" t="n">
        <v>0</v>
      </c>
      <c r="P952" t="n">
        <v>0</v>
      </c>
      <c r="Q952" t="n">
        <v>0</v>
      </c>
      <c r="R952" t="n">
        <v>0</v>
      </c>
      <c r="S952" t="n">
        <v>0</v>
      </c>
      <c r="T952" t="n">
        <v>0</v>
      </c>
      <c r="U952" s="2" t="inlineStr"/>
    </row>
    <row r="953" ht="15" customHeight="1">
      <c r="A953" t="inlineStr">
        <is>
          <t>A 42736-2022</t>
        </is>
      </c>
      <c r="B953" t="inlineStr">
        <is>
          <t>avverkningsanmälan</t>
        </is>
      </c>
      <c r="C953" t="inlineStr">
        <is>
          <t>Föryngringsavverkning</t>
        </is>
      </c>
      <c r="D953" s="1" t="n">
        <v>44832</v>
      </c>
      <c r="E953" s="1" t="n">
        <v>46216</v>
      </c>
      <c r="F953" t="inlineStr">
        <is>
          <t>BLEKINGE LÄN</t>
        </is>
      </c>
      <c r="G953" t="inlineStr">
        <is>
          <t>OLOFSTRÖM</t>
        </is>
      </c>
      <c r="I953" t="n">
        <v>1.4</v>
      </c>
      <c r="J953" t="n">
        <v>0</v>
      </c>
      <c r="K953" t="n">
        <v>0</v>
      </c>
      <c r="L953" t="n">
        <v>0</v>
      </c>
      <c r="M953" t="n">
        <v>0</v>
      </c>
      <c r="N953" t="n">
        <v>0</v>
      </c>
      <c r="O953" t="n">
        <v>0</v>
      </c>
      <c r="P953" t="n">
        <v>0</v>
      </c>
      <c r="Q953" t="n">
        <v>0</v>
      </c>
      <c r="R953" t="n">
        <v>0</v>
      </c>
      <c r="S953" t="n">
        <v>0</v>
      </c>
      <c r="T953" t="n">
        <v>0</v>
      </c>
      <c r="U953" s="2" t="inlineStr"/>
    </row>
    <row r="954" ht="15" customHeight="1">
      <c r="A954" t="inlineStr">
        <is>
          <t>A 38930-2021</t>
        </is>
      </c>
      <c r="B954" t="inlineStr">
        <is>
          <t>avverkningsanmälan</t>
        </is>
      </c>
      <c r="C954" t="inlineStr">
        <is>
          <t>Föryngringsavverkning</t>
        </is>
      </c>
      <c r="D954" s="1" t="n">
        <v>44410</v>
      </c>
      <c r="E954" s="1" t="n">
        <v>46216</v>
      </c>
      <c r="F954" t="inlineStr">
        <is>
          <t>BLEKINGE LÄN</t>
        </is>
      </c>
      <c r="G954" t="inlineStr">
        <is>
          <t>KARLSHAMN</t>
        </is>
      </c>
      <c r="I954" t="n">
        <v>1.2</v>
      </c>
      <c r="J954" t="n">
        <v>0</v>
      </c>
      <c r="K954" t="n">
        <v>0</v>
      </c>
      <c r="L954" t="n">
        <v>0</v>
      </c>
      <c r="M954" t="n">
        <v>0</v>
      </c>
      <c r="N954" t="n">
        <v>0</v>
      </c>
      <c r="O954" t="n">
        <v>0</v>
      </c>
      <c r="P954" t="n">
        <v>0</v>
      </c>
      <c r="Q954" t="n">
        <v>0</v>
      </c>
      <c r="R954" t="n">
        <v>0</v>
      </c>
      <c r="S954" t="n">
        <v>0</v>
      </c>
      <c r="T954" t="n">
        <v>0</v>
      </c>
      <c r="U954" s="2" t="inlineStr"/>
    </row>
    <row r="955" ht="15" customHeight="1">
      <c r="A955" t="inlineStr">
        <is>
          <t>A 3820-2022</t>
        </is>
      </c>
      <c r="B955" t="inlineStr">
        <is>
          <t>avverkningsanmälan</t>
        </is>
      </c>
      <c r="C955" t="inlineStr">
        <is>
          <t>Föryngringsavverkning</t>
        </is>
      </c>
      <c r="D955" s="1" t="n">
        <v>44586</v>
      </c>
      <c r="E955" s="1" t="n">
        <v>46216</v>
      </c>
      <c r="F955" t="inlineStr">
        <is>
          <t>BLEKINGE LÄN</t>
        </is>
      </c>
      <c r="G955" t="inlineStr">
        <is>
          <t>KARLSHAMN</t>
        </is>
      </c>
      <c r="I955" t="n">
        <v>12</v>
      </c>
      <c r="J955" t="n">
        <v>0</v>
      </c>
      <c r="K955" t="n">
        <v>0</v>
      </c>
      <c r="L955" t="n">
        <v>0</v>
      </c>
      <c r="M955" t="n">
        <v>0</v>
      </c>
      <c r="N955" t="n">
        <v>0</v>
      </c>
      <c r="O955" t="n">
        <v>0</v>
      </c>
      <c r="P955" t="n">
        <v>0</v>
      </c>
      <c r="Q955" t="n">
        <v>0</v>
      </c>
      <c r="R955" t="n">
        <v>0</v>
      </c>
      <c r="S955" t="n">
        <v>0</v>
      </c>
      <c r="T955" t="n">
        <v>0</v>
      </c>
      <c r="U955" s="2" t="inlineStr"/>
    </row>
    <row r="956" ht="15" customHeight="1">
      <c r="A956" t="inlineStr">
        <is>
          <t>A 2327-2025</t>
        </is>
      </c>
      <c r="B956" t="inlineStr">
        <is>
          <t>avverkningsanmälan</t>
        </is>
      </c>
      <c r="C956" t="inlineStr">
        <is>
          <t>Föryngringsavverkning</t>
        </is>
      </c>
      <c r="D956" s="1" t="n">
        <v>45673</v>
      </c>
      <c r="E956" s="1" t="n">
        <v>46216</v>
      </c>
      <c r="F956" t="inlineStr">
        <is>
          <t>BLEKINGE LÄN</t>
        </is>
      </c>
      <c r="G956" t="inlineStr">
        <is>
          <t>SÖLVESBORG</t>
        </is>
      </c>
      <c r="I956" t="n">
        <v>1</v>
      </c>
      <c r="J956" t="n">
        <v>0</v>
      </c>
      <c r="K956" t="n">
        <v>0</v>
      </c>
      <c r="L956" t="n">
        <v>0</v>
      </c>
      <c r="M956" t="n">
        <v>0</v>
      </c>
      <c r="N956" t="n">
        <v>0</v>
      </c>
      <c r="O956" t="n">
        <v>0</v>
      </c>
      <c r="P956" t="n">
        <v>0</v>
      </c>
      <c r="Q956" t="n">
        <v>0</v>
      </c>
      <c r="R956" t="n">
        <v>0</v>
      </c>
      <c r="S956" t="n">
        <v>0</v>
      </c>
      <c r="T956" t="n">
        <v>0</v>
      </c>
      <c r="U956" s="2" t="inlineStr"/>
    </row>
    <row r="957" ht="15" customHeight="1">
      <c r="A957" t="inlineStr">
        <is>
          <t>A 50587-2025</t>
        </is>
      </c>
      <c r="B957" t="inlineStr">
        <is>
          <t>avverkningsanmälan</t>
        </is>
      </c>
      <c r="C957" t="inlineStr">
        <is>
          <t>Föryngringsavverkning</t>
        </is>
      </c>
      <c r="D957" s="1" t="n">
        <v>45945</v>
      </c>
      <c r="E957" s="1" t="n">
        <v>46216</v>
      </c>
      <c r="F957" t="inlineStr">
        <is>
          <t>BLEKINGE LÄN</t>
        </is>
      </c>
      <c r="G957" t="inlineStr">
        <is>
          <t>KARLSKRONA</t>
        </is>
      </c>
      <c r="I957" t="n">
        <v>3.9</v>
      </c>
      <c r="J957" t="n">
        <v>0</v>
      </c>
      <c r="K957" t="n">
        <v>0</v>
      </c>
      <c r="L957" t="n">
        <v>0</v>
      </c>
      <c r="M957" t="n">
        <v>0</v>
      </c>
      <c r="N957" t="n">
        <v>0</v>
      </c>
      <c r="O957" t="n">
        <v>0</v>
      </c>
      <c r="P957" t="n">
        <v>0</v>
      </c>
      <c r="Q957" t="n">
        <v>0</v>
      </c>
      <c r="R957" t="n">
        <v>0</v>
      </c>
      <c r="S957" t="n">
        <v>0</v>
      </c>
      <c r="T957" t="n">
        <v>0</v>
      </c>
      <c r="U957" s="2" t="inlineStr"/>
    </row>
    <row r="958" ht="15" customHeight="1">
      <c r="A958" t="inlineStr">
        <is>
          <t>A 50603-2025</t>
        </is>
      </c>
      <c r="B958" t="inlineStr">
        <is>
          <t>avverkningsanmälan</t>
        </is>
      </c>
      <c r="C958" t="inlineStr">
        <is>
          <t>Föryngringsavverkning</t>
        </is>
      </c>
      <c r="D958" s="1" t="n">
        <v>45945</v>
      </c>
      <c r="E958" s="1" t="n">
        <v>46216</v>
      </c>
      <c r="F958" t="inlineStr">
        <is>
          <t>BLEKINGE LÄN</t>
        </is>
      </c>
      <c r="G958" t="inlineStr">
        <is>
          <t>KARLSKRONA</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10144-2025</t>
        </is>
      </c>
      <c r="B959" t="inlineStr">
        <is>
          <t>avverkningsanmälan</t>
        </is>
      </c>
      <c r="C959" t="inlineStr">
        <is>
          <t>Föryngringsavverkning</t>
        </is>
      </c>
      <c r="D959" s="1" t="n">
        <v>45719</v>
      </c>
      <c r="E959" s="1" t="n">
        <v>46216</v>
      </c>
      <c r="F959" t="inlineStr">
        <is>
          <t>BLEKINGE LÄN</t>
        </is>
      </c>
      <c r="G959" t="inlineStr">
        <is>
          <t>OLOFSTRÖM</t>
        </is>
      </c>
      <c r="I959" t="n">
        <v>2.5</v>
      </c>
      <c r="J959" t="n">
        <v>0</v>
      </c>
      <c r="K959" t="n">
        <v>0</v>
      </c>
      <c r="L959" t="n">
        <v>0</v>
      </c>
      <c r="M959" t="n">
        <v>0</v>
      </c>
      <c r="N959" t="n">
        <v>0</v>
      </c>
      <c r="O959" t="n">
        <v>0</v>
      </c>
      <c r="P959" t="n">
        <v>0</v>
      </c>
      <c r="Q959" t="n">
        <v>0</v>
      </c>
      <c r="R959" t="n">
        <v>0</v>
      </c>
      <c r="S959" t="n">
        <v>0</v>
      </c>
      <c r="T959" t="n">
        <v>0</v>
      </c>
      <c r="U959" s="2" t="inlineStr"/>
    </row>
    <row r="960" ht="15" customHeight="1">
      <c r="A960" t="inlineStr">
        <is>
          <t>A 50594-2025</t>
        </is>
      </c>
      <c r="B960" t="inlineStr">
        <is>
          <t>avverkningsanmälan</t>
        </is>
      </c>
      <c r="C960" t="inlineStr">
        <is>
          <t>Föryngringsavverkning</t>
        </is>
      </c>
      <c r="D960" s="1" t="n">
        <v>45945</v>
      </c>
      <c r="E960" s="1" t="n">
        <v>46216</v>
      </c>
      <c r="F960" t="inlineStr">
        <is>
          <t>BLEKINGE LÄN</t>
        </is>
      </c>
      <c r="G960" t="inlineStr">
        <is>
          <t>KARLSKRONA</t>
        </is>
      </c>
      <c r="I960" t="n">
        <v>1.3</v>
      </c>
      <c r="J960" t="n">
        <v>0</v>
      </c>
      <c r="K960" t="n">
        <v>0</v>
      </c>
      <c r="L960" t="n">
        <v>0</v>
      </c>
      <c r="M960" t="n">
        <v>0</v>
      </c>
      <c r="N960" t="n">
        <v>0</v>
      </c>
      <c r="O960" t="n">
        <v>0</v>
      </c>
      <c r="P960" t="n">
        <v>0</v>
      </c>
      <c r="Q960" t="n">
        <v>0</v>
      </c>
      <c r="R960" t="n">
        <v>0</v>
      </c>
      <c r="S960" t="n">
        <v>0</v>
      </c>
      <c r="T960" t="n">
        <v>0</v>
      </c>
      <c r="U960" s="2" t="inlineStr"/>
    </row>
    <row r="961" ht="15" customHeight="1">
      <c r="A961" t="inlineStr">
        <is>
          <t>A 38344-2025</t>
        </is>
      </c>
      <c r="B961" t="inlineStr">
        <is>
          <t>avverkningsanmälan</t>
        </is>
      </c>
      <c r="C961" t="inlineStr">
        <is>
          <t>Föryngringsavverkning</t>
        </is>
      </c>
      <c r="D961" s="1" t="n">
        <v>45883</v>
      </c>
      <c r="E961" s="1" t="n">
        <v>46216</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38526-2023</t>
        </is>
      </c>
      <c r="B962" t="inlineStr">
        <is>
          <t>avverkningsanmälan</t>
        </is>
      </c>
      <c r="C962" t="inlineStr">
        <is>
          <t>Föryngringsavverkning</t>
        </is>
      </c>
      <c r="D962" s="1" t="n">
        <v>45162</v>
      </c>
      <c r="E962" s="1" t="n">
        <v>46216</v>
      </c>
      <c r="F962" t="inlineStr">
        <is>
          <t>BLEKINGE LÄN</t>
        </is>
      </c>
      <c r="G962" t="inlineStr">
        <is>
          <t>KARLSKRONA</t>
        </is>
      </c>
      <c r="I962" t="n">
        <v>0.8</v>
      </c>
      <c r="J962" t="n">
        <v>0</v>
      </c>
      <c r="K962" t="n">
        <v>0</v>
      </c>
      <c r="L962" t="n">
        <v>0</v>
      </c>
      <c r="M962" t="n">
        <v>0</v>
      </c>
      <c r="N962" t="n">
        <v>0</v>
      </c>
      <c r="O962" t="n">
        <v>0</v>
      </c>
      <c r="P962" t="n">
        <v>0</v>
      </c>
      <c r="Q962" t="n">
        <v>0</v>
      </c>
      <c r="R962" t="n">
        <v>0</v>
      </c>
      <c r="S962" t="n">
        <v>0</v>
      </c>
      <c r="T962" t="n">
        <v>0</v>
      </c>
      <c r="U962" s="2" t="inlineStr"/>
    </row>
    <row r="963" ht="15" customHeight="1">
      <c r="A963" t="inlineStr">
        <is>
          <t>A 38342-2025</t>
        </is>
      </c>
      <c r="B963" t="inlineStr">
        <is>
          <t>avverkningsanmälan</t>
        </is>
      </c>
      <c r="C963" t="inlineStr">
        <is>
          <t>Föryngringsavverkning</t>
        </is>
      </c>
      <c r="D963" s="1" t="n">
        <v>45883</v>
      </c>
      <c r="E963" s="1" t="n">
        <v>46216</v>
      </c>
      <c r="F963" t="inlineStr">
        <is>
          <t>BLEKINGE LÄN</t>
        </is>
      </c>
      <c r="G963" t="inlineStr">
        <is>
          <t>KARLSKRONA</t>
        </is>
      </c>
      <c r="I963" t="n">
        <v>0.5</v>
      </c>
      <c r="J963" t="n">
        <v>0</v>
      </c>
      <c r="K963" t="n">
        <v>0</v>
      </c>
      <c r="L963" t="n">
        <v>0</v>
      </c>
      <c r="M963" t="n">
        <v>0</v>
      </c>
      <c r="N963" t="n">
        <v>0</v>
      </c>
      <c r="O963" t="n">
        <v>0</v>
      </c>
      <c r="P963" t="n">
        <v>0</v>
      </c>
      <c r="Q963" t="n">
        <v>0</v>
      </c>
      <c r="R963" t="n">
        <v>0</v>
      </c>
      <c r="S963" t="n">
        <v>0</v>
      </c>
      <c r="T963" t="n">
        <v>0</v>
      </c>
      <c r="U963" s="2" t="inlineStr"/>
    </row>
    <row r="964" ht="15" customHeight="1">
      <c r="A964" t="inlineStr">
        <is>
          <t>A 38406-2025</t>
        </is>
      </c>
      <c r="B964" t="inlineStr">
        <is>
          <t>avverkningsanmälan</t>
        </is>
      </c>
      <c r="C964" t="inlineStr">
        <is>
          <t>Föryngringsavverkning</t>
        </is>
      </c>
      <c r="D964" s="1" t="n">
        <v>45883</v>
      </c>
      <c r="E964" s="1" t="n">
        <v>46216</v>
      </c>
      <c r="F964" t="inlineStr">
        <is>
          <t>BLEKINGE LÄN</t>
        </is>
      </c>
      <c r="G964" t="inlineStr">
        <is>
          <t>SÖLVESBORG</t>
        </is>
      </c>
      <c r="I964" t="n">
        <v>0.5</v>
      </c>
      <c r="J964" t="n">
        <v>0</v>
      </c>
      <c r="K964" t="n">
        <v>0</v>
      </c>
      <c r="L964" t="n">
        <v>0</v>
      </c>
      <c r="M964" t="n">
        <v>0</v>
      </c>
      <c r="N964" t="n">
        <v>0</v>
      </c>
      <c r="O964" t="n">
        <v>0</v>
      </c>
      <c r="P964" t="n">
        <v>0</v>
      </c>
      <c r="Q964" t="n">
        <v>0</v>
      </c>
      <c r="R964" t="n">
        <v>0</v>
      </c>
      <c r="S964" t="n">
        <v>0</v>
      </c>
      <c r="T964" t="n">
        <v>0</v>
      </c>
      <c r="U964" s="2" t="inlineStr"/>
    </row>
    <row r="965" ht="15" customHeight="1">
      <c r="A965" t="inlineStr">
        <is>
          <t>A 9637-2025</t>
        </is>
      </c>
      <c r="B965" t="inlineStr">
        <is>
          <t>avverkningsanmälan</t>
        </is>
      </c>
      <c r="C965" t="inlineStr">
        <is>
          <t>Föryngringsavverkning</t>
        </is>
      </c>
      <c r="D965" s="1" t="n">
        <v>45715</v>
      </c>
      <c r="E965" s="1" t="n">
        <v>46216</v>
      </c>
      <c r="F965" t="inlineStr">
        <is>
          <t>BLEKINGE LÄN</t>
        </is>
      </c>
      <c r="G965" t="inlineStr">
        <is>
          <t>RONNEBY</t>
        </is>
      </c>
      <c r="I965" t="n">
        <v>6.2</v>
      </c>
      <c r="J965" t="n">
        <v>0</v>
      </c>
      <c r="K965" t="n">
        <v>0</v>
      </c>
      <c r="L965" t="n">
        <v>0</v>
      </c>
      <c r="M965" t="n">
        <v>0</v>
      </c>
      <c r="N965" t="n">
        <v>0</v>
      </c>
      <c r="O965" t="n">
        <v>0</v>
      </c>
      <c r="P965" t="n">
        <v>0</v>
      </c>
      <c r="Q965" t="n">
        <v>0</v>
      </c>
      <c r="R965" t="n">
        <v>0</v>
      </c>
      <c r="S965" t="n">
        <v>0</v>
      </c>
      <c r="T965" t="n">
        <v>0</v>
      </c>
      <c r="U965" s="2" t="inlineStr"/>
    </row>
    <row r="966" ht="15" customHeight="1">
      <c r="A966" t="inlineStr">
        <is>
          <t>A 2325-2025</t>
        </is>
      </c>
      <c r="B966" t="inlineStr">
        <is>
          <t>avverkningsanmälan</t>
        </is>
      </c>
      <c r="C966" t="inlineStr">
        <is>
          <t>Föryngringsavverkning</t>
        </is>
      </c>
      <c r="D966" s="1" t="n">
        <v>45673</v>
      </c>
      <c r="E966" s="1" t="n">
        <v>46216</v>
      </c>
      <c r="F966" t="inlineStr">
        <is>
          <t>BLEKINGE LÄN</t>
        </is>
      </c>
      <c r="G966" t="inlineStr">
        <is>
          <t>SÖLVESBORG</t>
        </is>
      </c>
      <c r="I966" t="n">
        <v>1.6</v>
      </c>
      <c r="J966" t="n">
        <v>0</v>
      </c>
      <c r="K966" t="n">
        <v>0</v>
      </c>
      <c r="L966" t="n">
        <v>0</v>
      </c>
      <c r="M966" t="n">
        <v>0</v>
      </c>
      <c r="N966" t="n">
        <v>0</v>
      </c>
      <c r="O966" t="n">
        <v>0</v>
      </c>
      <c r="P966" t="n">
        <v>0</v>
      </c>
      <c r="Q966" t="n">
        <v>0</v>
      </c>
      <c r="R966" t="n">
        <v>0</v>
      </c>
      <c r="S966" t="n">
        <v>0</v>
      </c>
      <c r="T966" t="n">
        <v>0</v>
      </c>
      <c r="U966" s="2" t="inlineStr"/>
    </row>
    <row r="967" ht="15" customHeight="1">
      <c r="A967" t="inlineStr">
        <is>
          <t>A 687-2022</t>
        </is>
      </c>
      <c r="B967" t="inlineStr">
        <is>
          <t>avverkningsanmälan</t>
        </is>
      </c>
      <c r="C967" t="inlineStr">
        <is>
          <t>Föryngringsavverkning</t>
        </is>
      </c>
      <c r="D967" s="1" t="n">
        <v>44568</v>
      </c>
      <c r="E967" s="1" t="n">
        <v>46216</v>
      </c>
      <c r="F967" t="inlineStr">
        <is>
          <t>BLEKINGE LÄN</t>
        </is>
      </c>
      <c r="G967" t="inlineStr">
        <is>
          <t>KARLSHAMN</t>
        </is>
      </c>
      <c r="I967" t="n">
        <v>2.1</v>
      </c>
      <c r="J967" t="n">
        <v>0</v>
      </c>
      <c r="K967" t="n">
        <v>0</v>
      </c>
      <c r="L967" t="n">
        <v>0</v>
      </c>
      <c r="M967" t="n">
        <v>0</v>
      </c>
      <c r="N967" t="n">
        <v>0</v>
      </c>
      <c r="O967" t="n">
        <v>0</v>
      </c>
      <c r="P967" t="n">
        <v>0</v>
      </c>
      <c r="Q967" t="n">
        <v>0</v>
      </c>
      <c r="R967" t="n">
        <v>0</v>
      </c>
      <c r="S967" t="n">
        <v>0</v>
      </c>
      <c r="T967" t="n">
        <v>0</v>
      </c>
      <c r="U967" s="2" t="inlineStr"/>
    </row>
    <row r="968" ht="15" customHeight="1">
      <c r="A968" t="inlineStr">
        <is>
          <t>A 33716-2025</t>
        </is>
      </c>
      <c r="B968" t="inlineStr">
        <is>
          <t>avverkningsanmälan</t>
        </is>
      </c>
      <c r="C968" t="inlineStr">
        <is>
          <t>Föryngringsavverkning</t>
        </is>
      </c>
      <c r="D968" s="1" t="n">
        <v>45841</v>
      </c>
      <c r="E968" s="1" t="n">
        <v>46216</v>
      </c>
      <c r="F968" t="inlineStr">
        <is>
          <t>BLEKINGE LÄN</t>
        </is>
      </c>
      <c r="G968" t="inlineStr">
        <is>
          <t>KARLSHAMN</t>
        </is>
      </c>
      <c r="I968" t="n">
        <v>4.2</v>
      </c>
      <c r="J968" t="n">
        <v>0</v>
      </c>
      <c r="K968" t="n">
        <v>0</v>
      </c>
      <c r="L968" t="n">
        <v>0</v>
      </c>
      <c r="M968" t="n">
        <v>0</v>
      </c>
      <c r="N968" t="n">
        <v>0</v>
      </c>
      <c r="O968" t="n">
        <v>0</v>
      </c>
      <c r="P968" t="n">
        <v>0</v>
      </c>
      <c r="Q968" t="n">
        <v>0</v>
      </c>
      <c r="R968" t="n">
        <v>0</v>
      </c>
      <c r="S968" t="n">
        <v>0</v>
      </c>
      <c r="T968" t="n">
        <v>0</v>
      </c>
      <c r="U968" s="2" t="inlineStr"/>
    </row>
    <row r="969" ht="15" customHeight="1">
      <c r="A969" t="inlineStr">
        <is>
          <t>A 2300-2023</t>
        </is>
      </c>
      <c r="B969" t="inlineStr">
        <is>
          <t>avverkningsanmälan</t>
        </is>
      </c>
      <c r="C969" t="inlineStr">
        <is>
          <t>Föryngringsavverkning</t>
        </is>
      </c>
      <c r="D969" s="1" t="n">
        <v>44942</v>
      </c>
      <c r="E969" s="1" t="n">
        <v>46216</v>
      </c>
      <c r="F969" t="inlineStr">
        <is>
          <t>BLEKINGE LÄN</t>
        </is>
      </c>
      <c r="G969" t="inlineStr">
        <is>
          <t>OLOFSTRÖM</t>
        </is>
      </c>
      <c r="H969" t="inlineStr">
        <is>
          <t>Kommuner</t>
        </is>
      </c>
      <c r="I969" t="n">
        <v>3.9</v>
      </c>
      <c r="J969" t="n">
        <v>0</v>
      </c>
      <c r="K969" t="n">
        <v>0</v>
      </c>
      <c r="L969" t="n">
        <v>0</v>
      </c>
      <c r="M969" t="n">
        <v>0</v>
      </c>
      <c r="N969" t="n">
        <v>0</v>
      </c>
      <c r="O969" t="n">
        <v>0</v>
      </c>
      <c r="P969" t="n">
        <v>0</v>
      </c>
      <c r="Q969" t="n">
        <v>0</v>
      </c>
      <c r="R969" t="n">
        <v>0</v>
      </c>
      <c r="S969" t="n">
        <v>0</v>
      </c>
      <c r="T969" t="n">
        <v>0</v>
      </c>
      <c r="U969" s="2" t="inlineStr"/>
    </row>
    <row r="970" ht="15" customHeight="1">
      <c r="A970" t="inlineStr">
        <is>
          <t>A 12030-2022</t>
        </is>
      </c>
      <c r="B970" t="inlineStr">
        <is>
          <t>avverkningsanmälan</t>
        </is>
      </c>
      <c r="C970" t="inlineStr">
        <is>
          <t>Föryngringsavverkning</t>
        </is>
      </c>
      <c r="D970" s="1" t="n">
        <v>44636</v>
      </c>
      <c r="E970" s="1" t="n">
        <v>46216</v>
      </c>
      <c r="F970" t="inlineStr">
        <is>
          <t>BLEKINGE LÄN</t>
        </is>
      </c>
      <c r="G970" t="inlineStr">
        <is>
          <t>KARLSKRONA</t>
        </is>
      </c>
      <c r="I970" t="n">
        <v>1</v>
      </c>
      <c r="J970" t="n">
        <v>0</v>
      </c>
      <c r="K970" t="n">
        <v>0</v>
      </c>
      <c r="L970" t="n">
        <v>0</v>
      </c>
      <c r="M970" t="n">
        <v>0</v>
      </c>
      <c r="N970" t="n">
        <v>0</v>
      </c>
      <c r="O970" t="n">
        <v>0</v>
      </c>
      <c r="P970" t="n">
        <v>0</v>
      </c>
      <c r="Q970" t="n">
        <v>0</v>
      </c>
      <c r="R970" t="n">
        <v>0</v>
      </c>
      <c r="S970" t="n">
        <v>0</v>
      </c>
      <c r="T970" t="n">
        <v>0</v>
      </c>
      <c r="U970" s="2" t="inlineStr"/>
    </row>
    <row r="971" ht="15" customHeight="1">
      <c r="A971" t="inlineStr">
        <is>
          <t>A 12572-2025</t>
        </is>
      </c>
      <c r="B971" t="inlineStr">
        <is>
          <t>avverkningsanmälan</t>
        </is>
      </c>
      <c r="C971" t="inlineStr">
        <is>
          <t>Föryngringsavverkning</t>
        </is>
      </c>
      <c r="D971" s="1" t="n">
        <v>45732</v>
      </c>
      <c r="E971" s="1" t="n">
        <v>46216</v>
      </c>
      <c r="F971" t="inlineStr">
        <is>
          <t>BLEKINGE LÄN</t>
        </is>
      </c>
      <c r="G971" t="inlineStr">
        <is>
          <t>KARLSHAMN</t>
        </is>
      </c>
      <c r="I971" t="n">
        <v>0.5</v>
      </c>
      <c r="J971" t="n">
        <v>0</v>
      </c>
      <c r="K971" t="n">
        <v>0</v>
      </c>
      <c r="L971" t="n">
        <v>0</v>
      </c>
      <c r="M971" t="n">
        <v>0</v>
      </c>
      <c r="N971" t="n">
        <v>0</v>
      </c>
      <c r="O971" t="n">
        <v>0</v>
      </c>
      <c r="P971" t="n">
        <v>0</v>
      </c>
      <c r="Q971" t="n">
        <v>0</v>
      </c>
      <c r="R971" t="n">
        <v>0</v>
      </c>
      <c r="S971" t="n">
        <v>0</v>
      </c>
      <c r="T971" t="n">
        <v>0</v>
      </c>
      <c r="U971" s="2" t="inlineStr"/>
    </row>
    <row r="972" ht="15" customHeight="1">
      <c r="A972" t="inlineStr">
        <is>
          <t>A 14893-2025</t>
        </is>
      </c>
      <c r="B972" t="inlineStr">
        <is>
          <t>avverkningsanmälan</t>
        </is>
      </c>
      <c r="C972" t="inlineStr">
        <is>
          <t>Föryngringsavverkning</t>
        </is>
      </c>
      <c r="D972" s="1" t="n">
        <v>45743</v>
      </c>
      <c r="E972" s="1" t="n">
        <v>46216</v>
      </c>
      <c r="F972" t="inlineStr">
        <is>
          <t>BLEKINGE LÄN</t>
        </is>
      </c>
      <c r="G972" t="inlineStr">
        <is>
          <t>RONNEBY</t>
        </is>
      </c>
      <c r="H972" t="inlineStr">
        <is>
          <t>Kommuner</t>
        </is>
      </c>
      <c r="I972" t="n">
        <v>1.3</v>
      </c>
      <c r="J972" t="n">
        <v>0</v>
      </c>
      <c r="K972" t="n">
        <v>0</v>
      </c>
      <c r="L972" t="n">
        <v>0</v>
      </c>
      <c r="M972" t="n">
        <v>0</v>
      </c>
      <c r="N972" t="n">
        <v>0</v>
      </c>
      <c r="O972" t="n">
        <v>0</v>
      </c>
      <c r="P972" t="n">
        <v>0</v>
      </c>
      <c r="Q972" t="n">
        <v>0</v>
      </c>
      <c r="R972" t="n">
        <v>0</v>
      </c>
      <c r="S972" t="n">
        <v>0</v>
      </c>
      <c r="T972" t="n">
        <v>0</v>
      </c>
      <c r="U972" s="2" t="inlineStr"/>
    </row>
    <row r="973" ht="15" customHeight="1">
      <c r="A973" t="inlineStr">
        <is>
          <t>A 6852-2024</t>
        </is>
      </c>
      <c r="B973" t="inlineStr">
        <is>
          <t>avverkningsanmälan</t>
        </is>
      </c>
      <c r="C973" t="inlineStr">
        <is>
          <t>Föryngringsavverkning</t>
        </is>
      </c>
      <c r="D973" s="1" t="n">
        <v>45342</v>
      </c>
      <c r="E973" s="1" t="n">
        <v>46216</v>
      </c>
      <c r="F973" t="inlineStr">
        <is>
          <t>BLEKINGE LÄN</t>
        </is>
      </c>
      <c r="G973" t="inlineStr">
        <is>
          <t>KARLSKRONA</t>
        </is>
      </c>
      <c r="I973" t="n">
        <v>6.7</v>
      </c>
      <c r="J973" t="n">
        <v>0</v>
      </c>
      <c r="K973" t="n">
        <v>0</v>
      </c>
      <c r="L973" t="n">
        <v>0</v>
      </c>
      <c r="M973" t="n">
        <v>0</v>
      </c>
      <c r="N973" t="n">
        <v>0</v>
      </c>
      <c r="O973" t="n">
        <v>0</v>
      </c>
      <c r="P973" t="n">
        <v>0</v>
      </c>
      <c r="Q973" t="n">
        <v>0</v>
      </c>
      <c r="R973" t="n">
        <v>0</v>
      </c>
      <c r="S973" t="n">
        <v>0</v>
      </c>
      <c r="T973" t="n">
        <v>0</v>
      </c>
      <c r="U973" s="2" t="inlineStr"/>
    </row>
    <row r="974" ht="15" customHeight="1">
      <c r="A974" t="inlineStr">
        <is>
          <t>A 3735-2023</t>
        </is>
      </c>
      <c r="B974" t="inlineStr">
        <is>
          <t>avverkningsanmälan</t>
        </is>
      </c>
      <c r="C974" t="inlineStr">
        <is>
          <t>Föryngringsavverkning</t>
        </is>
      </c>
      <c r="D974" s="1" t="n">
        <v>44951</v>
      </c>
      <c r="E974" s="1" t="n">
        <v>46216</v>
      </c>
      <c r="F974" t="inlineStr">
        <is>
          <t>BLEKINGE LÄN</t>
        </is>
      </c>
      <c r="G974" t="inlineStr">
        <is>
          <t>OLOFSTRÖM</t>
        </is>
      </c>
      <c r="I974" t="n">
        <v>2.1</v>
      </c>
      <c r="J974" t="n">
        <v>0</v>
      </c>
      <c r="K974" t="n">
        <v>0</v>
      </c>
      <c r="L974" t="n">
        <v>0</v>
      </c>
      <c r="M974" t="n">
        <v>0</v>
      </c>
      <c r="N974" t="n">
        <v>0</v>
      </c>
      <c r="O974" t="n">
        <v>0</v>
      </c>
      <c r="P974" t="n">
        <v>0</v>
      </c>
      <c r="Q974" t="n">
        <v>0</v>
      </c>
      <c r="R974" t="n">
        <v>0</v>
      </c>
      <c r="S974" t="n">
        <v>0</v>
      </c>
      <c r="T974" t="n">
        <v>0</v>
      </c>
      <c r="U974" s="2" t="inlineStr"/>
    </row>
    <row r="975" ht="15" customHeight="1">
      <c r="A975" t="inlineStr">
        <is>
          <t>A 7997-2025</t>
        </is>
      </c>
      <c r="B975" t="inlineStr">
        <is>
          <t>avverkningsanmälan</t>
        </is>
      </c>
      <c r="C975" t="inlineStr">
        <is>
          <t>Föryngringsavverkning</t>
        </is>
      </c>
      <c r="D975" s="1" t="n">
        <v>45707</v>
      </c>
      <c r="E975" s="1" t="n">
        <v>46216</v>
      </c>
      <c r="F975" t="inlineStr">
        <is>
          <t>BLEKINGE LÄN</t>
        </is>
      </c>
      <c r="G975" t="inlineStr">
        <is>
          <t>KARLSKRONA</t>
        </is>
      </c>
      <c r="I975" t="n">
        <v>2.8</v>
      </c>
      <c r="J975" t="n">
        <v>0</v>
      </c>
      <c r="K975" t="n">
        <v>0</v>
      </c>
      <c r="L975" t="n">
        <v>0</v>
      </c>
      <c r="M975" t="n">
        <v>0</v>
      </c>
      <c r="N975" t="n">
        <v>0</v>
      </c>
      <c r="O975" t="n">
        <v>0</v>
      </c>
      <c r="P975" t="n">
        <v>0</v>
      </c>
      <c r="Q975" t="n">
        <v>0</v>
      </c>
      <c r="R975" t="n">
        <v>0</v>
      </c>
      <c r="S975" t="n">
        <v>0</v>
      </c>
      <c r="T975" t="n">
        <v>0</v>
      </c>
      <c r="U975" s="2" t="inlineStr"/>
    </row>
    <row r="976" ht="15" customHeight="1">
      <c r="A976" t="inlineStr">
        <is>
          <t>A 8043-2025</t>
        </is>
      </c>
      <c r="B976" t="inlineStr">
        <is>
          <t>avverkningsanmälan</t>
        </is>
      </c>
      <c r="C976" t="inlineStr">
        <is>
          <t>Föryngringsavverkning</t>
        </is>
      </c>
      <c r="D976" s="1" t="n">
        <v>45707</v>
      </c>
      <c r="E976" s="1" t="n">
        <v>46216</v>
      </c>
      <c r="F976" t="inlineStr">
        <is>
          <t>BLEKINGE LÄN</t>
        </is>
      </c>
      <c r="G976" t="inlineStr">
        <is>
          <t>OLOFSTRÖM</t>
        </is>
      </c>
      <c r="I976" t="n">
        <v>2.8</v>
      </c>
      <c r="J976" t="n">
        <v>0</v>
      </c>
      <c r="K976" t="n">
        <v>0</v>
      </c>
      <c r="L976" t="n">
        <v>0</v>
      </c>
      <c r="M976" t="n">
        <v>0</v>
      </c>
      <c r="N976" t="n">
        <v>0</v>
      </c>
      <c r="O976" t="n">
        <v>0</v>
      </c>
      <c r="P976" t="n">
        <v>0</v>
      </c>
      <c r="Q976" t="n">
        <v>0</v>
      </c>
      <c r="R976" t="n">
        <v>0</v>
      </c>
      <c r="S976" t="n">
        <v>0</v>
      </c>
      <c r="T976" t="n">
        <v>0</v>
      </c>
      <c r="U976" s="2" t="inlineStr"/>
    </row>
    <row r="977" ht="15" customHeight="1">
      <c r="A977" t="inlineStr">
        <is>
          <t>A 3475-2026</t>
        </is>
      </c>
      <c r="B977" t="inlineStr">
        <is>
          <t>avverkningsanmälan</t>
        </is>
      </c>
      <c r="C977" t="inlineStr">
        <is>
          <t>Föryngringsavverkning</t>
        </is>
      </c>
      <c r="D977" s="1" t="n">
        <v>46042</v>
      </c>
      <c r="E977" s="1" t="n">
        <v>46216</v>
      </c>
      <c r="F977" t="inlineStr">
        <is>
          <t>BLEKINGE LÄN</t>
        </is>
      </c>
      <c r="G977" t="inlineStr">
        <is>
          <t>KARLSKRONA</t>
        </is>
      </c>
      <c r="I977" t="n">
        <v>6.4</v>
      </c>
      <c r="J977" t="n">
        <v>0</v>
      </c>
      <c r="K977" t="n">
        <v>0</v>
      </c>
      <c r="L977" t="n">
        <v>0</v>
      </c>
      <c r="M977" t="n">
        <v>0</v>
      </c>
      <c r="N977" t="n">
        <v>0</v>
      </c>
      <c r="O977" t="n">
        <v>0</v>
      </c>
      <c r="P977" t="n">
        <v>0</v>
      </c>
      <c r="Q977" t="n">
        <v>0</v>
      </c>
      <c r="R977" t="n">
        <v>0</v>
      </c>
      <c r="S977" t="n">
        <v>0</v>
      </c>
      <c r="T977" t="n">
        <v>0</v>
      </c>
      <c r="U977" s="2" t="inlineStr"/>
    </row>
    <row r="978" ht="15" customHeight="1">
      <c r="A978" t="inlineStr">
        <is>
          <t>A 51224-2025</t>
        </is>
      </c>
      <c r="B978" t="inlineStr">
        <is>
          <t>avverkningsanmälan</t>
        </is>
      </c>
      <c r="C978" t="inlineStr">
        <is>
          <t>Föryngringsavverkning</t>
        </is>
      </c>
      <c r="D978" s="1" t="n">
        <v>45947</v>
      </c>
      <c r="E978" s="1" t="n">
        <v>46216</v>
      </c>
      <c r="F978" t="inlineStr">
        <is>
          <t>BLEKINGE LÄN</t>
        </is>
      </c>
      <c r="G978" t="inlineStr">
        <is>
          <t>RONNEBY</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24629-2024</t>
        </is>
      </c>
      <c r="B979" t="inlineStr">
        <is>
          <t>avverkningsanmälan</t>
        </is>
      </c>
      <c r="C979" t="inlineStr">
        <is>
          <t>Föryngringsavverkning</t>
        </is>
      </c>
      <c r="D979" s="1" t="n">
        <v>45460</v>
      </c>
      <c r="E979" s="1" t="n">
        <v>46216</v>
      </c>
      <c r="F979" t="inlineStr">
        <is>
          <t>BLEKINGE LÄN</t>
        </is>
      </c>
      <c r="G979" t="inlineStr">
        <is>
          <t>RONNEBY</t>
        </is>
      </c>
      <c r="I979" t="n">
        <v>2.7</v>
      </c>
      <c r="J979" t="n">
        <v>0</v>
      </c>
      <c r="K979" t="n">
        <v>0</v>
      </c>
      <c r="L979" t="n">
        <v>0</v>
      </c>
      <c r="M979" t="n">
        <v>0</v>
      </c>
      <c r="N979" t="n">
        <v>0</v>
      </c>
      <c r="O979" t="n">
        <v>0</v>
      </c>
      <c r="P979" t="n">
        <v>0</v>
      </c>
      <c r="Q979" t="n">
        <v>0</v>
      </c>
      <c r="R979" t="n">
        <v>0</v>
      </c>
      <c r="S979" t="n">
        <v>0</v>
      </c>
      <c r="T979" t="n">
        <v>0</v>
      </c>
      <c r="U979" s="2" t="inlineStr"/>
    </row>
    <row r="980" ht="15" customHeight="1">
      <c r="A980" t="inlineStr">
        <is>
          <t>A 27025-2023</t>
        </is>
      </c>
      <c r="B980" t="inlineStr">
        <is>
          <t>avverkningsanmälan</t>
        </is>
      </c>
      <c r="C980" t="inlineStr">
        <is>
          <t>Föryngringsavverkning</t>
        </is>
      </c>
      <c r="D980" s="1" t="n">
        <v>45095</v>
      </c>
      <c r="E980" s="1" t="n">
        <v>46216</v>
      </c>
      <c r="F980" t="inlineStr">
        <is>
          <t>BLEKINGE LÄN</t>
        </is>
      </c>
      <c r="G980" t="inlineStr">
        <is>
          <t>KARLSKRONA</t>
        </is>
      </c>
      <c r="I980" t="n">
        <v>3.3</v>
      </c>
      <c r="J980" t="n">
        <v>0</v>
      </c>
      <c r="K980" t="n">
        <v>0</v>
      </c>
      <c r="L980" t="n">
        <v>0</v>
      </c>
      <c r="M980" t="n">
        <v>0</v>
      </c>
      <c r="N980" t="n">
        <v>0</v>
      </c>
      <c r="O980" t="n">
        <v>0</v>
      </c>
      <c r="P980" t="n">
        <v>0</v>
      </c>
      <c r="Q980" t="n">
        <v>0</v>
      </c>
      <c r="R980" t="n">
        <v>0</v>
      </c>
      <c r="S980" t="n">
        <v>0</v>
      </c>
      <c r="T980" t="n">
        <v>0</v>
      </c>
      <c r="U980" s="2" t="inlineStr"/>
    </row>
    <row r="981" ht="15" customHeight="1">
      <c r="A981" t="inlineStr">
        <is>
          <t>A 51279-2025</t>
        </is>
      </c>
      <c r="B981" t="inlineStr">
        <is>
          <t>avverkningsanmälan</t>
        </is>
      </c>
      <c r="C981" t="inlineStr">
        <is>
          <t>Föryngringsavverkning</t>
        </is>
      </c>
      <c r="D981" s="1" t="n">
        <v>45950</v>
      </c>
      <c r="E981" s="1" t="n">
        <v>46216</v>
      </c>
      <c r="F981" t="inlineStr">
        <is>
          <t>BLEKINGE LÄN</t>
        </is>
      </c>
      <c r="G981" t="inlineStr">
        <is>
          <t>RONNEBY</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51531-2025</t>
        </is>
      </c>
      <c r="B982" t="inlineStr">
        <is>
          <t>avverkningsanmälan</t>
        </is>
      </c>
      <c r="C982" t="inlineStr">
        <is>
          <t>Föryngringsavverkning</t>
        </is>
      </c>
      <c r="D982" s="1" t="n">
        <v>45950</v>
      </c>
      <c r="E982" s="1" t="n">
        <v>46216</v>
      </c>
      <c r="F982" t="inlineStr">
        <is>
          <t>BLEKINGE LÄN</t>
        </is>
      </c>
      <c r="G982" t="inlineStr">
        <is>
          <t>KARLSHAMN</t>
        </is>
      </c>
      <c r="I982" t="n">
        <v>4.2</v>
      </c>
      <c r="J982" t="n">
        <v>0</v>
      </c>
      <c r="K982" t="n">
        <v>0</v>
      </c>
      <c r="L982" t="n">
        <v>0</v>
      </c>
      <c r="M982" t="n">
        <v>0</v>
      </c>
      <c r="N982" t="n">
        <v>0</v>
      </c>
      <c r="O982" t="n">
        <v>0</v>
      </c>
      <c r="P982" t="n">
        <v>0</v>
      </c>
      <c r="Q982" t="n">
        <v>0</v>
      </c>
      <c r="R982" t="n">
        <v>0</v>
      </c>
      <c r="S982" t="n">
        <v>0</v>
      </c>
      <c r="T982" t="n">
        <v>0</v>
      </c>
      <c r="U982" s="2" t="inlineStr"/>
    </row>
    <row r="983" ht="15" customHeight="1">
      <c r="A983" t="inlineStr">
        <is>
          <t>A 56010-2022</t>
        </is>
      </c>
      <c r="B983" t="inlineStr">
        <is>
          <t>avverkningsanmälan</t>
        </is>
      </c>
      <c r="C983" t="inlineStr">
        <is>
          <t>Föryngringsavverkning</t>
        </is>
      </c>
      <c r="D983" s="1" t="n">
        <v>44889</v>
      </c>
      <c r="E983" s="1" t="n">
        <v>46216</v>
      </c>
      <c r="F983" t="inlineStr">
        <is>
          <t>BLEKINGE LÄN</t>
        </is>
      </c>
      <c r="G983" t="inlineStr">
        <is>
          <t>OLOFSTRÖM</t>
        </is>
      </c>
      <c r="I983" t="n">
        <v>2.6</v>
      </c>
      <c r="J983" t="n">
        <v>0</v>
      </c>
      <c r="K983" t="n">
        <v>0</v>
      </c>
      <c r="L983" t="n">
        <v>0</v>
      </c>
      <c r="M983" t="n">
        <v>0</v>
      </c>
      <c r="N983" t="n">
        <v>0</v>
      </c>
      <c r="O983" t="n">
        <v>0</v>
      </c>
      <c r="P983" t="n">
        <v>0</v>
      </c>
      <c r="Q983" t="n">
        <v>0</v>
      </c>
      <c r="R983" t="n">
        <v>0</v>
      </c>
      <c r="S983" t="n">
        <v>0</v>
      </c>
      <c r="T983" t="n">
        <v>0</v>
      </c>
      <c r="U983" s="2" t="inlineStr"/>
    </row>
    <row r="984" ht="15" customHeight="1">
      <c r="A984" t="inlineStr">
        <is>
          <t>A 51569-2025</t>
        </is>
      </c>
      <c r="B984" t="inlineStr">
        <is>
          <t>avverkningsanmälan</t>
        </is>
      </c>
      <c r="C984" t="inlineStr">
        <is>
          <t>Föryngringsavverkning</t>
        </is>
      </c>
      <c r="D984" s="1" t="n">
        <v>45951</v>
      </c>
      <c r="E984" s="1" t="n">
        <v>46216</v>
      </c>
      <c r="F984" t="inlineStr">
        <is>
          <t>BLEKINGE LÄN</t>
        </is>
      </c>
      <c r="G984" t="inlineStr">
        <is>
          <t>RONNEBY</t>
        </is>
      </c>
      <c r="I984" t="n">
        <v>3.5</v>
      </c>
      <c r="J984" t="n">
        <v>0</v>
      </c>
      <c r="K984" t="n">
        <v>0</v>
      </c>
      <c r="L984" t="n">
        <v>0</v>
      </c>
      <c r="M984" t="n">
        <v>0</v>
      </c>
      <c r="N984" t="n">
        <v>0</v>
      </c>
      <c r="O984" t="n">
        <v>0</v>
      </c>
      <c r="P984" t="n">
        <v>0</v>
      </c>
      <c r="Q984" t="n">
        <v>0</v>
      </c>
      <c r="R984" t="n">
        <v>0</v>
      </c>
      <c r="S984" t="n">
        <v>0</v>
      </c>
      <c r="T984" t="n">
        <v>0</v>
      </c>
      <c r="U984" s="2" t="inlineStr"/>
    </row>
    <row r="985" ht="15" customHeight="1">
      <c r="A985" t="inlineStr">
        <is>
          <t>A 34394-2024</t>
        </is>
      </c>
      <c r="B985" t="inlineStr">
        <is>
          <t>avverkningsanmälan</t>
        </is>
      </c>
      <c r="C985" t="inlineStr">
        <is>
          <t>Föryngringsavverkning</t>
        </is>
      </c>
      <c r="D985" s="1" t="n">
        <v>45525</v>
      </c>
      <c r="E985" s="1" t="n">
        <v>46216</v>
      </c>
      <c r="F985" t="inlineStr">
        <is>
          <t>BLEKINGE LÄN</t>
        </is>
      </c>
      <c r="G985" t="inlineStr">
        <is>
          <t>SÖLVESBORG</t>
        </is>
      </c>
      <c r="I985" t="n">
        <v>0.1</v>
      </c>
      <c r="J985" t="n">
        <v>0</v>
      </c>
      <c r="K985" t="n">
        <v>0</v>
      </c>
      <c r="L985" t="n">
        <v>0</v>
      </c>
      <c r="M985" t="n">
        <v>0</v>
      </c>
      <c r="N985" t="n">
        <v>0</v>
      </c>
      <c r="O985" t="n">
        <v>0</v>
      </c>
      <c r="P985" t="n">
        <v>0</v>
      </c>
      <c r="Q985" t="n">
        <v>0</v>
      </c>
      <c r="R985" t="n">
        <v>0</v>
      </c>
      <c r="S985" t="n">
        <v>0</v>
      </c>
      <c r="T985" t="n">
        <v>0</v>
      </c>
      <c r="U985" s="2" t="inlineStr"/>
    </row>
    <row r="986" ht="15" customHeight="1">
      <c r="A986" t="inlineStr">
        <is>
          <t>A 51552-2021</t>
        </is>
      </c>
      <c r="B986" t="inlineStr">
        <is>
          <t>avverkningsanmälan</t>
        </is>
      </c>
      <c r="C986" t="inlineStr">
        <is>
          <t>Föryngringsavverkning</t>
        </is>
      </c>
      <c r="D986" s="1" t="n">
        <v>44462</v>
      </c>
      <c r="E986" s="1" t="n">
        <v>46216</v>
      </c>
      <c r="F986" t="inlineStr">
        <is>
          <t>BLEKINGE LÄN</t>
        </is>
      </c>
      <c r="G986" t="inlineStr">
        <is>
          <t>KARLSHAMN</t>
        </is>
      </c>
      <c r="I986" t="n">
        <v>0.5</v>
      </c>
      <c r="J986" t="n">
        <v>0</v>
      </c>
      <c r="K986" t="n">
        <v>0</v>
      </c>
      <c r="L986" t="n">
        <v>0</v>
      </c>
      <c r="M986" t="n">
        <v>0</v>
      </c>
      <c r="N986" t="n">
        <v>0</v>
      </c>
      <c r="O986" t="n">
        <v>0</v>
      </c>
      <c r="P986" t="n">
        <v>0</v>
      </c>
      <c r="Q986" t="n">
        <v>0</v>
      </c>
      <c r="R986" t="n">
        <v>0</v>
      </c>
      <c r="S986" t="n">
        <v>0</v>
      </c>
      <c r="T986" t="n">
        <v>0</v>
      </c>
      <c r="U986" s="2" t="inlineStr"/>
    </row>
    <row r="987" ht="15" customHeight="1">
      <c r="A987" t="inlineStr">
        <is>
          <t>A 34813-2024</t>
        </is>
      </c>
      <c r="B987" t="inlineStr">
        <is>
          <t>avverkningsanmälan</t>
        </is>
      </c>
      <c r="C987" t="inlineStr">
        <is>
          <t>Föryngringsavverkning</t>
        </is>
      </c>
      <c r="D987" s="1" t="n">
        <v>45526</v>
      </c>
      <c r="E987" s="1" t="n">
        <v>46216</v>
      </c>
      <c r="F987" t="inlineStr">
        <is>
          <t>BLEKINGE LÄN</t>
        </is>
      </c>
      <c r="G987" t="inlineStr">
        <is>
          <t>KARLSKRONA</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49704-2021</t>
        </is>
      </c>
      <c r="B988" t="inlineStr">
        <is>
          <t>avverkningsanmälan</t>
        </is>
      </c>
      <c r="C988" t="inlineStr">
        <is>
          <t>Föryngringsavverkning</t>
        </is>
      </c>
      <c r="D988" s="1" t="n">
        <v>44455</v>
      </c>
      <c r="E988" s="1" t="n">
        <v>46216</v>
      </c>
      <c r="F988" t="inlineStr">
        <is>
          <t>BLEKINGE LÄN</t>
        </is>
      </c>
      <c r="G988" t="inlineStr">
        <is>
          <t>OLOFSTRÖM</t>
        </is>
      </c>
      <c r="I988" t="n">
        <v>8.199999999999999</v>
      </c>
      <c r="J988" t="n">
        <v>0</v>
      </c>
      <c r="K988" t="n">
        <v>0</v>
      </c>
      <c r="L988" t="n">
        <v>0</v>
      </c>
      <c r="M988" t="n">
        <v>0</v>
      </c>
      <c r="N988" t="n">
        <v>0</v>
      </c>
      <c r="O988" t="n">
        <v>0</v>
      </c>
      <c r="P988" t="n">
        <v>0</v>
      </c>
      <c r="Q988" t="n">
        <v>0</v>
      </c>
      <c r="R988" t="n">
        <v>0</v>
      </c>
      <c r="S988" t="n">
        <v>0</v>
      </c>
      <c r="T988" t="n">
        <v>0</v>
      </c>
      <c r="U988" s="2" t="inlineStr"/>
    </row>
    <row r="989" ht="15" customHeight="1">
      <c r="A989" t="inlineStr">
        <is>
          <t>A 52258-2025</t>
        </is>
      </c>
      <c r="B989" t="inlineStr">
        <is>
          <t>avverkningsanmälan</t>
        </is>
      </c>
      <c r="C989" t="inlineStr">
        <is>
          <t>Föryngringsavverkning</t>
        </is>
      </c>
      <c r="D989" s="1" t="n">
        <v>45953</v>
      </c>
      <c r="E989" s="1" t="n">
        <v>46216</v>
      </c>
      <c r="F989" t="inlineStr">
        <is>
          <t>BLEKINGE LÄN</t>
        </is>
      </c>
      <c r="G989" t="inlineStr">
        <is>
          <t>KARLSHAMN</t>
        </is>
      </c>
      <c r="I989" t="n">
        <v>2</v>
      </c>
      <c r="J989" t="n">
        <v>0</v>
      </c>
      <c r="K989" t="n">
        <v>0</v>
      </c>
      <c r="L989" t="n">
        <v>0</v>
      </c>
      <c r="M989" t="n">
        <v>0</v>
      </c>
      <c r="N989" t="n">
        <v>0</v>
      </c>
      <c r="O989" t="n">
        <v>0</v>
      </c>
      <c r="P989" t="n">
        <v>0</v>
      </c>
      <c r="Q989" t="n">
        <v>0</v>
      </c>
      <c r="R989" t="n">
        <v>0</v>
      </c>
      <c r="S989" t="n">
        <v>0</v>
      </c>
      <c r="T989" t="n">
        <v>0</v>
      </c>
      <c r="U989" s="2" t="inlineStr"/>
    </row>
    <row r="990" ht="15" customHeight="1">
      <c r="A990" t="inlineStr">
        <is>
          <t>A 3542-2026</t>
        </is>
      </c>
      <c r="B990" t="inlineStr">
        <is>
          <t>avverkningsanmälan</t>
        </is>
      </c>
      <c r="C990" t="inlineStr">
        <is>
          <t>Föryngringsavverkning</t>
        </is>
      </c>
      <c r="D990" s="1" t="n">
        <v>46042</v>
      </c>
      <c r="E990" s="1" t="n">
        <v>46216</v>
      </c>
      <c r="F990" t="inlineStr">
        <is>
          <t>BLEKINGE LÄN</t>
        </is>
      </c>
      <c r="G990" t="inlineStr">
        <is>
          <t>OLOFSTRÖM</t>
        </is>
      </c>
      <c r="I990" t="n">
        <v>1.1</v>
      </c>
      <c r="J990" t="n">
        <v>0</v>
      </c>
      <c r="K990" t="n">
        <v>0</v>
      </c>
      <c r="L990" t="n">
        <v>0</v>
      </c>
      <c r="M990" t="n">
        <v>0</v>
      </c>
      <c r="N990" t="n">
        <v>0</v>
      </c>
      <c r="O990" t="n">
        <v>0</v>
      </c>
      <c r="P990" t="n">
        <v>0</v>
      </c>
      <c r="Q990" t="n">
        <v>0</v>
      </c>
      <c r="R990" t="n">
        <v>0</v>
      </c>
      <c r="S990" t="n">
        <v>0</v>
      </c>
      <c r="T990" t="n">
        <v>0</v>
      </c>
      <c r="U990" s="2" t="inlineStr"/>
    </row>
    <row r="991" ht="15" customHeight="1">
      <c r="A991" t="inlineStr">
        <is>
          <t>A 3452-2026</t>
        </is>
      </c>
      <c r="B991" t="inlineStr">
        <is>
          <t>avverkningsanmälan</t>
        </is>
      </c>
      <c r="C991" t="inlineStr">
        <is>
          <t>Föryngringsavverkning</t>
        </is>
      </c>
      <c r="D991" s="1" t="n">
        <v>46042</v>
      </c>
      <c r="E991" s="1" t="n">
        <v>46216</v>
      </c>
      <c r="F991" t="inlineStr">
        <is>
          <t>BLEKINGE LÄN</t>
        </is>
      </c>
      <c r="G991" t="inlineStr">
        <is>
          <t>KARLSKRONA</t>
        </is>
      </c>
      <c r="I991" t="n">
        <v>3.5</v>
      </c>
      <c r="J991" t="n">
        <v>0</v>
      </c>
      <c r="K991" t="n">
        <v>0</v>
      </c>
      <c r="L991" t="n">
        <v>0</v>
      </c>
      <c r="M991" t="n">
        <v>0</v>
      </c>
      <c r="N991" t="n">
        <v>0</v>
      </c>
      <c r="O991" t="n">
        <v>0</v>
      </c>
      <c r="P991" t="n">
        <v>0</v>
      </c>
      <c r="Q991" t="n">
        <v>0</v>
      </c>
      <c r="R991" t="n">
        <v>0</v>
      </c>
      <c r="S991" t="n">
        <v>0</v>
      </c>
      <c r="T991" t="n">
        <v>0</v>
      </c>
      <c r="U991" s="2" t="inlineStr"/>
    </row>
    <row r="992" ht="15" customHeight="1">
      <c r="A992" t="inlineStr">
        <is>
          <t>A 3455-2026</t>
        </is>
      </c>
      <c r="B992" t="inlineStr">
        <is>
          <t>avverkningsanmälan</t>
        </is>
      </c>
      <c r="C992" t="inlineStr">
        <is>
          <t>Föryngringsavverkning</t>
        </is>
      </c>
      <c r="D992" s="1" t="n">
        <v>46042</v>
      </c>
      <c r="E992" s="1" t="n">
        <v>46216</v>
      </c>
      <c r="F992" t="inlineStr">
        <is>
          <t>BLEKINGE LÄN</t>
        </is>
      </c>
      <c r="G992" t="inlineStr">
        <is>
          <t>KARLSKRONA</t>
        </is>
      </c>
      <c r="I992" t="n">
        <v>0.6</v>
      </c>
      <c r="J992" t="n">
        <v>0</v>
      </c>
      <c r="K992" t="n">
        <v>0</v>
      </c>
      <c r="L992" t="n">
        <v>0</v>
      </c>
      <c r="M992" t="n">
        <v>0</v>
      </c>
      <c r="N992" t="n">
        <v>0</v>
      </c>
      <c r="O992" t="n">
        <v>0</v>
      </c>
      <c r="P992" t="n">
        <v>0</v>
      </c>
      <c r="Q992" t="n">
        <v>0</v>
      </c>
      <c r="R992" t="n">
        <v>0</v>
      </c>
      <c r="S992" t="n">
        <v>0</v>
      </c>
      <c r="T992" t="n">
        <v>0</v>
      </c>
      <c r="U992" s="2" t="inlineStr"/>
    </row>
    <row r="993" ht="15" customHeight="1">
      <c r="A993" t="inlineStr">
        <is>
          <t>A 3456-2026</t>
        </is>
      </c>
      <c r="B993" t="inlineStr">
        <is>
          <t>avverkningsanmälan</t>
        </is>
      </c>
      <c r="C993" t="inlineStr">
        <is>
          <t>Föryngringsavverkning</t>
        </is>
      </c>
      <c r="D993" s="1" t="n">
        <v>46042</v>
      </c>
      <c r="E993" s="1" t="n">
        <v>46216</v>
      </c>
      <c r="F993" t="inlineStr">
        <is>
          <t>BLEKINGE LÄN</t>
        </is>
      </c>
      <c r="G993" t="inlineStr">
        <is>
          <t>RONNEBY</t>
        </is>
      </c>
      <c r="I993" t="n">
        <v>3.1</v>
      </c>
      <c r="J993" t="n">
        <v>0</v>
      </c>
      <c r="K993" t="n">
        <v>0</v>
      </c>
      <c r="L993" t="n">
        <v>0</v>
      </c>
      <c r="M993" t="n">
        <v>0</v>
      </c>
      <c r="N993" t="n">
        <v>0</v>
      </c>
      <c r="O993" t="n">
        <v>0</v>
      </c>
      <c r="P993" t="n">
        <v>0</v>
      </c>
      <c r="Q993" t="n">
        <v>0</v>
      </c>
      <c r="R993" t="n">
        <v>0</v>
      </c>
      <c r="S993" t="n">
        <v>0</v>
      </c>
      <c r="T993" t="n">
        <v>0</v>
      </c>
      <c r="U993" s="2" t="inlineStr"/>
    </row>
    <row r="994" ht="15" customHeight="1">
      <c r="A994" t="inlineStr">
        <is>
          <t>A 48999-2022</t>
        </is>
      </c>
      <c r="B994" t="inlineStr">
        <is>
          <t>avverkningsanmälan</t>
        </is>
      </c>
      <c r="C994" t="inlineStr">
        <is>
          <t>Föryngringsavverkning</t>
        </is>
      </c>
      <c r="D994" s="1" t="n">
        <v>44860</v>
      </c>
      <c r="E994" s="1" t="n">
        <v>46216</v>
      </c>
      <c r="F994" t="inlineStr">
        <is>
          <t>BLEKINGE LÄN</t>
        </is>
      </c>
      <c r="G994" t="inlineStr">
        <is>
          <t>KARLSKRONA</t>
        </is>
      </c>
      <c r="I994" t="n">
        <v>1.5</v>
      </c>
      <c r="J994" t="n">
        <v>0</v>
      </c>
      <c r="K994" t="n">
        <v>0</v>
      </c>
      <c r="L994" t="n">
        <v>0</v>
      </c>
      <c r="M994" t="n">
        <v>0</v>
      </c>
      <c r="N994" t="n">
        <v>0</v>
      </c>
      <c r="O994" t="n">
        <v>0</v>
      </c>
      <c r="P994" t="n">
        <v>0</v>
      </c>
      <c r="Q994" t="n">
        <v>0</v>
      </c>
      <c r="R994" t="n">
        <v>0</v>
      </c>
      <c r="S994" t="n">
        <v>0</v>
      </c>
      <c r="T994" t="n">
        <v>0</v>
      </c>
      <c r="U994" s="2" t="inlineStr"/>
    </row>
    <row r="995" ht="15" customHeight="1">
      <c r="A995" t="inlineStr">
        <is>
          <t>A 22879-2023</t>
        </is>
      </c>
      <c r="B995" t="inlineStr">
        <is>
          <t>avverkningsanmälan</t>
        </is>
      </c>
      <c r="C995" t="inlineStr">
        <is>
          <t>Föryngringsavverkning</t>
        </is>
      </c>
      <c r="D995" s="1" t="n">
        <v>45072</v>
      </c>
      <c r="E995" s="1" t="n">
        <v>46216</v>
      </c>
      <c r="F995" t="inlineStr">
        <is>
          <t>BLEKINGE LÄN</t>
        </is>
      </c>
      <c r="G995" t="inlineStr">
        <is>
          <t>KARLSHAMN</t>
        </is>
      </c>
      <c r="I995" t="n">
        <v>5</v>
      </c>
      <c r="J995" t="n">
        <v>0</v>
      </c>
      <c r="K995" t="n">
        <v>0</v>
      </c>
      <c r="L995" t="n">
        <v>0</v>
      </c>
      <c r="M995" t="n">
        <v>0</v>
      </c>
      <c r="N995" t="n">
        <v>0</v>
      </c>
      <c r="O995" t="n">
        <v>0</v>
      </c>
      <c r="P995" t="n">
        <v>0</v>
      </c>
      <c r="Q995" t="n">
        <v>0</v>
      </c>
      <c r="R995" t="n">
        <v>0</v>
      </c>
      <c r="S995" t="n">
        <v>0</v>
      </c>
      <c r="T995" t="n">
        <v>0</v>
      </c>
      <c r="U995" s="2" t="inlineStr"/>
    </row>
    <row r="996" ht="15" customHeight="1">
      <c r="A996" t="inlineStr">
        <is>
          <t>A 16077-2025</t>
        </is>
      </c>
      <c r="B996" t="inlineStr">
        <is>
          <t>avverkningsanmälan</t>
        </is>
      </c>
      <c r="C996" t="inlineStr">
        <is>
          <t>Föryngringsavverkning</t>
        </is>
      </c>
      <c r="D996" s="1" t="n">
        <v>45749</v>
      </c>
      <c r="E996" s="1" t="n">
        <v>46216</v>
      </c>
      <c r="F996" t="inlineStr">
        <is>
          <t>BLEKINGE LÄN</t>
        </is>
      </c>
      <c r="G996" t="inlineStr">
        <is>
          <t>KARLSKRONA</t>
        </is>
      </c>
      <c r="I996" t="n">
        <v>2</v>
      </c>
      <c r="J996" t="n">
        <v>0</v>
      </c>
      <c r="K996" t="n">
        <v>0</v>
      </c>
      <c r="L996" t="n">
        <v>0</v>
      </c>
      <c r="M996" t="n">
        <v>0</v>
      </c>
      <c r="N996" t="n">
        <v>0</v>
      </c>
      <c r="O996" t="n">
        <v>0</v>
      </c>
      <c r="P996" t="n">
        <v>0</v>
      </c>
      <c r="Q996" t="n">
        <v>0</v>
      </c>
      <c r="R996" t="n">
        <v>0</v>
      </c>
      <c r="S996" t="n">
        <v>0</v>
      </c>
      <c r="T996" t="n">
        <v>0</v>
      </c>
      <c r="U996" s="2" t="inlineStr"/>
    </row>
    <row r="997" ht="15" customHeight="1">
      <c r="A997" t="inlineStr">
        <is>
          <t>A 12298-2022</t>
        </is>
      </c>
      <c r="B997" t="inlineStr">
        <is>
          <t>avverkningsanmälan</t>
        </is>
      </c>
      <c r="C997" t="inlineStr">
        <is>
          <t>Föryngringsavverkning</t>
        </is>
      </c>
      <c r="D997" s="1" t="n">
        <v>44641</v>
      </c>
      <c r="E997" s="1" t="n">
        <v>46216</v>
      </c>
      <c r="F997" t="inlineStr">
        <is>
          <t>BLEKINGE LÄN</t>
        </is>
      </c>
      <c r="G997" t="inlineStr">
        <is>
          <t>SÖLVESBORG</t>
        </is>
      </c>
      <c r="I997" t="n">
        <v>2.4</v>
      </c>
      <c r="J997" t="n">
        <v>0</v>
      </c>
      <c r="K997" t="n">
        <v>0</v>
      </c>
      <c r="L997" t="n">
        <v>0</v>
      </c>
      <c r="M997" t="n">
        <v>0</v>
      </c>
      <c r="N997" t="n">
        <v>0</v>
      </c>
      <c r="O997" t="n">
        <v>0</v>
      </c>
      <c r="P997" t="n">
        <v>0</v>
      </c>
      <c r="Q997" t="n">
        <v>0</v>
      </c>
      <c r="R997" t="n">
        <v>0</v>
      </c>
      <c r="S997" t="n">
        <v>0</v>
      </c>
      <c r="T997" t="n">
        <v>0</v>
      </c>
      <c r="U997" s="2" t="inlineStr"/>
    </row>
    <row r="998" ht="15" customHeight="1">
      <c r="A998" t="inlineStr">
        <is>
          <t>A 38729-2025</t>
        </is>
      </c>
      <c r="B998" t="inlineStr">
        <is>
          <t>avverkningsanmälan</t>
        </is>
      </c>
      <c r="C998" t="inlineStr">
        <is>
          <t>Föryngringsavverkning</t>
        </is>
      </c>
      <c r="D998" s="1" t="n">
        <v>45887</v>
      </c>
      <c r="E998" s="1" t="n">
        <v>46216</v>
      </c>
      <c r="F998" t="inlineStr">
        <is>
          <t>BLEKINGE LÄN</t>
        </is>
      </c>
      <c r="G998" t="inlineStr">
        <is>
          <t>OLOFSTRÖM</t>
        </is>
      </c>
      <c r="I998" t="n">
        <v>0.5</v>
      </c>
      <c r="J998" t="n">
        <v>0</v>
      </c>
      <c r="K998" t="n">
        <v>0</v>
      </c>
      <c r="L998" t="n">
        <v>0</v>
      </c>
      <c r="M998" t="n">
        <v>0</v>
      </c>
      <c r="N998" t="n">
        <v>0</v>
      </c>
      <c r="O998" t="n">
        <v>0</v>
      </c>
      <c r="P998" t="n">
        <v>0</v>
      </c>
      <c r="Q998" t="n">
        <v>0</v>
      </c>
      <c r="R998" t="n">
        <v>0</v>
      </c>
      <c r="S998" t="n">
        <v>0</v>
      </c>
      <c r="T998" t="n">
        <v>0</v>
      </c>
      <c r="U998" s="2" t="inlineStr"/>
    </row>
    <row r="999" ht="15" customHeight="1">
      <c r="A999" t="inlineStr">
        <is>
          <t>A 17509-2025</t>
        </is>
      </c>
      <c r="B999" t="inlineStr">
        <is>
          <t>avverkningsanmälan</t>
        </is>
      </c>
      <c r="C999" t="inlineStr">
        <is>
          <t>Föryngringsavverkning</t>
        </is>
      </c>
      <c r="D999" s="1" t="n">
        <v>45757</v>
      </c>
      <c r="E999" s="1" t="n">
        <v>46216</v>
      </c>
      <c r="F999" t="inlineStr">
        <is>
          <t>BLEKINGE LÄN</t>
        </is>
      </c>
      <c r="G999" t="inlineStr">
        <is>
          <t>RONNEBY</t>
        </is>
      </c>
      <c r="I999" t="n">
        <v>2.9</v>
      </c>
      <c r="J999" t="n">
        <v>0</v>
      </c>
      <c r="K999" t="n">
        <v>0</v>
      </c>
      <c r="L999" t="n">
        <v>0</v>
      </c>
      <c r="M999" t="n">
        <v>0</v>
      </c>
      <c r="N999" t="n">
        <v>0</v>
      </c>
      <c r="O999" t="n">
        <v>0</v>
      </c>
      <c r="P999" t="n">
        <v>0</v>
      </c>
      <c r="Q999" t="n">
        <v>0</v>
      </c>
      <c r="R999" t="n">
        <v>0</v>
      </c>
      <c r="S999" t="n">
        <v>0</v>
      </c>
      <c r="T999" t="n">
        <v>0</v>
      </c>
      <c r="U999" s="2" t="inlineStr"/>
    </row>
    <row r="1000" ht="15" customHeight="1">
      <c r="A1000" t="inlineStr">
        <is>
          <t>A 52881-2025</t>
        </is>
      </c>
      <c r="B1000" t="inlineStr">
        <is>
          <t>avverkningsanmälan</t>
        </is>
      </c>
      <c r="C1000" t="inlineStr">
        <is>
          <t>Föryngringsavverkning</t>
        </is>
      </c>
      <c r="D1000" s="1" t="n">
        <v>45954</v>
      </c>
      <c r="E1000" s="1" t="n">
        <v>46216</v>
      </c>
      <c r="F1000" t="inlineStr">
        <is>
          <t>BLEKINGE LÄN</t>
        </is>
      </c>
      <c r="G1000" t="inlineStr">
        <is>
          <t>RONNEBY</t>
        </is>
      </c>
      <c r="I1000" t="n">
        <v>1.2</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52751-2025</t>
        </is>
      </c>
      <c r="B1001" t="inlineStr">
        <is>
          <t>avverkningsanmälan</t>
        </is>
      </c>
      <c r="C1001" t="inlineStr">
        <is>
          <t>Föryngringsavverkning</t>
        </is>
      </c>
      <c r="D1001" s="1" t="n">
        <v>45957</v>
      </c>
      <c r="E1001" s="1" t="n">
        <v>46216</v>
      </c>
      <c r="F1001" t="inlineStr">
        <is>
          <t>BLEKINGE LÄN</t>
        </is>
      </c>
      <c r="G1001" t="inlineStr">
        <is>
          <t>OLOFSTRÖM</t>
        </is>
      </c>
      <c r="I1001" t="n">
        <v>1.9</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29079-2023</t>
        </is>
      </c>
      <c r="B1002" t="inlineStr">
        <is>
          <t>avverkningsanmälan</t>
        </is>
      </c>
      <c r="C1002" t="inlineStr">
        <is>
          <t>Föryngringsavverkning</t>
        </is>
      </c>
      <c r="D1002" s="1" t="n">
        <v>45104</v>
      </c>
      <c r="E1002" s="1" t="n">
        <v>46216</v>
      </c>
      <c r="F1002" t="inlineStr">
        <is>
          <t>BLEKINGE LÄN</t>
        </is>
      </c>
      <c r="G1002" t="inlineStr">
        <is>
          <t>RONNEBY</t>
        </is>
      </c>
      <c r="H1002" t="inlineStr">
        <is>
          <t>Övriga Aktiebolag</t>
        </is>
      </c>
      <c r="I1002" t="n">
        <v>3.4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52694-2025</t>
        </is>
      </c>
      <c r="B1003" t="inlineStr">
        <is>
          <t>avverkningsanmälan</t>
        </is>
      </c>
      <c r="C1003" t="inlineStr">
        <is>
          <t>Avverkning för att bevara och utveckla /försöksver</t>
        </is>
      </c>
      <c r="D1003" s="1" t="n">
        <v>45956</v>
      </c>
      <c r="E1003" s="1" t="n">
        <v>46216</v>
      </c>
      <c r="F1003" t="inlineStr">
        <is>
          <t>BLEKINGE LÄN</t>
        </is>
      </c>
      <c r="G1003" t="inlineStr">
        <is>
          <t>OLOFSTRÖM</t>
        </is>
      </c>
      <c r="H1003" t="inlineStr">
        <is>
          <t>Sveaskog</t>
        </is>
      </c>
      <c r="I1003" t="n">
        <v>4.1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52612-2025</t>
        </is>
      </c>
      <c r="B1004" t="inlineStr">
        <is>
          <t>avverkningsanmälan</t>
        </is>
      </c>
      <c r="C1004" t="inlineStr">
        <is>
          <t>Föryngringsavverkning</t>
        </is>
      </c>
      <c r="D1004" s="1" t="n">
        <v>45954</v>
      </c>
      <c r="E1004" s="1" t="n">
        <v>46216</v>
      </c>
      <c r="F1004" t="inlineStr">
        <is>
          <t>BLEKINGE LÄN</t>
        </is>
      </c>
      <c r="G1004" t="inlineStr">
        <is>
          <t>KARLSKRONA</t>
        </is>
      </c>
      <c r="I1004" t="n">
        <v>2.6</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31266-2023</t>
        </is>
      </c>
      <c r="B1005" t="inlineStr">
        <is>
          <t>avverkningsanmälan</t>
        </is>
      </c>
      <c r="C1005" t="inlineStr">
        <is>
          <t>Föryngringsavverkning</t>
        </is>
      </c>
      <c r="D1005" s="1" t="n">
        <v>45114</v>
      </c>
      <c r="E1005" s="1" t="n">
        <v>46216</v>
      </c>
      <c r="F1005" t="inlineStr">
        <is>
          <t>BLEKINGE LÄN</t>
        </is>
      </c>
      <c r="G1005" t="inlineStr">
        <is>
          <t>KARLSHAMN</t>
        </is>
      </c>
      <c r="I1005" t="n">
        <v>1</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19604-2023</t>
        </is>
      </c>
      <c r="B1006" t="inlineStr">
        <is>
          <t>avverkningsanmälan</t>
        </is>
      </c>
      <c r="C1006" t="inlineStr">
        <is>
          <t>Föryngringsavverkning</t>
        </is>
      </c>
      <c r="D1006" s="1" t="n">
        <v>45050</v>
      </c>
      <c r="E1006" s="1" t="n">
        <v>46216</v>
      </c>
      <c r="F1006" t="inlineStr">
        <is>
          <t>BLEKINGE LÄN</t>
        </is>
      </c>
      <c r="G1006" t="inlineStr">
        <is>
          <t>KARLSKRONA</t>
        </is>
      </c>
      <c r="I1006" t="n">
        <v>4</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31294-2023</t>
        </is>
      </c>
      <c r="B1007" t="inlineStr">
        <is>
          <t>avverkningsanmälan</t>
        </is>
      </c>
      <c r="C1007" t="inlineStr">
        <is>
          <t>Föryngringsavverkning</t>
        </is>
      </c>
      <c r="D1007" s="1" t="n">
        <v>45114</v>
      </c>
      <c r="E1007" s="1" t="n">
        <v>46216</v>
      </c>
      <c r="F1007" t="inlineStr">
        <is>
          <t>BLEKINGE LÄN</t>
        </is>
      </c>
      <c r="G1007" t="inlineStr">
        <is>
          <t>OLOFSTRÖM</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31296-2023</t>
        </is>
      </c>
      <c r="B1008" t="inlineStr">
        <is>
          <t>avverkningsanmälan</t>
        </is>
      </c>
      <c r="C1008" t="inlineStr">
        <is>
          <t>Föryngringsavverkning</t>
        </is>
      </c>
      <c r="D1008" s="1" t="n">
        <v>45104</v>
      </c>
      <c r="E1008" s="1" t="n">
        <v>46216</v>
      </c>
      <c r="F1008" t="inlineStr">
        <is>
          <t>BLEKINGE LÄN</t>
        </is>
      </c>
      <c r="G1008" t="inlineStr">
        <is>
          <t>KARLSKRONA</t>
        </is>
      </c>
      <c r="I1008" t="n">
        <v>3.9</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4329-2026</t>
        </is>
      </c>
      <c r="B1009" t="inlineStr">
        <is>
          <t>avverkningsanmälan</t>
        </is>
      </c>
      <c r="C1009" t="inlineStr">
        <is>
          <t>Föryngringsavverkning</t>
        </is>
      </c>
      <c r="D1009" s="1" t="n">
        <v>46045</v>
      </c>
      <c r="E1009" s="1" t="n">
        <v>46216</v>
      </c>
      <c r="F1009" t="inlineStr">
        <is>
          <t>BLEKINGE LÄN</t>
        </is>
      </c>
      <c r="G1009" t="inlineStr">
        <is>
          <t>OLOFSTRÖM</t>
        </is>
      </c>
      <c r="H1009" t="inlineStr">
        <is>
          <t>Kommuner</t>
        </is>
      </c>
      <c r="I1009" t="n">
        <v>1.6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58727-2023</t>
        </is>
      </c>
      <c r="B1010" t="inlineStr">
        <is>
          <t>avverkningsanmälan</t>
        </is>
      </c>
      <c r="C1010" t="inlineStr">
        <is>
          <t>Föryngringsavverkning</t>
        </is>
      </c>
      <c r="D1010" s="1" t="n">
        <v>45251</v>
      </c>
      <c r="E1010" s="1" t="n">
        <v>46216</v>
      </c>
      <c r="F1010" t="inlineStr">
        <is>
          <t>BLEKINGE LÄN</t>
        </is>
      </c>
      <c r="G1010" t="inlineStr">
        <is>
          <t>KARLSKRONA</t>
        </is>
      </c>
      <c r="I1010" t="n">
        <v>0.4</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52903-2025</t>
        </is>
      </c>
      <c r="B1011" t="inlineStr">
        <is>
          <t>avverkningsanmälan</t>
        </is>
      </c>
      <c r="C1011" t="inlineStr">
        <is>
          <t>Föryngringsavverkning</t>
        </is>
      </c>
      <c r="D1011" s="1" t="n">
        <v>45957</v>
      </c>
      <c r="E1011" s="1" t="n">
        <v>46216</v>
      </c>
      <c r="F1011" t="inlineStr">
        <is>
          <t>BLEKINGE LÄN</t>
        </is>
      </c>
      <c r="G1011" t="inlineStr">
        <is>
          <t>KARLSKRONA</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3315-2024</t>
        </is>
      </c>
      <c r="B1012" t="inlineStr">
        <is>
          <t>avverkningsanmälan</t>
        </is>
      </c>
      <c r="C1012" t="inlineStr">
        <is>
          <t>Föryngringsavverkning</t>
        </is>
      </c>
      <c r="D1012" s="1" t="n">
        <v>45316</v>
      </c>
      <c r="E1012" s="1" t="n">
        <v>46216</v>
      </c>
      <c r="F1012" t="inlineStr">
        <is>
          <t>BLEKINGE LÄN</t>
        </is>
      </c>
      <c r="G1012" t="inlineStr">
        <is>
          <t>KARLSKRONA</t>
        </is>
      </c>
      <c r="I1012" t="n">
        <v>0.8</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9415-2025</t>
        </is>
      </c>
      <c r="B1013" t="inlineStr">
        <is>
          <t>avverkningsanmälan</t>
        </is>
      </c>
      <c r="C1013" t="inlineStr">
        <is>
          <t>Föryngringsavverkning</t>
        </is>
      </c>
      <c r="D1013" s="1" t="n">
        <v>45715</v>
      </c>
      <c r="E1013" s="1" t="n">
        <v>46216</v>
      </c>
      <c r="F1013" t="inlineStr">
        <is>
          <t>BLEKINGE LÄN</t>
        </is>
      </c>
      <c r="G1013" t="inlineStr">
        <is>
          <t>KARLSKRONA</t>
        </is>
      </c>
      <c r="I1013" t="n">
        <v>0.5</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52893-2025</t>
        </is>
      </c>
      <c r="B1014" t="inlineStr">
        <is>
          <t>avverkningsanmälan</t>
        </is>
      </c>
      <c r="C1014" t="inlineStr">
        <is>
          <t>Föryngringsavverkning</t>
        </is>
      </c>
      <c r="D1014" s="1" t="n">
        <v>45957</v>
      </c>
      <c r="E1014" s="1" t="n">
        <v>46216</v>
      </c>
      <c r="F1014" t="inlineStr">
        <is>
          <t>BLEKINGE LÄN</t>
        </is>
      </c>
      <c r="G1014" t="inlineStr">
        <is>
          <t>SÖLVESBORG</t>
        </is>
      </c>
      <c r="I1014" t="n">
        <v>0.7</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52892-2025</t>
        </is>
      </c>
      <c r="B1015" t="inlineStr">
        <is>
          <t>avverkningsanmälan</t>
        </is>
      </c>
      <c r="C1015" t="inlineStr">
        <is>
          <t>Föryngringsavverkning</t>
        </is>
      </c>
      <c r="D1015" s="1" t="n">
        <v>45954</v>
      </c>
      <c r="E1015" s="1" t="n">
        <v>46216</v>
      </c>
      <c r="F1015" t="inlineStr">
        <is>
          <t>BLEKINGE LÄN</t>
        </is>
      </c>
      <c r="G1015" t="inlineStr">
        <is>
          <t>KARLSHAMN</t>
        </is>
      </c>
      <c r="I1015" t="n">
        <v>8.4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53130-2025</t>
        </is>
      </c>
      <c r="B1016" t="inlineStr">
        <is>
          <t>avverkningsanmälan</t>
        </is>
      </c>
      <c r="C1016" t="inlineStr">
        <is>
          <t>Föryngringsavverkning</t>
        </is>
      </c>
      <c r="D1016" s="1" t="n">
        <v>45958</v>
      </c>
      <c r="E1016" s="1" t="n">
        <v>46216</v>
      </c>
      <c r="F1016" t="inlineStr">
        <is>
          <t>BLEKINGE LÄN</t>
        </is>
      </c>
      <c r="G1016" t="inlineStr">
        <is>
          <t>KARLSKRONA</t>
        </is>
      </c>
      <c r="I1016" t="n">
        <v>1.9</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53149-2025</t>
        </is>
      </c>
      <c r="B1017" t="inlineStr">
        <is>
          <t>avverkningsanmälan</t>
        </is>
      </c>
      <c r="C1017" t="inlineStr">
        <is>
          <t>Föryngringsavverkning</t>
        </is>
      </c>
      <c r="D1017" s="1" t="n">
        <v>45958</v>
      </c>
      <c r="E1017" s="1" t="n">
        <v>46216</v>
      </c>
      <c r="F1017" t="inlineStr">
        <is>
          <t>BLEKINGE LÄN</t>
        </is>
      </c>
      <c r="G1017" t="inlineStr">
        <is>
          <t>KARLSKRONA</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53146-2025</t>
        </is>
      </c>
      <c r="B1018" t="inlineStr">
        <is>
          <t>avverkningsanmälan</t>
        </is>
      </c>
      <c r="C1018" t="inlineStr">
        <is>
          <t>Föryngringsavverkning</t>
        </is>
      </c>
      <c r="D1018" s="1" t="n">
        <v>45958</v>
      </c>
      <c r="E1018" s="1" t="n">
        <v>46216</v>
      </c>
      <c r="F1018" t="inlineStr">
        <is>
          <t>BLEKINGE LÄN</t>
        </is>
      </c>
      <c r="G1018" t="inlineStr">
        <is>
          <t>KARLSKRONA</t>
        </is>
      </c>
      <c r="I1018" t="n">
        <v>2</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53135-2025</t>
        </is>
      </c>
      <c r="B1019" t="inlineStr">
        <is>
          <t>avverkningsanmälan</t>
        </is>
      </c>
      <c r="C1019" t="inlineStr">
        <is>
          <t>Föryngringsavverkning</t>
        </is>
      </c>
      <c r="D1019" s="1" t="n">
        <v>45958</v>
      </c>
      <c r="E1019" s="1" t="n">
        <v>46216</v>
      </c>
      <c r="F1019" t="inlineStr">
        <is>
          <t>BLEKINGE LÄN</t>
        </is>
      </c>
      <c r="G1019" t="inlineStr">
        <is>
          <t>KARLSKRONA</t>
        </is>
      </c>
      <c r="I1019" t="n">
        <v>3.6</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53141-2025</t>
        </is>
      </c>
      <c r="B1020" t="inlineStr">
        <is>
          <t>avverkningsanmälan</t>
        </is>
      </c>
      <c r="C1020" t="inlineStr">
        <is>
          <t>Föryngringsavverkning</t>
        </is>
      </c>
      <c r="D1020" s="1" t="n">
        <v>45958</v>
      </c>
      <c r="E1020" s="1" t="n">
        <v>46216</v>
      </c>
      <c r="F1020" t="inlineStr">
        <is>
          <t>BLEKINGE LÄN</t>
        </is>
      </c>
      <c r="G1020" t="inlineStr">
        <is>
          <t>KARLSKRONA</t>
        </is>
      </c>
      <c r="I1020" t="n">
        <v>2.2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53143-2025</t>
        </is>
      </c>
      <c r="B1021" t="inlineStr">
        <is>
          <t>avverkningsanmälan</t>
        </is>
      </c>
      <c r="C1021" t="inlineStr">
        <is>
          <t>Föryngringsavverkning</t>
        </is>
      </c>
      <c r="D1021" s="1" t="n">
        <v>45958</v>
      </c>
      <c r="E1021" s="1" t="n">
        <v>46216</v>
      </c>
      <c r="F1021" t="inlineStr">
        <is>
          <t>BLEKINGE LÄN</t>
        </is>
      </c>
      <c r="G1021" t="inlineStr">
        <is>
          <t>KARLSKRONA</t>
        </is>
      </c>
      <c r="I1021" t="n">
        <v>7.8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38292-2022</t>
        </is>
      </c>
      <c r="B1022" t="inlineStr">
        <is>
          <t>avverkningsanmälan</t>
        </is>
      </c>
      <c r="C1022" t="inlineStr">
        <is>
          <t>Föryngringsavverkning</t>
        </is>
      </c>
      <c r="D1022" s="1" t="n">
        <v>44812</v>
      </c>
      <c r="E1022" s="1" t="n">
        <v>46216</v>
      </c>
      <c r="F1022" t="inlineStr">
        <is>
          <t>BLEKINGE LÄN</t>
        </is>
      </c>
      <c r="G1022" t="inlineStr">
        <is>
          <t>KARLSHAMN</t>
        </is>
      </c>
      <c r="I1022" t="n">
        <v>14</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58159-2023</t>
        </is>
      </c>
      <c r="B1023" t="inlineStr">
        <is>
          <t>avverkningsanmälan</t>
        </is>
      </c>
      <c r="C1023" t="inlineStr">
        <is>
          <t>Föryngringsavverkning</t>
        </is>
      </c>
      <c r="D1023" s="1" t="n">
        <v>45250</v>
      </c>
      <c r="E1023" s="1" t="n">
        <v>46216</v>
      </c>
      <c r="F1023" t="inlineStr">
        <is>
          <t>BLEKINGE LÄN</t>
        </is>
      </c>
      <c r="G1023" t="inlineStr">
        <is>
          <t>KARLSKRONA</t>
        </is>
      </c>
      <c r="I1023" t="n">
        <v>1.1</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5407-2024</t>
        </is>
      </c>
      <c r="B1024" t="inlineStr">
        <is>
          <t>avverkningsanmälan</t>
        </is>
      </c>
      <c r="C1024" t="inlineStr">
        <is>
          <t>Föryngringsavverkning</t>
        </is>
      </c>
      <c r="D1024" s="1" t="n">
        <v>45331</v>
      </c>
      <c r="E1024" s="1" t="n">
        <v>46216</v>
      </c>
      <c r="F1024" t="inlineStr">
        <is>
          <t>BLEKINGE LÄN</t>
        </is>
      </c>
      <c r="G1024" t="inlineStr">
        <is>
          <t>SÖLVESBORG</t>
        </is>
      </c>
      <c r="I1024" t="n">
        <v>0.8</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1015-2023</t>
        </is>
      </c>
      <c r="B1025" t="inlineStr">
        <is>
          <t>avverkningsanmälan</t>
        </is>
      </c>
      <c r="C1025" t="inlineStr">
        <is>
          <t>Föryngringsavverkning</t>
        </is>
      </c>
      <c r="D1025" s="1" t="n">
        <v>44935</v>
      </c>
      <c r="E1025" s="1" t="n">
        <v>46216</v>
      </c>
      <c r="F1025" t="inlineStr">
        <is>
          <t>BLEKINGE LÄN</t>
        </is>
      </c>
      <c r="G1025" t="inlineStr">
        <is>
          <t>OLOFSTRÖM</t>
        </is>
      </c>
      <c r="I1025" t="n">
        <v>0.8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53864-2025</t>
        </is>
      </c>
      <c r="B1026" t="inlineStr">
        <is>
          <t>avverkningsanmälan</t>
        </is>
      </c>
      <c r="C1026" t="inlineStr">
        <is>
          <t>Avverkning för annat ändamål</t>
        </is>
      </c>
      <c r="D1026" s="1" t="n">
        <v>45961</v>
      </c>
      <c r="E1026" s="1" t="n">
        <v>46216</v>
      </c>
      <c r="F1026" t="inlineStr">
        <is>
          <t>BLEKINGE LÄN</t>
        </is>
      </c>
      <c r="G1026" t="inlineStr">
        <is>
          <t>KARLSKRONA</t>
        </is>
      </c>
      <c r="I1026" t="n">
        <v>3.1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6737-2026</t>
        </is>
      </c>
      <c r="B1027" t="inlineStr">
        <is>
          <t>avverkningsanmälan</t>
        </is>
      </c>
      <c r="C1027" t="inlineStr">
        <is>
          <t>Avverkning för annat ändamål</t>
        </is>
      </c>
      <c r="D1027" s="1" t="n">
        <v>46055</v>
      </c>
      <c r="E1027" s="1" t="n">
        <v>46216</v>
      </c>
      <c r="F1027" t="inlineStr">
        <is>
          <t>BLEKINGE LÄN</t>
        </is>
      </c>
      <c r="G1027" t="inlineStr">
        <is>
          <t>KARLSKRONA</t>
        </is>
      </c>
      <c r="I1027" t="n">
        <v>0.2</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64459-2023</t>
        </is>
      </c>
      <c r="B1028" t="inlineStr">
        <is>
          <t>avverkningsanmälan</t>
        </is>
      </c>
      <c r="C1028" t="inlineStr">
        <is>
          <t>Föryngringsavverkning</t>
        </is>
      </c>
      <c r="D1028" s="1" t="n">
        <v>45280</v>
      </c>
      <c r="E1028" s="1" t="n">
        <v>46216</v>
      </c>
      <c r="F1028" t="inlineStr">
        <is>
          <t>BLEKINGE LÄN</t>
        </is>
      </c>
      <c r="G1028" t="inlineStr">
        <is>
          <t>RONNEBY</t>
        </is>
      </c>
      <c r="I1028" t="n">
        <v>2.6</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30509-2023</t>
        </is>
      </c>
      <c r="B1029" t="inlineStr">
        <is>
          <t>avverkningsanmälan</t>
        </is>
      </c>
      <c r="C1029" t="inlineStr">
        <is>
          <t>Föryngringsavverkning</t>
        </is>
      </c>
      <c r="D1029" s="1" t="n">
        <v>45111</v>
      </c>
      <c r="E1029" s="1" t="n">
        <v>46216</v>
      </c>
      <c r="F1029" t="inlineStr">
        <is>
          <t>BLEKINGE LÄN</t>
        </is>
      </c>
      <c r="G1029" t="inlineStr">
        <is>
          <t>OLOFSTRÖM</t>
        </is>
      </c>
      <c r="I1029" t="n">
        <v>0.7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64466-2023</t>
        </is>
      </c>
      <c r="B1030" t="inlineStr">
        <is>
          <t>avverkningsanmälan</t>
        </is>
      </c>
      <c r="C1030" t="inlineStr">
        <is>
          <t>Föryngringsavverkning</t>
        </is>
      </c>
      <c r="D1030" s="1" t="n">
        <v>45280</v>
      </c>
      <c r="E1030" s="1" t="n">
        <v>46216</v>
      </c>
      <c r="F1030" t="inlineStr">
        <is>
          <t>BLEKINGE LÄN</t>
        </is>
      </c>
      <c r="G1030" t="inlineStr">
        <is>
          <t>RONNEBY</t>
        </is>
      </c>
      <c r="I1030" t="n">
        <v>3.3</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24668-2023</t>
        </is>
      </c>
      <c r="B1031" t="inlineStr">
        <is>
          <t>avverkningsanmälan</t>
        </is>
      </c>
      <c r="C1031" t="inlineStr">
        <is>
          <t>Föryngringsavverkning</t>
        </is>
      </c>
      <c r="D1031" s="1" t="n">
        <v>45084</v>
      </c>
      <c r="E1031" s="1" t="n">
        <v>46216</v>
      </c>
      <c r="F1031" t="inlineStr">
        <is>
          <t>BLEKINGE LÄN</t>
        </is>
      </c>
      <c r="G1031" t="inlineStr">
        <is>
          <t>KARLSKRONA</t>
        </is>
      </c>
      <c r="I1031" t="n">
        <v>2.6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55147-2021</t>
        </is>
      </c>
      <c r="B1032" t="inlineStr">
        <is>
          <t>avverkningsanmälan</t>
        </is>
      </c>
      <c r="C1032" t="inlineStr">
        <is>
          <t>Föryngringsavverkning</t>
        </is>
      </c>
      <c r="D1032" s="1" t="n">
        <v>44474</v>
      </c>
      <c r="E1032" s="1" t="n">
        <v>46216</v>
      </c>
      <c r="F1032" t="inlineStr">
        <is>
          <t>BLEKINGE LÄN</t>
        </is>
      </c>
      <c r="G1032" t="inlineStr">
        <is>
          <t>KARLSKRONA</t>
        </is>
      </c>
      <c r="I1032" t="n">
        <v>0.9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60924-2024</t>
        </is>
      </c>
      <c r="B1033" t="inlineStr">
        <is>
          <t>avverkningsanmälan</t>
        </is>
      </c>
      <c r="C1033" t="inlineStr">
        <is>
          <t>Föryngringsavverkning</t>
        </is>
      </c>
      <c r="D1033" s="1" t="n">
        <v>45645</v>
      </c>
      <c r="E1033" s="1" t="n">
        <v>46216</v>
      </c>
      <c r="F1033" t="inlineStr">
        <is>
          <t>BLEKINGE LÄN</t>
        </is>
      </c>
      <c r="G1033" t="inlineStr">
        <is>
          <t>KARLSKRONA</t>
        </is>
      </c>
      <c r="I1033" t="n">
        <v>2.5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53585-2025</t>
        </is>
      </c>
      <c r="B1034" t="inlineStr">
        <is>
          <t>avverkningsanmälan</t>
        </is>
      </c>
      <c r="C1034" t="inlineStr">
        <is>
          <t>Föryngringsavverkning</t>
        </is>
      </c>
      <c r="D1034" s="1" t="n">
        <v>45960</v>
      </c>
      <c r="E1034" s="1" t="n">
        <v>46216</v>
      </c>
      <c r="F1034" t="inlineStr">
        <is>
          <t>BLEKINGE LÄN</t>
        </is>
      </c>
      <c r="G1034" t="inlineStr">
        <is>
          <t>KARLSHAMN</t>
        </is>
      </c>
      <c r="I1034" t="n">
        <v>4.8</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5132-2026</t>
        </is>
      </c>
      <c r="B1035" t="inlineStr">
        <is>
          <t>avverkningsanmälan</t>
        </is>
      </c>
      <c r="C1035" t="inlineStr">
        <is>
          <t>Föryngringsavverkning</t>
        </is>
      </c>
      <c r="D1035" s="1" t="n">
        <v>46049</v>
      </c>
      <c r="E1035" s="1" t="n">
        <v>46216</v>
      </c>
      <c r="F1035" t="inlineStr">
        <is>
          <t>BLEKINGE LÄN</t>
        </is>
      </c>
      <c r="G1035" t="inlineStr">
        <is>
          <t>KARLSKRONA</t>
        </is>
      </c>
      <c r="I1035" t="n">
        <v>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53850-2025</t>
        </is>
      </c>
      <c r="B1036" t="inlineStr">
        <is>
          <t>avverkningsanmälan</t>
        </is>
      </c>
      <c r="C1036" t="inlineStr">
        <is>
          <t>Avverkning för annat ändamål</t>
        </is>
      </c>
      <c r="D1036" s="1" t="n">
        <v>45961</v>
      </c>
      <c r="E1036" s="1" t="n">
        <v>46216</v>
      </c>
      <c r="F1036" t="inlineStr">
        <is>
          <t>BLEKINGE LÄN</t>
        </is>
      </c>
      <c r="G1036" t="inlineStr">
        <is>
          <t>KARLSKRONA</t>
        </is>
      </c>
      <c r="I1036" t="n">
        <v>2.1</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53858-2025</t>
        </is>
      </c>
      <c r="B1037" t="inlineStr">
        <is>
          <t>avverkningsanmälan</t>
        </is>
      </c>
      <c r="C1037" t="inlineStr">
        <is>
          <t>Avverkning för annat ändamål</t>
        </is>
      </c>
      <c r="D1037" s="1" t="n">
        <v>45961</v>
      </c>
      <c r="E1037" s="1" t="n">
        <v>46216</v>
      </c>
      <c r="F1037" t="inlineStr">
        <is>
          <t>BLEKINGE LÄN</t>
        </is>
      </c>
      <c r="G1037" t="inlineStr">
        <is>
          <t>KARLSKRONA</t>
        </is>
      </c>
      <c r="I1037" t="n">
        <v>0.4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49688-2025</t>
        </is>
      </c>
      <c r="B1038" t="inlineStr">
        <is>
          <t>avverkningsanmälan</t>
        </is>
      </c>
      <c r="C1038" t="inlineStr">
        <is>
          <t>Föryngringsavverkning</t>
        </is>
      </c>
      <c r="D1038" s="1" t="n">
        <v>45939</v>
      </c>
      <c r="E1038" s="1" t="n">
        <v>46216</v>
      </c>
      <c r="F1038" t="inlineStr">
        <is>
          <t>BLEKINGE LÄN</t>
        </is>
      </c>
      <c r="G1038" t="inlineStr">
        <is>
          <t>SÖLVESBORG</t>
        </is>
      </c>
      <c r="I1038" t="n">
        <v>16.1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47892-2023</t>
        </is>
      </c>
      <c r="B1039" t="inlineStr">
        <is>
          <t>avverkningsanmälan</t>
        </is>
      </c>
      <c r="C1039" t="inlineStr">
        <is>
          <t>Föryngringsavverkning</t>
        </is>
      </c>
      <c r="D1039" s="1" t="n">
        <v>45198</v>
      </c>
      <c r="E1039" s="1" t="n">
        <v>46216</v>
      </c>
      <c r="F1039" t="inlineStr">
        <is>
          <t>BLEKINGE LÄN</t>
        </is>
      </c>
      <c r="G1039" t="inlineStr">
        <is>
          <t>OLOFSTRÖM</t>
        </is>
      </c>
      <c r="I1039" t="n">
        <v>0.5</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51270-2021</t>
        </is>
      </c>
      <c r="B1040" t="inlineStr">
        <is>
          <t>avverkningsanmälan</t>
        </is>
      </c>
      <c r="C1040" t="inlineStr">
        <is>
          <t>Föryngringsavverkning</t>
        </is>
      </c>
      <c r="D1040" s="1" t="n">
        <v>44461</v>
      </c>
      <c r="E1040" s="1" t="n">
        <v>46216</v>
      </c>
      <c r="F1040" t="inlineStr">
        <is>
          <t>BLEKINGE LÄN</t>
        </is>
      </c>
      <c r="G1040" t="inlineStr">
        <is>
          <t>KARLSKRONA</t>
        </is>
      </c>
      <c r="I1040" t="n">
        <v>3.9</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8799-2024</t>
        </is>
      </c>
      <c r="B1041" t="inlineStr">
        <is>
          <t>avverkningsanmälan</t>
        </is>
      </c>
      <c r="C1041" t="inlineStr">
        <is>
          <t>Föryngringsavverkning</t>
        </is>
      </c>
      <c r="D1041" s="1" t="n">
        <v>45335</v>
      </c>
      <c r="E1041" s="1" t="n">
        <v>46216</v>
      </c>
      <c r="F1041" t="inlineStr">
        <is>
          <t>BLEKINGE LÄN</t>
        </is>
      </c>
      <c r="G1041" t="inlineStr">
        <is>
          <t>KARLSKRONA</t>
        </is>
      </c>
      <c r="I1041" t="n">
        <v>2</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4518-2026</t>
        </is>
      </c>
      <c r="B1042" t="inlineStr">
        <is>
          <t>avverkningsanmälan</t>
        </is>
      </c>
      <c r="C1042" t="inlineStr">
        <is>
          <t>Föryngringsavverkning</t>
        </is>
      </c>
      <c r="D1042" s="1" t="n">
        <v>46046</v>
      </c>
      <c r="E1042" s="1" t="n">
        <v>46216</v>
      </c>
      <c r="F1042" t="inlineStr">
        <is>
          <t>BLEKINGE LÄN</t>
        </is>
      </c>
      <c r="G1042" t="inlineStr">
        <is>
          <t>RONNEBY</t>
        </is>
      </c>
      <c r="I1042" t="n">
        <v>0.9</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28975-2023</t>
        </is>
      </c>
      <c r="B1043" t="inlineStr">
        <is>
          <t>avverkningsanmälan</t>
        </is>
      </c>
      <c r="C1043" t="inlineStr">
        <is>
          <t>Avverkning för annat ändamål</t>
        </is>
      </c>
      <c r="D1043" s="1" t="n">
        <v>45104</v>
      </c>
      <c r="E1043" s="1" t="n">
        <v>46216</v>
      </c>
      <c r="F1043" t="inlineStr">
        <is>
          <t>BLEKINGE LÄN</t>
        </is>
      </c>
      <c r="G1043" t="inlineStr">
        <is>
          <t>RONNEBY</t>
        </is>
      </c>
      <c r="I1043" t="n">
        <v>1.5</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54492-2025</t>
        </is>
      </c>
      <c r="B1044" t="inlineStr">
        <is>
          <t>avverkningsanmälan</t>
        </is>
      </c>
      <c r="C1044" t="inlineStr">
        <is>
          <t>Föryngringsavverkning</t>
        </is>
      </c>
      <c r="D1044" s="1" t="n">
        <v>45965</v>
      </c>
      <c r="E1044" s="1" t="n">
        <v>46216</v>
      </c>
      <c r="F1044" t="inlineStr">
        <is>
          <t>BLEKINGE LÄN</t>
        </is>
      </c>
      <c r="G1044" t="inlineStr">
        <is>
          <t>OLOFSTRÖM</t>
        </is>
      </c>
      <c r="I1044" t="n">
        <v>2.3</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4835-2026</t>
        </is>
      </c>
      <c r="B1045" t="inlineStr">
        <is>
          <t>avverkningsanmälan</t>
        </is>
      </c>
      <c r="C1045" t="inlineStr">
        <is>
          <t>Föryngringsavverkning</t>
        </is>
      </c>
      <c r="D1045" s="1" t="n">
        <v>46048</v>
      </c>
      <c r="E1045" s="1" t="n">
        <v>46216</v>
      </c>
      <c r="F1045" t="inlineStr">
        <is>
          <t>BLEKINGE LÄN</t>
        </is>
      </c>
      <c r="G1045" t="inlineStr">
        <is>
          <t>KARLSKRONA</t>
        </is>
      </c>
      <c r="I1045" t="n">
        <v>5.6</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4836-2026</t>
        </is>
      </c>
      <c r="B1046" t="inlineStr">
        <is>
          <t>avverkningsanmälan</t>
        </is>
      </c>
      <c r="C1046" t="inlineStr">
        <is>
          <t>Föryngringsavverkning</t>
        </is>
      </c>
      <c r="D1046" s="1" t="n">
        <v>46048</v>
      </c>
      <c r="E1046" s="1" t="n">
        <v>46216</v>
      </c>
      <c r="F1046" t="inlineStr">
        <is>
          <t>BLEKINGE LÄN</t>
        </is>
      </c>
      <c r="G1046" t="inlineStr">
        <is>
          <t>KARLSKRONA</t>
        </is>
      </c>
      <c r="I1046" t="n">
        <v>0.9</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47242-2023</t>
        </is>
      </c>
      <c r="B1047" t="inlineStr">
        <is>
          <t>avverkningsanmälan</t>
        </is>
      </c>
      <c r="C1047" t="inlineStr">
        <is>
          <t>Föryngringsavverkning</t>
        </is>
      </c>
      <c r="D1047" s="1" t="n">
        <v>45197</v>
      </c>
      <c r="E1047" s="1" t="n">
        <v>46216</v>
      </c>
      <c r="F1047" t="inlineStr">
        <is>
          <t>BLEKINGE LÄN</t>
        </is>
      </c>
      <c r="G1047" t="inlineStr">
        <is>
          <t>SÖLVESBORG</t>
        </is>
      </c>
      <c r="I1047" t="n">
        <v>11.6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54043-2025</t>
        </is>
      </c>
      <c r="B1048" t="inlineStr">
        <is>
          <t>avverkningsanmälan</t>
        </is>
      </c>
      <c r="C1048" t="inlineStr">
        <is>
          <t>Föryngringsavverkning</t>
        </is>
      </c>
      <c r="D1048" s="1" t="n">
        <v>45963</v>
      </c>
      <c r="E1048" s="1" t="n">
        <v>46216</v>
      </c>
      <c r="F1048" t="inlineStr">
        <is>
          <t>BLEKINGE LÄN</t>
        </is>
      </c>
      <c r="G1048" t="inlineStr">
        <is>
          <t>OLOFSTRÖM</t>
        </is>
      </c>
      <c r="I1048" t="n">
        <v>1.6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4884-2026</t>
        </is>
      </c>
      <c r="B1049" t="inlineStr">
        <is>
          <t>avverkningsanmälan</t>
        </is>
      </c>
      <c r="C1049" t="inlineStr">
        <is>
          <t>Föryngringsavverkning</t>
        </is>
      </c>
      <c r="D1049" s="1" t="n">
        <v>46048</v>
      </c>
      <c r="E1049" s="1" t="n">
        <v>46216</v>
      </c>
      <c r="F1049" t="inlineStr">
        <is>
          <t>BLEKINGE LÄN</t>
        </is>
      </c>
      <c r="G1049" t="inlineStr">
        <is>
          <t>RONNEBY</t>
        </is>
      </c>
      <c r="I1049" t="n">
        <v>1.8</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31038-2024</t>
        </is>
      </c>
      <c r="B1050" t="inlineStr">
        <is>
          <t>avverkningsanmälan</t>
        </is>
      </c>
      <c r="C1050" t="inlineStr">
        <is>
          <t>Föryngringsavverkning</t>
        </is>
      </c>
      <c r="D1050" s="1" t="n">
        <v>45501</v>
      </c>
      <c r="E1050" s="1" t="n">
        <v>46216</v>
      </c>
      <c r="F1050" t="inlineStr">
        <is>
          <t>BLEKINGE LÄN</t>
        </is>
      </c>
      <c r="G1050" t="inlineStr">
        <is>
          <t>KARLSHAMN</t>
        </is>
      </c>
      <c r="I1050" t="n">
        <v>0.5</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30992-2022</t>
        </is>
      </c>
      <c r="B1051" t="inlineStr">
        <is>
          <t>avverkningsanmälan</t>
        </is>
      </c>
      <c r="C1051" t="inlineStr">
        <is>
          <t>Föryngringsavverkning</t>
        </is>
      </c>
      <c r="D1051" s="1" t="n">
        <v>44768</v>
      </c>
      <c r="E1051" s="1" t="n">
        <v>46216</v>
      </c>
      <c r="F1051" t="inlineStr">
        <is>
          <t>BLEKINGE LÄN</t>
        </is>
      </c>
      <c r="G1051" t="inlineStr">
        <is>
          <t>SÖLVESBORG</t>
        </is>
      </c>
      <c r="I1051" t="n">
        <v>1</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5649-2024</t>
        </is>
      </c>
      <c r="B1052" t="inlineStr">
        <is>
          <t>avverkningsanmälan</t>
        </is>
      </c>
      <c r="C1052" t="inlineStr">
        <is>
          <t>Föryngringsavverkning</t>
        </is>
      </c>
      <c r="D1052" s="1" t="n">
        <v>45334</v>
      </c>
      <c r="E1052" s="1" t="n">
        <v>46216</v>
      </c>
      <c r="F1052" t="inlineStr">
        <is>
          <t>BLEKINGE LÄN</t>
        </is>
      </c>
      <c r="G1052" t="inlineStr">
        <is>
          <t>KARLSKRONA</t>
        </is>
      </c>
      <c r="I1052" t="n">
        <v>2.8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49317-2025</t>
        </is>
      </c>
      <c r="B1053" t="inlineStr">
        <is>
          <t>avverkningsanmälan</t>
        </is>
      </c>
      <c r="C1053" t="inlineStr">
        <is>
          <t>Föryngringsavverkning</t>
        </is>
      </c>
      <c r="D1053" s="1" t="n">
        <v>45938</v>
      </c>
      <c r="E1053" s="1" t="n">
        <v>46216</v>
      </c>
      <c r="F1053" t="inlineStr">
        <is>
          <t>BLEKINGE LÄN</t>
        </is>
      </c>
      <c r="G1053" t="inlineStr">
        <is>
          <t>KARLSKRONA</t>
        </is>
      </c>
      <c r="I1053" t="n">
        <v>11.4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57238-2024</t>
        </is>
      </c>
      <c r="B1054" t="inlineStr">
        <is>
          <t>avverkningsanmälan</t>
        </is>
      </c>
      <c r="C1054" t="inlineStr">
        <is>
          <t>Föryngringsavverkning</t>
        </is>
      </c>
      <c r="D1054" s="1" t="n">
        <v>45629</v>
      </c>
      <c r="E1054" s="1" t="n">
        <v>46216</v>
      </c>
      <c r="F1054" t="inlineStr">
        <is>
          <t>BLEKINGE LÄN</t>
        </is>
      </c>
      <c r="G1054" t="inlineStr">
        <is>
          <t>OLOFSTRÖM</t>
        </is>
      </c>
      <c r="I1054" t="n">
        <v>0.6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30536-2023</t>
        </is>
      </c>
      <c r="B1055" t="inlineStr">
        <is>
          <t>avverkningsanmälan</t>
        </is>
      </c>
      <c r="C1055" t="inlineStr">
        <is>
          <t>Föryngringsavverkning</t>
        </is>
      </c>
      <c r="D1055" s="1" t="n">
        <v>45111</v>
      </c>
      <c r="E1055" s="1" t="n">
        <v>46216</v>
      </c>
      <c r="F1055" t="inlineStr">
        <is>
          <t>BLEKINGE LÄN</t>
        </is>
      </c>
      <c r="G1055" t="inlineStr">
        <is>
          <t>RONNEBY</t>
        </is>
      </c>
      <c r="I1055" t="n">
        <v>1.1</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5799-2026</t>
        </is>
      </c>
      <c r="B1056" t="inlineStr">
        <is>
          <t>avverkningsanmälan</t>
        </is>
      </c>
      <c r="C1056" t="inlineStr">
        <is>
          <t>Avverkning för annat ändamål</t>
        </is>
      </c>
      <c r="D1056" s="1" t="n">
        <v>46051</v>
      </c>
      <c r="E1056" s="1" t="n">
        <v>46216</v>
      </c>
      <c r="F1056" t="inlineStr">
        <is>
          <t>BLEKINGE LÄN</t>
        </is>
      </c>
      <c r="G1056" t="inlineStr">
        <is>
          <t>KARLSKRONA</t>
        </is>
      </c>
      <c r="I1056" t="n">
        <v>0.6</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5445-2026</t>
        </is>
      </c>
      <c r="B1057" t="inlineStr">
        <is>
          <t>avverkningsanmälan</t>
        </is>
      </c>
      <c r="C1057" t="inlineStr">
        <is>
          <t>Föryngringsavverkning</t>
        </is>
      </c>
      <c r="D1057" s="1" t="n">
        <v>46050</v>
      </c>
      <c r="E1057" s="1" t="n">
        <v>46216</v>
      </c>
      <c r="F1057" t="inlineStr">
        <is>
          <t>BLEKINGE LÄN</t>
        </is>
      </c>
      <c r="G1057" t="inlineStr">
        <is>
          <t>RONNEBY</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5801-2026</t>
        </is>
      </c>
      <c r="B1058" t="inlineStr">
        <is>
          <t>avverkningsanmälan</t>
        </is>
      </c>
      <c r="C1058" t="inlineStr">
        <is>
          <t>Föryngringsavverkning</t>
        </is>
      </c>
      <c r="D1058" s="1" t="n">
        <v>46051</v>
      </c>
      <c r="E1058" s="1" t="n">
        <v>46216</v>
      </c>
      <c r="F1058" t="inlineStr">
        <is>
          <t>BLEKINGE LÄN</t>
        </is>
      </c>
      <c r="G1058" t="inlineStr">
        <is>
          <t>KARLSKRONA</t>
        </is>
      </c>
      <c r="I1058" t="n">
        <v>7.1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59573-2023</t>
        </is>
      </c>
      <c r="B1059" t="inlineStr">
        <is>
          <t>avverkningsanmälan</t>
        </is>
      </c>
      <c r="C1059" t="inlineStr">
        <is>
          <t>Föryngringsavverkning</t>
        </is>
      </c>
      <c r="D1059" s="1" t="n">
        <v>45254</v>
      </c>
      <c r="E1059" s="1" t="n">
        <v>46216</v>
      </c>
      <c r="F1059" t="inlineStr">
        <is>
          <t>BLEKINGE LÄN</t>
        </is>
      </c>
      <c r="G1059" t="inlineStr">
        <is>
          <t>KARLSHAMN</t>
        </is>
      </c>
      <c r="I1059" t="n">
        <v>3.2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10390-2024</t>
        </is>
      </c>
      <c r="B1060" t="inlineStr">
        <is>
          <t>avverkningsanmälan</t>
        </is>
      </c>
      <c r="C1060" t="inlineStr">
        <is>
          <t>Föryngringsavverkning</t>
        </is>
      </c>
      <c r="D1060" s="1" t="n">
        <v>45365</v>
      </c>
      <c r="E1060" s="1" t="n">
        <v>46216</v>
      </c>
      <c r="F1060" t="inlineStr">
        <is>
          <t>BLEKINGE LÄN</t>
        </is>
      </c>
      <c r="G1060" t="inlineStr">
        <is>
          <t>SÖLVESBORG</t>
        </is>
      </c>
      <c r="I1060" t="n">
        <v>1.4</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46542-2022</t>
        </is>
      </c>
      <c r="B1061" t="inlineStr">
        <is>
          <t>avverkningsanmälan</t>
        </is>
      </c>
      <c r="C1061" t="inlineStr">
        <is>
          <t>Föryngringsavverkning</t>
        </is>
      </c>
      <c r="D1061" s="1" t="n">
        <v>44848</v>
      </c>
      <c r="E1061" s="1" t="n">
        <v>46216</v>
      </c>
      <c r="F1061" t="inlineStr">
        <is>
          <t>BLEKINGE LÄN</t>
        </is>
      </c>
      <c r="G1061" t="inlineStr">
        <is>
          <t>RONNEBY</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11024-2024</t>
        </is>
      </c>
      <c r="B1062" t="inlineStr">
        <is>
          <t>avverkningsanmälan</t>
        </is>
      </c>
      <c r="C1062" t="inlineStr">
        <is>
          <t>Föryngringsavverkning</t>
        </is>
      </c>
      <c r="D1062" s="1" t="n">
        <v>45370</v>
      </c>
      <c r="E1062" s="1" t="n">
        <v>46216</v>
      </c>
      <c r="F1062" t="inlineStr">
        <is>
          <t>BLEKINGE LÄN</t>
        </is>
      </c>
      <c r="G1062" t="inlineStr">
        <is>
          <t>KARLSKRONA</t>
        </is>
      </c>
      <c r="I1062" t="n">
        <v>1.4</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5465-2026</t>
        </is>
      </c>
      <c r="B1063" t="inlineStr">
        <is>
          <t>avverkningsanmälan</t>
        </is>
      </c>
      <c r="C1063" t="inlineStr">
        <is>
          <t>Föryngringsavverkning</t>
        </is>
      </c>
      <c r="D1063" s="1" t="n">
        <v>46050</v>
      </c>
      <c r="E1063" s="1" t="n">
        <v>46216</v>
      </c>
      <c r="F1063" t="inlineStr">
        <is>
          <t>BLEKINGE LÄN</t>
        </is>
      </c>
      <c r="G1063" t="inlineStr">
        <is>
          <t>OLOFSTRÖM</t>
        </is>
      </c>
      <c r="I1063" t="n">
        <v>0.9</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55074-2025</t>
        </is>
      </c>
      <c r="B1064" t="inlineStr">
        <is>
          <t>avverkningsanmälan</t>
        </is>
      </c>
      <c r="C1064" t="inlineStr">
        <is>
          <t>Föryngringsavverkning</t>
        </is>
      </c>
      <c r="D1064" s="1" t="n">
        <v>45967</v>
      </c>
      <c r="E1064" s="1" t="n">
        <v>46216</v>
      </c>
      <c r="F1064" t="inlineStr">
        <is>
          <t>BLEKINGE LÄN</t>
        </is>
      </c>
      <c r="G1064" t="inlineStr">
        <is>
          <t>OLOFSTRÖM</t>
        </is>
      </c>
      <c r="I1064" t="n">
        <v>0.2</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55076-2025</t>
        </is>
      </c>
      <c r="B1065" t="inlineStr">
        <is>
          <t>avverkningsanmälan</t>
        </is>
      </c>
      <c r="C1065" t="inlineStr">
        <is>
          <t>Föryngringsavverkning</t>
        </is>
      </c>
      <c r="D1065" s="1" t="n">
        <v>45967</v>
      </c>
      <c r="E1065" s="1" t="n">
        <v>46216</v>
      </c>
      <c r="F1065" t="inlineStr">
        <is>
          <t>BLEKINGE LÄN</t>
        </is>
      </c>
      <c r="G1065" t="inlineStr">
        <is>
          <t>KARLSHAMN</t>
        </is>
      </c>
      <c r="H1065" t="inlineStr">
        <is>
          <t>Sveaskog</t>
        </is>
      </c>
      <c r="I1065" t="n">
        <v>1.6</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55075-2025</t>
        </is>
      </c>
      <c r="B1066" t="inlineStr">
        <is>
          <t>avverkningsanmälan</t>
        </is>
      </c>
      <c r="C1066" t="inlineStr">
        <is>
          <t>Föryngringsavverkning</t>
        </is>
      </c>
      <c r="D1066" s="1" t="n">
        <v>45967</v>
      </c>
      <c r="E1066" s="1" t="n">
        <v>46216</v>
      </c>
      <c r="F1066" t="inlineStr">
        <is>
          <t>BLEKINGE LÄN</t>
        </is>
      </c>
      <c r="G1066" t="inlineStr">
        <is>
          <t>KARLSHAMN</t>
        </is>
      </c>
      <c r="H1066" t="inlineStr">
        <is>
          <t>Sveaskog</t>
        </is>
      </c>
      <c r="I1066" t="n">
        <v>3.4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5802-2026</t>
        </is>
      </c>
      <c r="B1067" t="inlineStr">
        <is>
          <t>avverkningsanmälan</t>
        </is>
      </c>
      <c r="C1067" t="inlineStr">
        <is>
          <t>Föryngringsavverkning</t>
        </is>
      </c>
      <c r="D1067" s="1" t="n">
        <v>46051</v>
      </c>
      <c r="E1067" s="1" t="n">
        <v>46216</v>
      </c>
      <c r="F1067" t="inlineStr">
        <is>
          <t>BLEKINGE LÄN</t>
        </is>
      </c>
      <c r="G1067" t="inlineStr">
        <is>
          <t>KARLSKRONA</t>
        </is>
      </c>
      <c r="I1067" t="n">
        <v>2.2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6102-2026</t>
        </is>
      </c>
      <c r="B1068" t="inlineStr">
        <is>
          <t>avverkningsanmälan</t>
        </is>
      </c>
      <c r="C1068" t="inlineStr">
        <is>
          <t>Föryngringsavverkning</t>
        </is>
      </c>
      <c r="D1068" s="1" t="n">
        <v>46052</v>
      </c>
      <c r="E1068" s="1" t="n">
        <v>46216</v>
      </c>
      <c r="F1068" t="inlineStr">
        <is>
          <t>BLEKINGE LÄN</t>
        </is>
      </c>
      <c r="G1068" t="inlineStr">
        <is>
          <t>KARLSKRONA</t>
        </is>
      </c>
      <c r="I1068" t="n">
        <v>6.2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40219-2023</t>
        </is>
      </c>
      <c r="B1069" t="inlineStr">
        <is>
          <t>avverkningsanmälan</t>
        </is>
      </c>
      <c r="C1069" t="inlineStr">
        <is>
          <t>Föryngringsavverkning</t>
        </is>
      </c>
      <c r="D1069" s="1" t="n">
        <v>45169</v>
      </c>
      <c r="E1069" s="1" t="n">
        <v>46216</v>
      </c>
      <c r="F1069" t="inlineStr">
        <is>
          <t>BLEKINGE LÄN</t>
        </is>
      </c>
      <c r="G1069" t="inlineStr">
        <is>
          <t>KARLSKRONA</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5904-2026</t>
        </is>
      </c>
      <c r="B1070" t="inlineStr">
        <is>
          <t>avverkningsanmälan</t>
        </is>
      </c>
      <c r="C1070" t="inlineStr">
        <is>
          <t>Föryngringsavverkning</t>
        </is>
      </c>
      <c r="D1070" s="1" t="n">
        <v>46052</v>
      </c>
      <c r="E1070" s="1" t="n">
        <v>46216</v>
      </c>
      <c r="F1070" t="inlineStr">
        <is>
          <t>BLEKINGE LÄN</t>
        </is>
      </c>
      <c r="G1070" t="inlineStr">
        <is>
          <t>RONNEBY</t>
        </is>
      </c>
      <c r="I1070" t="n">
        <v>0.3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55834-2025</t>
        </is>
      </c>
      <c r="B1071" t="inlineStr">
        <is>
          <t>avverkningsanmälan</t>
        </is>
      </c>
      <c r="C1071" t="inlineStr">
        <is>
          <t>Föryngringsavverkning</t>
        </is>
      </c>
      <c r="D1071" s="1" t="n">
        <v>45972</v>
      </c>
      <c r="E1071" s="1" t="n">
        <v>46216</v>
      </c>
      <c r="F1071" t="inlineStr">
        <is>
          <t>BLEKINGE LÄN</t>
        </is>
      </c>
      <c r="G1071" t="inlineStr">
        <is>
          <t>KARLSKRONA</t>
        </is>
      </c>
      <c r="I1071" t="n">
        <v>1.3</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26796-2023</t>
        </is>
      </c>
      <c r="B1072" t="inlineStr">
        <is>
          <t>avverkningsanmälan</t>
        </is>
      </c>
      <c r="C1072" t="inlineStr">
        <is>
          <t>Föryngringsavverkning</t>
        </is>
      </c>
      <c r="D1072" s="1" t="n">
        <v>45093</v>
      </c>
      <c r="E1072" s="1" t="n">
        <v>46216</v>
      </c>
      <c r="F1072" t="inlineStr">
        <is>
          <t>BLEKINGE LÄN</t>
        </is>
      </c>
      <c r="G1072" t="inlineStr">
        <is>
          <t>KARLSKRONA</t>
        </is>
      </c>
      <c r="I1072" t="n">
        <v>3</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62278-2022</t>
        </is>
      </c>
      <c r="B1073" t="inlineStr">
        <is>
          <t>avverkningsanmälan</t>
        </is>
      </c>
      <c r="C1073" t="inlineStr">
        <is>
          <t>Föryngringsavverkning</t>
        </is>
      </c>
      <c r="D1073" s="1" t="n">
        <v>44916</v>
      </c>
      <c r="E1073" s="1" t="n">
        <v>46216</v>
      </c>
      <c r="F1073" t="inlineStr">
        <is>
          <t>BLEKINGE LÄN</t>
        </is>
      </c>
      <c r="G1073" t="inlineStr">
        <is>
          <t>RONNEBY</t>
        </is>
      </c>
      <c r="I1073" t="n">
        <v>0.6</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17017-2025</t>
        </is>
      </c>
      <c r="B1074" t="inlineStr">
        <is>
          <t>avverkningsanmälan</t>
        </is>
      </c>
      <c r="C1074" t="inlineStr">
        <is>
          <t>Föryngringsavverkning</t>
        </is>
      </c>
      <c r="D1074" s="1" t="n">
        <v>45755</v>
      </c>
      <c r="E1074" s="1" t="n">
        <v>46216</v>
      </c>
      <c r="F1074" t="inlineStr">
        <is>
          <t>BLEKINGE LÄN</t>
        </is>
      </c>
      <c r="G1074" t="inlineStr">
        <is>
          <t>OLOFSTRÖM</t>
        </is>
      </c>
      <c r="I1074" t="n">
        <v>1.4</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5905-2026</t>
        </is>
      </c>
      <c r="B1075" t="inlineStr">
        <is>
          <t>avverkningsanmälan</t>
        </is>
      </c>
      <c r="C1075" t="inlineStr">
        <is>
          <t>Föryngringsavverkning</t>
        </is>
      </c>
      <c r="D1075" s="1" t="n">
        <v>46052</v>
      </c>
      <c r="E1075" s="1" t="n">
        <v>46216</v>
      </c>
      <c r="F1075" t="inlineStr">
        <is>
          <t>BLEKINGE LÄN</t>
        </is>
      </c>
      <c r="G1075" t="inlineStr">
        <is>
          <t>RONNEBY</t>
        </is>
      </c>
      <c r="I1075" t="n">
        <v>0.5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48751-2025</t>
        </is>
      </c>
      <c r="B1076" t="inlineStr">
        <is>
          <t>avverkningsanmälan</t>
        </is>
      </c>
      <c r="C1076" t="inlineStr">
        <is>
          <t>Föryngringsavverkning</t>
        </is>
      </c>
      <c r="D1076" s="1" t="n">
        <v>45936</v>
      </c>
      <c r="E1076" s="1" t="n">
        <v>46216</v>
      </c>
      <c r="F1076" t="inlineStr">
        <is>
          <t>BLEKINGE LÄN</t>
        </is>
      </c>
      <c r="G1076" t="inlineStr">
        <is>
          <t>SÖLVESBORG</t>
        </is>
      </c>
      <c r="I1076" t="n">
        <v>2.6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35271-2022</t>
        </is>
      </c>
      <c r="B1077" t="inlineStr">
        <is>
          <t>avverkningsanmälan</t>
        </is>
      </c>
      <c r="C1077" t="inlineStr">
        <is>
          <t>Föryngringsavverkning</t>
        </is>
      </c>
      <c r="D1077" s="1" t="n">
        <v>44797</v>
      </c>
      <c r="E1077" s="1" t="n">
        <v>46216</v>
      </c>
      <c r="F1077" t="inlineStr">
        <is>
          <t>BLEKINGE LÄN</t>
        </is>
      </c>
      <c r="G1077" t="inlineStr">
        <is>
          <t>KARLSHAMN</t>
        </is>
      </c>
      <c r="I1077" t="n">
        <v>7.9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17440-2023</t>
        </is>
      </c>
      <c r="B1078" t="inlineStr">
        <is>
          <t>avverkningsanmälan</t>
        </is>
      </c>
      <c r="C1078" t="inlineStr">
        <is>
          <t>Föryngringsavverkning</t>
        </is>
      </c>
      <c r="D1078" s="1" t="n">
        <v>45035</v>
      </c>
      <c r="E1078" s="1" t="n">
        <v>46216</v>
      </c>
      <c r="F1078" t="inlineStr">
        <is>
          <t>BLEKINGE LÄN</t>
        </is>
      </c>
      <c r="G1078" t="inlineStr">
        <is>
          <t>KARLSHAMN</t>
        </is>
      </c>
      <c r="I1078" t="n">
        <v>0.7</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58729-2023</t>
        </is>
      </c>
      <c r="B1079" t="inlineStr">
        <is>
          <t>avverkningsanmälan</t>
        </is>
      </c>
      <c r="C1079" t="inlineStr">
        <is>
          <t>Föryngringsavverkning</t>
        </is>
      </c>
      <c r="D1079" s="1" t="n">
        <v>45251</v>
      </c>
      <c r="E1079" s="1" t="n">
        <v>46216</v>
      </c>
      <c r="F1079" t="inlineStr">
        <is>
          <t>BLEKINGE LÄN</t>
        </is>
      </c>
      <c r="G1079" t="inlineStr">
        <is>
          <t>KARLSKRONA</t>
        </is>
      </c>
      <c r="I1079" t="n">
        <v>1</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6222-2026</t>
        </is>
      </c>
      <c r="B1080" t="inlineStr">
        <is>
          <t>avverkningsanmälan</t>
        </is>
      </c>
      <c r="C1080" t="inlineStr">
        <is>
          <t>Föryngringsavverkning</t>
        </is>
      </c>
      <c r="D1080" s="1" t="n">
        <v>46055</v>
      </c>
      <c r="E1080" s="1" t="n">
        <v>46216</v>
      </c>
      <c r="F1080" t="inlineStr">
        <is>
          <t>BLEKINGE LÄN</t>
        </is>
      </c>
      <c r="G1080" t="inlineStr">
        <is>
          <t>KARLSHAMN</t>
        </is>
      </c>
      <c r="I1080" t="n">
        <v>0.5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13502-2024</t>
        </is>
      </c>
      <c r="B1081" t="inlineStr">
        <is>
          <t>avverkningsanmälan</t>
        </is>
      </c>
      <c r="C1081" t="inlineStr">
        <is>
          <t>Föryngringsavverkning</t>
        </is>
      </c>
      <c r="D1081" s="1" t="n">
        <v>45387</v>
      </c>
      <c r="E1081" s="1" t="n">
        <v>46216</v>
      </c>
      <c r="F1081" t="inlineStr">
        <is>
          <t>BLEKINGE LÄN</t>
        </is>
      </c>
      <c r="G1081" t="inlineStr">
        <is>
          <t>RONNEBY</t>
        </is>
      </c>
      <c r="I1081" t="n">
        <v>2.4</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73356-2021</t>
        </is>
      </c>
      <c r="B1082" t="inlineStr">
        <is>
          <t>avverkningsanmälan</t>
        </is>
      </c>
      <c r="C1082" t="inlineStr">
        <is>
          <t>Föryngringsavverkning</t>
        </is>
      </c>
      <c r="D1082" s="1" t="n">
        <v>44551</v>
      </c>
      <c r="E1082" s="1" t="n">
        <v>46216</v>
      </c>
      <c r="F1082" t="inlineStr">
        <is>
          <t>BLEKINGE LÄN</t>
        </is>
      </c>
      <c r="G1082" t="inlineStr">
        <is>
          <t>KARLSKRONA</t>
        </is>
      </c>
      <c r="I1082" t="n">
        <v>4.4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15208-2025</t>
        </is>
      </c>
      <c r="B1083" t="inlineStr">
        <is>
          <t>avverkningsanmälan</t>
        </is>
      </c>
      <c r="C1083" t="inlineStr">
        <is>
          <t>Föryngringsavverkning</t>
        </is>
      </c>
      <c r="D1083" s="1" t="n">
        <v>45744</v>
      </c>
      <c r="E1083" s="1" t="n">
        <v>46216</v>
      </c>
      <c r="F1083" t="inlineStr">
        <is>
          <t>BLEKINGE LÄN</t>
        </is>
      </c>
      <c r="G1083" t="inlineStr">
        <is>
          <t>KARLSHAMN</t>
        </is>
      </c>
      <c r="I1083" t="n">
        <v>0.9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56139-2025</t>
        </is>
      </c>
      <c r="B1084" t="inlineStr">
        <is>
          <t>avverkningsanmälan</t>
        </is>
      </c>
      <c r="C1084" t="inlineStr">
        <is>
          <t>Föryngringsavverkning</t>
        </is>
      </c>
      <c r="D1084" s="1" t="n">
        <v>45974</v>
      </c>
      <c r="E1084" s="1" t="n">
        <v>46216</v>
      </c>
      <c r="F1084" t="inlineStr">
        <is>
          <t>BLEKINGE LÄN</t>
        </is>
      </c>
      <c r="G1084" t="inlineStr">
        <is>
          <t>RONNEBY</t>
        </is>
      </c>
      <c r="I1084" t="n">
        <v>0.7</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56678-2025</t>
        </is>
      </c>
      <c r="B1085" t="inlineStr">
        <is>
          <t>avverkningsanmälan</t>
        </is>
      </c>
      <c r="C1085" t="inlineStr">
        <is>
          <t>Föryngringsavverkning</t>
        </is>
      </c>
      <c r="D1085" s="1" t="n">
        <v>45975</v>
      </c>
      <c r="E1085" s="1" t="n">
        <v>46216</v>
      </c>
      <c r="F1085" t="inlineStr">
        <is>
          <t>BLEKINGE LÄN</t>
        </is>
      </c>
      <c r="G1085" t="inlineStr">
        <is>
          <t>OLOFSTRÖM</t>
        </is>
      </c>
      <c r="I1085" t="n">
        <v>0.6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2200-2025</t>
        </is>
      </c>
      <c r="B1086" t="inlineStr">
        <is>
          <t>avverkningsanmälan</t>
        </is>
      </c>
      <c r="C1086" t="inlineStr">
        <is>
          <t>Föryngringsavverkning</t>
        </is>
      </c>
      <c r="D1086" s="1" t="n">
        <v>45673</v>
      </c>
      <c r="E1086" s="1" t="n">
        <v>46216</v>
      </c>
      <c r="F1086" t="inlineStr">
        <is>
          <t>BLEKINGE LÄN</t>
        </is>
      </c>
      <c r="G1086" t="inlineStr">
        <is>
          <t>SÖLVESBORG</t>
        </is>
      </c>
      <c r="I1086" t="n">
        <v>0.5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2210-2025</t>
        </is>
      </c>
      <c r="B1087" t="inlineStr">
        <is>
          <t>avverkningsanmälan</t>
        </is>
      </c>
      <c r="C1087" t="inlineStr">
        <is>
          <t>Föryngringsavverkning</t>
        </is>
      </c>
      <c r="D1087" s="1" t="n">
        <v>45673</v>
      </c>
      <c r="E1087" s="1" t="n">
        <v>46216</v>
      </c>
      <c r="F1087" t="inlineStr">
        <is>
          <t>BLEKINGE LÄN</t>
        </is>
      </c>
      <c r="G1087" t="inlineStr">
        <is>
          <t>SÖLVESBORG</t>
        </is>
      </c>
      <c r="I1087" t="n">
        <v>1.8</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8041-2025</t>
        </is>
      </c>
      <c r="B1088" t="inlineStr">
        <is>
          <t>avverkningsanmälan</t>
        </is>
      </c>
      <c r="C1088" t="inlineStr">
        <is>
          <t>Föryngringsavverkning</t>
        </is>
      </c>
      <c r="D1088" s="1" t="n">
        <v>45707</v>
      </c>
      <c r="E1088" s="1" t="n">
        <v>46216</v>
      </c>
      <c r="F1088" t="inlineStr">
        <is>
          <t>BLEKINGE LÄN</t>
        </is>
      </c>
      <c r="G1088" t="inlineStr">
        <is>
          <t>OLOFSTRÖM</t>
        </is>
      </c>
      <c r="I1088" t="n">
        <v>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8060-2025</t>
        </is>
      </c>
      <c r="B1089" t="inlineStr">
        <is>
          <t>avverkningsanmälan</t>
        </is>
      </c>
      <c r="C1089" t="inlineStr">
        <is>
          <t>Föryngringsavverkning</t>
        </is>
      </c>
      <c r="D1089" s="1" t="n">
        <v>45707</v>
      </c>
      <c r="E1089" s="1" t="n">
        <v>46216</v>
      </c>
      <c r="F1089" t="inlineStr">
        <is>
          <t>BLEKINGE LÄN</t>
        </is>
      </c>
      <c r="G1089" t="inlineStr">
        <is>
          <t>OLOFSTRÖM</t>
        </is>
      </c>
      <c r="I1089" t="n">
        <v>1.3</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56681-2025</t>
        </is>
      </c>
      <c r="B1090" t="inlineStr">
        <is>
          <t>avverkningsanmälan</t>
        </is>
      </c>
      <c r="C1090" t="inlineStr">
        <is>
          <t>Föryngringsavverkning</t>
        </is>
      </c>
      <c r="D1090" s="1" t="n">
        <v>45975</v>
      </c>
      <c r="E1090" s="1" t="n">
        <v>46216</v>
      </c>
      <c r="F1090" t="inlineStr">
        <is>
          <t>BLEKINGE LÄN</t>
        </is>
      </c>
      <c r="G1090" t="inlineStr">
        <is>
          <t>RONNEBY</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56756-2025</t>
        </is>
      </c>
      <c r="B1091" t="inlineStr">
        <is>
          <t>avverkningsanmälan</t>
        </is>
      </c>
      <c r="C1091" t="inlineStr">
        <is>
          <t>Föryngringsavverkning</t>
        </is>
      </c>
      <c r="D1091" s="1" t="n">
        <v>45978</v>
      </c>
      <c r="E1091" s="1" t="n">
        <v>46216</v>
      </c>
      <c r="F1091" t="inlineStr">
        <is>
          <t>BLEKINGE LÄN</t>
        </is>
      </c>
      <c r="G1091" t="inlineStr">
        <is>
          <t>KARLSKRONA</t>
        </is>
      </c>
      <c r="I1091" t="n">
        <v>3.1</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56976-2025</t>
        </is>
      </c>
      <c r="B1092" t="inlineStr">
        <is>
          <t>avverkningsanmälan</t>
        </is>
      </c>
      <c r="C1092" t="inlineStr">
        <is>
          <t>Föryngringsavverkning</t>
        </is>
      </c>
      <c r="D1092" s="1" t="n">
        <v>45978</v>
      </c>
      <c r="E1092" s="1" t="n">
        <v>46216</v>
      </c>
      <c r="F1092" t="inlineStr">
        <is>
          <t>BLEKINGE LÄN</t>
        </is>
      </c>
      <c r="G1092" t="inlineStr">
        <is>
          <t>RONNEBY</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57996-2024</t>
        </is>
      </c>
      <c r="B1093" t="inlineStr">
        <is>
          <t>avverkningsanmälan</t>
        </is>
      </c>
      <c r="C1093" t="inlineStr">
        <is>
          <t>Avverkning för annat ändamål</t>
        </is>
      </c>
      <c r="D1093" s="1" t="n">
        <v>45631</v>
      </c>
      <c r="E1093" s="1" t="n">
        <v>46216</v>
      </c>
      <c r="F1093" t="inlineStr">
        <is>
          <t>BLEKINGE LÄN</t>
        </is>
      </c>
      <c r="G1093" t="inlineStr">
        <is>
          <t>KARLSKRONA</t>
        </is>
      </c>
      <c r="I1093" t="n">
        <v>5.2</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5651-2024</t>
        </is>
      </c>
      <c r="B1094" t="inlineStr">
        <is>
          <t>avverkningsanmälan</t>
        </is>
      </c>
      <c r="C1094" t="inlineStr">
        <is>
          <t>Föryngringsavverkning</t>
        </is>
      </c>
      <c r="D1094" s="1" t="n">
        <v>45334</v>
      </c>
      <c r="E1094" s="1" t="n">
        <v>46216</v>
      </c>
      <c r="F1094" t="inlineStr">
        <is>
          <t>BLEKINGE LÄN</t>
        </is>
      </c>
      <c r="G1094" t="inlineStr">
        <is>
          <t>KARLSKRONA</t>
        </is>
      </c>
      <c r="I1094" t="n">
        <v>2.2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6881-2026</t>
        </is>
      </c>
      <c r="B1095" t="inlineStr">
        <is>
          <t>avverkningsanmälan</t>
        </is>
      </c>
      <c r="C1095" t="inlineStr">
        <is>
          <t>Föryngringsavverkning</t>
        </is>
      </c>
      <c r="D1095" s="1" t="n">
        <v>46057</v>
      </c>
      <c r="E1095" s="1" t="n">
        <v>46216</v>
      </c>
      <c r="F1095" t="inlineStr">
        <is>
          <t>BLEKINGE LÄN</t>
        </is>
      </c>
      <c r="G1095" t="inlineStr">
        <is>
          <t>KARLSHAMN</t>
        </is>
      </c>
      <c r="I1095" t="n">
        <v>2.4</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9281-2024</t>
        </is>
      </c>
      <c r="B1096" t="inlineStr">
        <is>
          <t>avverkningsanmälan</t>
        </is>
      </c>
      <c r="C1096" t="inlineStr">
        <is>
          <t>Föryngringsavverkning</t>
        </is>
      </c>
      <c r="D1096" s="1" t="n">
        <v>45358</v>
      </c>
      <c r="E1096" s="1" t="n">
        <v>46216</v>
      </c>
      <c r="F1096" t="inlineStr">
        <is>
          <t>BLEKINGE LÄN</t>
        </is>
      </c>
      <c r="G1096" t="inlineStr">
        <is>
          <t>KARLSKRONA</t>
        </is>
      </c>
      <c r="I1096" t="n">
        <v>1.3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31413-2024</t>
        </is>
      </c>
      <c r="B1097" t="inlineStr">
        <is>
          <t>avverkningsanmälan</t>
        </is>
      </c>
      <c r="C1097" t="inlineStr">
        <is>
          <t>Föryngringsavverkning</t>
        </is>
      </c>
      <c r="D1097" s="1" t="n">
        <v>45505</v>
      </c>
      <c r="E1097" s="1" t="n">
        <v>46216</v>
      </c>
      <c r="F1097" t="inlineStr">
        <is>
          <t>BLEKINGE LÄN</t>
        </is>
      </c>
      <c r="G1097" t="inlineStr">
        <is>
          <t>RONNEBY</t>
        </is>
      </c>
      <c r="H1097" t="inlineStr">
        <is>
          <t>Kommuner</t>
        </is>
      </c>
      <c r="I1097" t="n">
        <v>2.7</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33854-2023</t>
        </is>
      </c>
      <c r="B1098" t="inlineStr">
        <is>
          <t>avverkningsanmälan</t>
        </is>
      </c>
      <c r="C1098" t="inlineStr">
        <is>
          <t>Föryngringsavverkning</t>
        </is>
      </c>
      <c r="D1098" s="1" t="n">
        <v>45133</v>
      </c>
      <c r="E1098" s="1" t="n">
        <v>46216</v>
      </c>
      <c r="F1098" t="inlineStr">
        <is>
          <t>BLEKINGE LÄN</t>
        </is>
      </c>
      <c r="G1098" t="inlineStr">
        <is>
          <t>KARLSKRONA</t>
        </is>
      </c>
      <c r="I1098" t="n">
        <v>1.8</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26572-2023</t>
        </is>
      </c>
      <c r="B1099" t="inlineStr">
        <is>
          <t>avverkningsanmälan</t>
        </is>
      </c>
      <c r="C1099" t="inlineStr">
        <is>
          <t>Föryngringsavverkning</t>
        </is>
      </c>
      <c r="D1099" s="1" t="n">
        <v>45092</v>
      </c>
      <c r="E1099" s="1" t="n">
        <v>46216</v>
      </c>
      <c r="F1099" t="inlineStr">
        <is>
          <t>BLEKINGE LÄN</t>
        </is>
      </c>
      <c r="G1099" t="inlineStr">
        <is>
          <t>KARLSKRONA</t>
        </is>
      </c>
      <c r="I1099" t="n">
        <v>1.8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53552-2022</t>
        </is>
      </c>
      <c r="B1100" t="inlineStr">
        <is>
          <t>avverkningsanmälan</t>
        </is>
      </c>
      <c r="C1100" t="inlineStr">
        <is>
          <t>Föryngringsavverkning</t>
        </is>
      </c>
      <c r="D1100" s="1" t="n">
        <v>44874</v>
      </c>
      <c r="E1100" s="1" t="n">
        <v>46216</v>
      </c>
      <c r="F1100" t="inlineStr">
        <is>
          <t>BLEKINGE LÄN</t>
        </is>
      </c>
      <c r="G1100" t="inlineStr">
        <is>
          <t>KARLSKRONA</t>
        </is>
      </c>
      <c r="I1100" t="n">
        <v>1.5</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56977-2025</t>
        </is>
      </c>
      <c r="B1101" t="inlineStr">
        <is>
          <t>avverkningsanmälan</t>
        </is>
      </c>
      <c r="C1101" t="inlineStr">
        <is>
          <t>Föryngringsavverkning</t>
        </is>
      </c>
      <c r="D1101" s="1" t="n">
        <v>45978</v>
      </c>
      <c r="E1101" s="1" t="n">
        <v>46216</v>
      </c>
      <c r="F1101" t="inlineStr">
        <is>
          <t>BLEKINGE LÄN</t>
        </is>
      </c>
      <c r="G1101" t="inlineStr">
        <is>
          <t>RONNEBY</t>
        </is>
      </c>
      <c r="I1101" t="n">
        <v>0</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57796-2022</t>
        </is>
      </c>
      <c r="B1102" t="inlineStr">
        <is>
          <t>avverkningsanmälan</t>
        </is>
      </c>
      <c r="C1102" t="inlineStr">
        <is>
          <t>Föryngringsavverkning</t>
        </is>
      </c>
      <c r="D1102" s="1" t="n">
        <v>44897</v>
      </c>
      <c r="E1102" s="1" t="n">
        <v>46216</v>
      </c>
      <c r="F1102" t="inlineStr">
        <is>
          <t>BLEKINGE LÄN</t>
        </is>
      </c>
      <c r="G1102" t="inlineStr">
        <is>
          <t>KARLSHAMN</t>
        </is>
      </c>
      <c r="I1102" t="n">
        <v>0.9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6602-2026</t>
        </is>
      </c>
      <c r="B1103" t="inlineStr">
        <is>
          <t>avverkningsanmälan</t>
        </is>
      </c>
      <c r="C1103" t="inlineStr">
        <is>
          <t>Föryngringsavverkning</t>
        </is>
      </c>
      <c r="D1103" s="1" t="n">
        <v>46056</v>
      </c>
      <c r="E1103" s="1" t="n">
        <v>46216</v>
      </c>
      <c r="F1103" t="inlineStr">
        <is>
          <t>BLEKINGE LÄN</t>
        </is>
      </c>
      <c r="G1103" t="inlineStr">
        <is>
          <t>KARLSKRONA</t>
        </is>
      </c>
      <c r="I1103" t="n">
        <v>3.1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6748-2026</t>
        </is>
      </c>
      <c r="B1104" t="inlineStr">
        <is>
          <t>avverkningsanmälan</t>
        </is>
      </c>
      <c r="C1104" t="inlineStr">
        <is>
          <t>Föryngringsavverkning</t>
        </is>
      </c>
      <c r="D1104" s="1" t="n">
        <v>46056</v>
      </c>
      <c r="E1104" s="1" t="n">
        <v>46216</v>
      </c>
      <c r="F1104" t="inlineStr">
        <is>
          <t>BLEKINGE LÄN</t>
        </is>
      </c>
      <c r="G1104" t="inlineStr">
        <is>
          <t>OLOFSTRÖM</t>
        </is>
      </c>
      <c r="I1104" t="n">
        <v>0.8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61802-2023</t>
        </is>
      </c>
      <c r="B1105" t="inlineStr">
        <is>
          <t>avverkningsanmälan</t>
        </is>
      </c>
      <c r="C1105" t="inlineStr">
        <is>
          <t>Föryngringsavverkning</t>
        </is>
      </c>
      <c r="D1105" s="1" t="n">
        <v>45265</v>
      </c>
      <c r="E1105" s="1" t="n">
        <v>46216</v>
      </c>
      <c r="F1105" t="inlineStr">
        <is>
          <t>BLEKINGE LÄN</t>
        </is>
      </c>
      <c r="G1105" t="inlineStr">
        <is>
          <t>OLOFSTRÖM</t>
        </is>
      </c>
      <c r="I1105" t="n">
        <v>3.2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61840-2023</t>
        </is>
      </c>
      <c r="B1106" t="inlineStr">
        <is>
          <t>avverkningsanmälan</t>
        </is>
      </c>
      <c r="C1106" t="inlineStr">
        <is>
          <t>Föryngringsavverkning</t>
        </is>
      </c>
      <c r="D1106" s="1" t="n">
        <v>45266</v>
      </c>
      <c r="E1106" s="1" t="n">
        <v>46216</v>
      </c>
      <c r="F1106" t="inlineStr">
        <is>
          <t>BLEKINGE LÄN</t>
        </is>
      </c>
      <c r="G1106" t="inlineStr">
        <is>
          <t>RONNEBY</t>
        </is>
      </c>
      <c r="H1106" t="inlineStr">
        <is>
          <t>Övriga Aktiebolag</t>
        </is>
      </c>
      <c r="I1106" t="n">
        <v>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51370-2023</t>
        </is>
      </c>
      <c r="B1107" t="inlineStr">
        <is>
          <t>avverkningsanmälan</t>
        </is>
      </c>
      <c r="C1107" t="inlineStr">
        <is>
          <t>Föryngringsavverkning</t>
        </is>
      </c>
      <c r="D1107" s="1" t="n">
        <v>45219</v>
      </c>
      <c r="E1107" s="1" t="n">
        <v>46216</v>
      </c>
      <c r="F1107" t="inlineStr">
        <is>
          <t>BLEKINGE LÄN</t>
        </is>
      </c>
      <c r="G1107" t="inlineStr">
        <is>
          <t>KARLSHAMN</t>
        </is>
      </c>
      <c r="I1107" t="n">
        <v>0.4</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7508-2026</t>
        </is>
      </c>
      <c r="B1108" t="inlineStr">
        <is>
          <t>avverkningsanmälan</t>
        </is>
      </c>
      <c r="C1108" t="inlineStr">
        <is>
          <t>Föryngringsavverkning</t>
        </is>
      </c>
      <c r="D1108" s="1" t="n">
        <v>46059</v>
      </c>
      <c r="E1108" s="1" t="n">
        <v>46216</v>
      </c>
      <c r="F1108" t="inlineStr">
        <is>
          <t>BLEKINGE LÄN</t>
        </is>
      </c>
      <c r="G1108" t="inlineStr">
        <is>
          <t>RONNEBY</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7516-2026</t>
        </is>
      </c>
      <c r="B1109" t="inlineStr">
        <is>
          <t>avverkningsanmälan</t>
        </is>
      </c>
      <c r="C1109" t="inlineStr">
        <is>
          <t>Föryngringsavverkning</t>
        </is>
      </c>
      <c r="D1109" s="1" t="n">
        <v>46059</v>
      </c>
      <c r="E1109" s="1" t="n">
        <v>46216</v>
      </c>
      <c r="F1109" t="inlineStr">
        <is>
          <t>BLEKINGE LÄN</t>
        </is>
      </c>
      <c r="G1109" t="inlineStr">
        <is>
          <t>RONNEBY</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54065-2024</t>
        </is>
      </c>
      <c r="B1110" t="inlineStr">
        <is>
          <t>avverkningsanmälan</t>
        </is>
      </c>
      <c r="C1110" t="inlineStr">
        <is>
          <t>Avverkning för att bevara och utveckla /försöksver</t>
        </is>
      </c>
      <c r="D1110" s="1" t="n">
        <v>45616</v>
      </c>
      <c r="E1110" s="1" t="n">
        <v>46216</v>
      </c>
      <c r="F1110" t="inlineStr">
        <is>
          <t>BLEKINGE LÄN</t>
        </is>
      </c>
      <c r="G1110" t="inlineStr">
        <is>
          <t>RONNEBY</t>
        </is>
      </c>
      <c r="H1110" t="inlineStr">
        <is>
          <t>Kommuner</t>
        </is>
      </c>
      <c r="I1110" t="n">
        <v>2.2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19841-2023</t>
        </is>
      </c>
      <c r="B1111" t="inlineStr">
        <is>
          <t>avverkningsanmälan</t>
        </is>
      </c>
      <c r="C1111" t="inlineStr">
        <is>
          <t>Föryngringsavverkning</t>
        </is>
      </c>
      <c r="D1111" s="1" t="n">
        <v>45053</v>
      </c>
      <c r="E1111" s="1" t="n">
        <v>46216</v>
      </c>
      <c r="F1111" t="inlineStr">
        <is>
          <t>BLEKINGE LÄN</t>
        </is>
      </c>
      <c r="G1111" t="inlineStr">
        <is>
          <t>RONNEBY</t>
        </is>
      </c>
      <c r="I1111" t="n">
        <v>0.5</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57710-2025</t>
        </is>
      </c>
      <c r="B1112" t="inlineStr">
        <is>
          <t>avverkningsanmälan</t>
        </is>
      </c>
      <c r="C1112" t="inlineStr">
        <is>
          <t>Föryngringsavverkning</t>
        </is>
      </c>
      <c r="D1112" s="1" t="n">
        <v>45981</v>
      </c>
      <c r="E1112" s="1" t="n">
        <v>46216</v>
      </c>
      <c r="F1112" t="inlineStr">
        <is>
          <t>BLEKINGE LÄN</t>
        </is>
      </c>
      <c r="G1112" t="inlineStr">
        <is>
          <t>KARLSKRONA</t>
        </is>
      </c>
      <c r="I1112" t="n">
        <v>2.5</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57842-2025</t>
        </is>
      </c>
      <c r="B1113" t="inlineStr">
        <is>
          <t>avverkningsanmälan</t>
        </is>
      </c>
      <c r="C1113" t="inlineStr">
        <is>
          <t>Föryngringsavverkning</t>
        </is>
      </c>
      <c r="D1113" s="1" t="n">
        <v>45981</v>
      </c>
      <c r="E1113" s="1" t="n">
        <v>46216</v>
      </c>
      <c r="F1113" t="inlineStr">
        <is>
          <t>BLEKINGE LÄN</t>
        </is>
      </c>
      <c r="G1113" t="inlineStr">
        <is>
          <t>KARLSHAMN</t>
        </is>
      </c>
      <c r="I1113" t="n">
        <v>1.6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57738-2025</t>
        </is>
      </c>
      <c r="B1114" t="inlineStr">
        <is>
          <t>avverkningsanmälan</t>
        </is>
      </c>
      <c r="C1114" t="inlineStr">
        <is>
          <t>Föryngringsavverkning</t>
        </is>
      </c>
      <c r="D1114" s="1" t="n">
        <v>45981</v>
      </c>
      <c r="E1114" s="1" t="n">
        <v>46216</v>
      </c>
      <c r="F1114" t="inlineStr">
        <is>
          <t>BLEKINGE LÄN</t>
        </is>
      </c>
      <c r="G1114" t="inlineStr">
        <is>
          <t>RONNEBY</t>
        </is>
      </c>
      <c r="I1114" t="n">
        <v>1.4</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57826-2025</t>
        </is>
      </c>
      <c r="B1115" t="inlineStr">
        <is>
          <t>avverkningsanmälan</t>
        </is>
      </c>
      <c r="C1115" t="inlineStr">
        <is>
          <t>Föryngringsavverkning</t>
        </is>
      </c>
      <c r="D1115" s="1" t="n">
        <v>45981</v>
      </c>
      <c r="E1115" s="1" t="n">
        <v>46216</v>
      </c>
      <c r="F1115" t="inlineStr">
        <is>
          <t>BLEKINGE LÄN</t>
        </is>
      </c>
      <c r="G1115" t="inlineStr">
        <is>
          <t>KARLSHAMN</t>
        </is>
      </c>
      <c r="I1115" t="n">
        <v>3.6</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42430-2023</t>
        </is>
      </c>
      <c r="B1116" t="inlineStr">
        <is>
          <t>avverkningsanmälan</t>
        </is>
      </c>
      <c r="C1116" t="inlineStr">
        <is>
          <t>Föryngringsavverkning</t>
        </is>
      </c>
      <c r="D1116" s="1" t="n">
        <v>45180</v>
      </c>
      <c r="E1116" s="1" t="n">
        <v>46216</v>
      </c>
      <c r="F1116" t="inlineStr">
        <is>
          <t>BLEKINGE LÄN</t>
        </is>
      </c>
      <c r="G1116" t="inlineStr">
        <is>
          <t>KARLSKRONA</t>
        </is>
      </c>
      <c r="I1116" t="n">
        <v>0.8</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39236-2023</t>
        </is>
      </c>
      <c r="B1117" t="inlineStr">
        <is>
          <t>avverkningsanmälan</t>
        </is>
      </c>
      <c r="C1117" t="inlineStr">
        <is>
          <t>Föryngringsavverkning</t>
        </is>
      </c>
      <c r="D1117" s="1" t="n">
        <v>45166</v>
      </c>
      <c r="E1117" s="1" t="n">
        <v>46216</v>
      </c>
      <c r="F1117" t="inlineStr">
        <is>
          <t>BLEKINGE LÄN</t>
        </is>
      </c>
      <c r="G1117" t="inlineStr">
        <is>
          <t>KARLSKRONA</t>
        </is>
      </c>
      <c r="I1117" t="n">
        <v>1.9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39273-2023</t>
        </is>
      </c>
      <c r="B1118" t="inlineStr">
        <is>
          <t>avverkningsanmälan</t>
        </is>
      </c>
      <c r="C1118" t="inlineStr">
        <is>
          <t>Föryngringsavverkning</t>
        </is>
      </c>
      <c r="D1118" s="1" t="n">
        <v>45166</v>
      </c>
      <c r="E1118" s="1" t="n">
        <v>46216</v>
      </c>
      <c r="F1118" t="inlineStr">
        <is>
          <t>BLEKINGE LÄN</t>
        </is>
      </c>
      <c r="G1118" t="inlineStr">
        <is>
          <t>KARLSKRONA</t>
        </is>
      </c>
      <c r="I1118" t="n">
        <v>3.8</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49093-2023</t>
        </is>
      </c>
      <c r="B1119" t="inlineStr">
        <is>
          <t>avverkningsanmälan</t>
        </is>
      </c>
      <c r="C1119" t="inlineStr">
        <is>
          <t>Föryngringsavverkning</t>
        </is>
      </c>
      <c r="D1119" s="1" t="n">
        <v>45210</v>
      </c>
      <c r="E1119" s="1" t="n">
        <v>46216</v>
      </c>
      <c r="F1119" t="inlineStr">
        <is>
          <t>BLEKINGE LÄN</t>
        </is>
      </c>
      <c r="G1119" t="inlineStr">
        <is>
          <t>KARLSKRONA</t>
        </is>
      </c>
      <c r="I1119" t="n">
        <v>2</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19438-2024</t>
        </is>
      </c>
      <c r="B1120" t="inlineStr">
        <is>
          <t>avverkningsanmälan</t>
        </is>
      </c>
      <c r="C1120" t="inlineStr">
        <is>
          <t>Föryngringsavverkning</t>
        </is>
      </c>
      <c r="D1120" s="1" t="n">
        <v>45429</v>
      </c>
      <c r="E1120" s="1" t="n">
        <v>46216</v>
      </c>
      <c r="F1120" t="inlineStr">
        <is>
          <t>BLEKINGE LÄN</t>
        </is>
      </c>
      <c r="G1120" t="inlineStr">
        <is>
          <t>RONNEBY</t>
        </is>
      </c>
      <c r="I1120" t="n">
        <v>1.4</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21024-2024</t>
        </is>
      </c>
      <c r="B1121" t="inlineStr">
        <is>
          <t>avverkningsanmälan</t>
        </is>
      </c>
      <c r="C1121" t="inlineStr">
        <is>
          <t>Föryngringsavverkning</t>
        </is>
      </c>
      <c r="D1121" s="1" t="n">
        <v>45439</v>
      </c>
      <c r="E1121" s="1" t="n">
        <v>46216</v>
      </c>
      <c r="F1121" t="inlineStr">
        <is>
          <t>BLEKINGE LÄN</t>
        </is>
      </c>
      <c r="G1121" t="inlineStr">
        <is>
          <t>KARLSHAMN</t>
        </is>
      </c>
      <c r="I1121" t="n">
        <v>0.4</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36302-2023</t>
        </is>
      </c>
      <c r="B1122" t="inlineStr">
        <is>
          <t>avverkningsanmälan</t>
        </is>
      </c>
      <c r="C1122" t="inlineStr">
        <is>
          <t>Föryngringsavverkning</t>
        </is>
      </c>
      <c r="D1122" s="1" t="n">
        <v>45152</v>
      </c>
      <c r="E1122" s="1" t="n">
        <v>46216</v>
      </c>
      <c r="F1122" t="inlineStr">
        <is>
          <t>BLEKINGE LÄN</t>
        </is>
      </c>
      <c r="G1122" t="inlineStr">
        <is>
          <t>KARLSHAMN</t>
        </is>
      </c>
      <c r="I1122" t="n">
        <v>8.4</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61679-2024</t>
        </is>
      </c>
      <c r="B1123" t="inlineStr">
        <is>
          <t>avverkningsanmälan</t>
        </is>
      </c>
      <c r="C1123" t="inlineStr">
        <is>
          <t>Föryngringsavverkning</t>
        </is>
      </c>
      <c r="D1123" s="1" t="n">
        <v>45647</v>
      </c>
      <c r="E1123" s="1" t="n">
        <v>46216</v>
      </c>
      <c r="F1123" t="inlineStr">
        <is>
          <t>BLEKINGE LÄN</t>
        </is>
      </c>
      <c r="G1123" t="inlineStr">
        <is>
          <t>KARLSKRONA</t>
        </is>
      </c>
      <c r="I1123" t="n">
        <v>20.2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20585-2025</t>
        </is>
      </c>
      <c r="B1124" t="inlineStr">
        <is>
          <t>avverkningsanmälan</t>
        </is>
      </c>
      <c r="C1124" t="inlineStr">
        <is>
          <t>Föryngringsavverkning</t>
        </is>
      </c>
      <c r="D1124" s="1" t="n">
        <v>45775</v>
      </c>
      <c r="E1124" s="1" t="n">
        <v>46216</v>
      </c>
      <c r="F1124" t="inlineStr">
        <is>
          <t>BLEKINGE LÄN</t>
        </is>
      </c>
      <c r="G1124" t="inlineStr">
        <is>
          <t>RONNEBY</t>
        </is>
      </c>
      <c r="I1124" t="n">
        <v>5.4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17552-2024</t>
        </is>
      </c>
      <c r="B1125" t="inlineStr">
        <is>
          <t>avverkningsanmälan</t>
        </is>
      </c>
      <c r="C1125" t="inlineStr">
        <is>
          <t>Föryngringsavverkning</t>
        </is>
      </c>
      <c r="D1125" s="1" t="n">
        <v>45415</v>
      </c>
      <c r="E1125" s="1" t="n">
        <v>46216</v>
      </c>
      <c r="F1125" t="inlineStr">
        <is>
          <t>BLEKINGE LÄN</t>
        </is>
      </c>
      <c r="G1125" t="inlineStr">
        <is>
          <t>KARLSKRONA</t>
        </is>
      </c>
      <c r="I1125" t="n">
        <v>1.1</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10717-2022</t>
        </is>
      </c>
      <c r="B1126" t="inlineStr">
        <is>
          <t>avverkningsanmälan</t>
        </is>
      </c>
      <c r="C1126" t="inlineStr">
        <is>
          <t>Avverkning för annat ändamål</t>
        </is>
      </c>
      <c r="D1126" s="1" t="n">
        <v>44626</v>
      </c>
      <c r="E1126" s="1" t="n">
        <v>46216</v>
      </c>
      <c r="F1126" t="inlineStr">
        <is>
          <t>BLEKINGE LÄN</t>
        </is>
      </c>
      <c r="G1126" t="inlineStr">
        <is>
          <t>OLOFSTRÖM</t>
        </is>
      </c>
      <c r="I1126" t="n">
        <v>3.9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49833-2024</t>
        </is>
      </c>
      <c r="B1127" t="inlineStr">
        <is>
          <t>avverkningsanmälan</t>
        </is>
      </c>
      <c r="C1127" t="inlineStr">
        <is>
          <t>Föryngringsavverkning</t>
        </is>
      </c>
      <c r="D1127" s="1" t="n">
        <v>45597</v>
      </c>
      <c r="E1127" s="1" t="n">
        <v>46216</v>
      </c>
      <c r="F1127" t="inlineStr">
        <is>
          <t>BLEKINGE LÄN</t>
        </is>
      </c>
      <c r="G1127" t="inlineStr">
        <is>
          <t>RONNEBY</t>
        </is>
      </c>
      <c r="I1127" t="n">
        <v>0.7</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26277-2023</t>
        </is>
      </c>
      <c r="B1128" t="inlineStr">
        <is>
          <t>avverkningsanmälan</t>
        </is>
      </c>
      <c r="C1128" t="inlineStr">
        <is>
          <t>Föryngringsavverkning</t>
        </is>
      </c>
      <c r="D1128" s="1" t="n">
        <v>45091</v>
      </c>
      <c r="E1128" s="1" t="n">
        <v>46216</v>
      </c>
      <c r="F1128" t="inlineStr">
        <is>
          <t>BLEKINGE LÄN</t>
        </is>
      </c>
      <c r="G1128" t="inlineStr">
        <is>
          <t>KARLSKRONA</t>
        </is>
      </c>
      <c r="I1128" t="n">
        <v>2.9</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37430-2023</t>
        </is>
      </c>
      <c r="B1129" t="inlineStr">
        <is>
          <t>avverkningsanmälan</t>
        </is>
      </c>
      <c r="C1129" t="inlineStr">
        <is>
          <t>Föryngringsavverkning</t>
        </is>
      </c>
      <c r="D1129" s="1" t="n">
        <v>45156</v>
      </c>
      <c r="E1129" s="1" t="n">
        <v>46216</v>
      </c>
      <c r="F1129" t="inlineStr">
        <is>
          <t>BLEKINGE LÄN</t>
        </is>
      </c>
      <c r="G1129" t="inlineStr">
        <is>
          <t>KARLSKRONA</t>
        </is>
      </c>
      <c r="I1129" t="n">
        <v>1.6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58648-2025</t>
        </is>
      </c>
      <c r="B1130" t="inlineStr">
        <is>
          <t>avverkningsanmälan</t>
        </is>
      </c>
      <c r="C1130" t="inlineStr">
        <is>
          <t>Avverkning för annat ändamål</t>
        </is>
      </c>
      <c r="D1130" s="1" t="n">
        <v>45986</v>
      </c>
      <c r="E1130" s="1" t="n">
        <v>46216</v>
      </c>
      <c r="F1130" t="inlineStr">
        <is>
          <t>BLEKINGE LÄN</t>
        </is>
      </c>
      <c r="G1130" t="inlineStr">
        <is>
          <t>RONNEBY</t>
        </is>
      </c>
      <c r="I1130" t="n">
        <v>0.8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58652-2025</t>
        </is>
      </c>
      <c r="B1131" t="inlineStr">
        <is>
          <t>avverkningsanmälan</t>
        </is>
      </c>
      <c r="C1131" t="inlineStr">
        <is>
          <t>Föryngringsavverkning</t>
        </is>
      </c>
      <c r="D1131" s="1" t="n">
        <v>45986</v>
      </c>
      <c r="E1131" s="1" t="n">
        <v>46216</v>
      </c>
      <c r="F1131" t="inlineStr">
        <is>
          <t>BLEKINGE LÄN</t>
        </is>
      </c>
      <c r="G1131" t="inlineStr">
        <is>
          <t>RONNEBY</t>
        </is>
      </c>
      <c r="I1131" t="n">
        <v>11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37454-2024</t>
        </is>
      </c>
      <c r="B1132" t="inlineStr">
        <is>
          <t>avverkningsanmälan</t>
        </is>
      </c>
      <c r="C1132" t="inlineStr">
        <is>
          <t>Föryngringsavverkning</t>
        </is>
      </c>
      <c r="D1132" s="1" t="n">
        <v>45540</v>
      </c>
      <c r="E1132" s="1" t="n">
        <v>46216</v>
      </c>
      <c r="F1132" t="inlineStr">
        <is>
          <t>BLEKINGE LÄN</t>
        </is>
      </c>
      <c r="G1132" t="inlineStr">
        <is>
          <t>KARLSHAMN</t>
        </is>
      </c>
      <c r="I1132" t="n">
        <v>2.3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58753-2025</t>
        </is>
      </c>
      <c r="B1133" t="inlineStr">
        <is>
          <t>avverkningsanmälan</t>
        </is>
      </c>
      <c r="C1133" t="inlineStr">
        <is>
          <t>Föryngringsavverkning</t>
        </is>
      </c>
      <c r="D1133" s="1" t="n">
        <v>45986</v>
      </c>
      <c r="E1133" s="1" t="n">
        <v>46216</v>
      </c>
      <c r="F1133" t="inlineStr">
        <is>
          <t>BLEKINGE LÄN</t>
        </is>
      </c>
      <c r="G1133" t="inlineStr">
        <is>
          <t>KARLSHAMN</t>
        </is>
      </c>
      <c r="I1133" t="n">
        <v>2.3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63441-2023</t>
        </is>
      </c>
      <c r="B1134" t="inlineStr">
        <is>
          <t>avverkningsanmälan</t>
        </is>
      </c>
      <c r="C1134" t="inlineStr">
        <is>
          <t>Föryngringsavverkning</t>
        </is>
      </c>
      <c r="D1134" s="1" t="n">
        <v>45274</v>
      </c>
      <c r="E1134" s="1" t="n">
        <v>46216</v>
      </c>
      <c r="F1134" t="inlineStr">
        <is>
          <t>BLEKINGE LÄN</t>
        </is>
      </c>
      <c r="G1134" t="inlineStr">
        <is>
          <t>OLOFSTRÖM</t>
        </is>
      </c>
      <c r="I1134" t="n">
        <v>1.8</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57771-2024</t>
        </is>
      </c>
      <c r="B1135" t="inlineStr">
        <is>
          <t>avverkningsanmälan</t>
        </is>
      </c>
      <c r="C1135" t="inlineStr">
        <is>
          <t>Föryngringsavverkning</t>
        </is>
      </c>
      <c r="D1135" s="1" t="n">
        <v>45630</v>
      </c>
      <c r="E1135" s="1" t="n">
        <v>46216</v>
      </c>
      <c r="F1135" t="inlineStr">
        <is>
          <t>BLEKINGE LÄN</t>
        </is>
      </c>
      <c r="G1135" t="inlineStr">
        <is>
          <t>RONNEBY</t>
        </is>
      </c>
      <c r="I1135" t="n">
        <v>0.6</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57773-2024</t>
        </is>
      </c>
      <c r="B1136" t="inlineStr">
        <is>
          <t>avverkningsanmälan</t>
        </is>
      </c>
      <c r="C1136" t="inlineStr">
        <is>
          <t>Föryngringsavverkning</t>
        </is>
      </c>
      <c r="D1136" s="1" t="n">
        <v>45630</v>
      </c>
      <c r="E1136" s="1" t="n">
        <v>46216</v>
      </c>
      <c r="F1136" t="inlineStr">
        <is>
          <t>BLEKINGE LÄN</t>
        </is>
      </c>
      <c r="G1136" t="inlineStr">
        <is>
          <t>RONNEBY</t>
        </is>
      </c>
      <c r="I1136" t="n">
        <v>0.8</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49704-2021</t>
        </is>
      </c>
      <c r="B1137" t="inlineStr">
        <is>
          <t>avverkningsanmälan</t>
        </is>
      </c>
      <c r="C1137" t="inlineStr">
        <is>
          <t>Föryngringsavverkning</t>
        </is>
      </c>
      <c r="D1137" s="1" t="n">
        <v>44455</v>
      </c>
      <c r="E1137" s="1" t="n">
        <v>46216</v>
      </c>
      <c r="F1137" t="inlineStr">
        <is>
          <t>BLEKINGE LÄN</t>
        </is>
      </c>
      <c r="G1137" t="inlineStr">
        <is>
          <t>OLOFSTRÖM</t>
        </is>
      </c>
      <c r="I1137" t="n">
        <v>8.199999999999999</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2656-2023</t>
        </is>
      </c>
      <c r="B1138" t="inlineStr">
        <is>
          <t>avverkningsanmälan</t>
        </is>
      </c>
      <c r="C1138" t="inlineStr">
        <is>
          <t>Föryngringsavverkning</t>
        </is>
      </c>
      <c r="D1138" s="1" t="n">
        <v>44944</v>
      </c>
      <c r="E1138" s="1" t="n">
        <v>46216</v>
      </c>
      <c r="F1138" t="inlineStr">
        <is>
          <t>BLEKINGE LÄN</t>
        </is>
      </c>
      <c r="G1138" t="inlineStr">
        <is>
          <t>RONNEBY</t>
        </is>
      </c>
      <c r="I1138" t="n">
        <v>3.7</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5437-2023</t>
        </is>
      </c>
      <c r="B1139" t="inlineStr">
        <is>
          <t>avverkningsanmälan</t>
        </is>
      </c>
      <c r="C1139" t="inlineStr">
        <is>
          <t>Föryngringsavverkning</t>
        </is>
      </c>
      <c r="D1139" s="1" t="n">
        <v>44959</v>
      </c>
      <c r="E1139" s="1" t="n">
        <v>46216</v>
      </c>
      <c r="F1139" t="inlineStr">
        <is>
          <t>BLEKINGE LÄN</t>
        </is>
      </c>
      <c r="G1139" t="inlineStr">
        <is>
          <t>KARLSHAMN</t>
        </is>
      </c>
      <c r="I1139" t="n">
        <v>12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59248-2025</t>
        </is>
      </c>
      <c r="B1140" t="inlineStr">
        <is>
          <t>avverkningsanmälan</t>
        </is>
      </c>
      <c r="C1140" t="inlineStr">
        <is>
          <t>Föryngringsavverkning</t>
        </is>
      </c>
      <c r="D1140" s="1" t="n">
        <v>45988</v>
      </c>
      <c r="E1140" s="1" t="n">
        <v>46216</v>
      </c>
      <c r="F1140" t="inlineStr">
        <is>
          <t>BLEKINGE LÄN</t>
        </is>
      </c>
      <c r="G1140" t="inlineStr">
        <is>
          <t>OLOFSTRÖM</t>
        </is>
      </c>
      <c r="I1140" t="n">
        <v>3.1</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7557-2026</t>
        </is>
      </c>
      <c r="B1141" t="inlineStr">
        <is>
          <t>avverkningsanmälan</t>
        </is>
      </c>
      <c r="C1141" t="inlineStr">
        <is>
          <t>Föryngringsavverkning</t>
        </is>
      </c>
      <c r="D1141" s="1" t="n">
        <v>46059</v>
      </c>
      <c r="E1141" s="1" t="n">
        <v>46216</v>
      </c>
      <c r="F1141" t="inlineStr">
        <is>
          <t>BLEKINGE LÄN</t>
        </is>
      </c>
      <c r="G1141" t="inlineStr">
        <is>
          <t>KARLSKRONA</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8428-2026</t>
        </is>
      </c>
      <c r="B1142" t="inlineStr">
        <is>
          <t>avverkningsanmälan</t>
        </is>
      </c>
      <c r="C1142" t="inlineStr">
        <is>
          <t>Föryngringsavverkning</t>
        </is>
      </c>
      <c r="D1142" s="1" t="n">
        <v>46065</v>
      </c>
      <c r="E1142" s="1" t="n">
        <v>46216</v>
      </c>
      <c r="F1142" t="inlineStr">
        <is>
          <t>BLEKINGE LÄN</t>
        </is>
      </c>
      <c r="G1142" t="inlineStr">
        <is>
          <t>OLOFSTRÖM</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59249-2025</t>
        </is>
      </c>
      <c r="B1143" t="inlineStr">
        <is>
          <t>avverkningsanmälan</t>
        </is>
      </c>
      <c r="C1143" t="inlineStr">
        <is>
          <t>Föryngringsavverkning</t>
        </is>
      </c>
      <c r="D1143" s="1" t="n">
        <v>45988</v>
      </c>
      <c r="E1143" s="1" t="n">
        <v>46216</v>
      </c>
      <c r="F1143" t="inlineStr">
        <is>
          <t>BLEKINGE LÄN</t>
        </is>
      </c>
      <c r="G1143" t="inlineStr">
        <is>
          <t>OLOFSTRÖM</t>
        </is>
      </c>
      <c r="I1143" t="n">
        <v>1.4</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39876-2023</t>
        </is>
      </c>
      <c r="B1144" t="inlineStr">
        <is>
          <t>avverkningsanmälan</t>
        </is>
      </c>
      <c r="C1144" t="inlineStr">
        <is>
          <t>Föryngringsavverkning</t>
        </is>
      </c>
      <c r="D1144" s="1" t="n">
        <v>45166</v>
      </c>
      <c r="E1144" s="1" t="n">
        <v>46216</v>
      </c>
      <c r="F1144" t="inlineStr">
        <is>
          <t>BLEKINGE LÄN</t>
        </is>
      </c>
      <c r="G1144" t="inlineStr">
        <is>
          <t>OLOFSTRÖM</t>
        </is>
      </c>
      <c r="I1144" t="n">
        <v>2.1</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59276-2025</t>
        </is>
      </c>
      <c r="B1145" t="inlineStr">
        <is>
          <t>avverkningsanmälan</t>
        </is>
      </c>
      <c r="C1145" t="inlineStr">
        <is>
          <t>Föryngringsavverkning</t>
        </is>
      </c>
      <c r="D1145" s="1" t="n">
        <v>45988</v>
      </c>
      <c r="E1145" s="1" t="n">
        <v>46216</v>
      </c>
      <c r="F1145" t="inlineStr">
        <is>
          <t>BLEKINGE LÄN</t>
        </is>
      </c>
      <c r="G1145" t="inlineStr">
        <is>
          <t>KARLSHAMN</t>
        </is>
      </c>
      <c r="I1145" t="n">
        <v>1.8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15264-2023</t>
        </is>
      </c>
      <c r="B1146" t="inlineStr">
        <is>
          <t>avverkningsanmälan</t>
        </is>
      </c>
      <c r="C1146" t="inlineStr">
        <is>
          <t>Föryngringsavverkning</t>
        </is>
      </c>
      <c r="D1146" s="1" t="n">
        <v>45019</v>
      </c>
      <c r="E1146" s="1" t="n">
        <v>46216</v>
      </c>
      <c r="F1146" t="inlineStr">
        <is>
          <t>BLEKINGE LÄN</t>
        </is>
      </c>
      <c r="G1146" t="inlineStr">
        <is>
          <t>RONNEBY</t>
        </is>
      </c>
      <c r="I1146" t="n">
        <v>4</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20093-2025</t>
        </is>
      </c>
      <c r="B1147" t="inlineStr">
        <is>
          <t>avverkningsanmälan</t>
        </is>
      </c>
      <c r="C1147" t="inlineStr">
        <is>
          <t>Föryngringsavverkning</t>
        </is>
      </c>
      <c r="D1147" s="1" t="n">
        <v>45772</v>
      </c>
      <c r="E1147" s="1" t="n">
        <v>46216</v>
      </c>
      <c r="F1147" t="inlineStr">
        <is>
          <t>BLEKINGE LÄN</t>
        </is>
      </c>
      <c r="G1147" t="inlineStr">
        <is>
          <t>SÖLVESBORG</t>
        </is>
      </c>
      <c r="I1147" t="n">
        <v>2.1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34319-2025</t>
        </is>
      </c>
      <c r="B1148" t="inlineStr">
        <is>
          <t>avverkningsanmälan</t>
        </is>
      </c>
      <c r="C1148" t="inlineStr">
        <is>
          <t>Avverkning för att bevara och utveckla /försöksver</t>
        </is>
      </c>
      <c r="D1148" s="1" t="n">
        <v>45846</v>
      </c>
      <c r="E1148" s="1" t="n">
        <v>46216</v>
      </c>
      <c r="F1148" t="inlineStr">
        <is>
          <t>BLEKINGE LÄN</t>
        </is>
      </c>
      <c r="G1148" t="inlineStr">
        <is>
          <t>KARLSKRONA</t>
        </is>
      </c>
      <c r="H1148" t="inlineStr">
        <is>
          <t>Kommuner</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14415-2023</t>
        </is>
      </c>
      <c r="B1149" t="inlineStr">
        <is>
          <t>avverkningsanmälan</t>
        </is>
      </c>
      <c r="C1149" t="inlineStr">
        <is>
          <t>Föryngringsavverkning</t>
        </is>
      </c>
      <c r="D1149" s="1" t="n">
        <v>45012</v>
      </c>
      <c r="E1149" s="1" t="n">
        <v>46216</v>
      </c>
      <c r="F1149" t="inlineStr">
        <is>
          <t>BLEKINGE LÄN</t>
        </is>
      </c>
      <c r="G1149" t="inlineStr">
        <is>
          <t>KARLSKRONA</t>
        </is>
      </c>
      <c r="I1149" t="n">
        <v>1.5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50412-2022</t>
        </is>
      </c>
      <c r="B1150" t="inlineStr">
        <is>
          <t>avverkningsanmälan</t>
        </is>
      </c>
      <c r="C1150" t="inlineStr">
        <is>
          <t>Föryngringsavverkning</t>
        </is>
      </c>
      <c r="D1150" s="1" t="n">
        <v>44866</v>
      </c>
      <c r="E1150" s="1" t="n">
        <v>46216</v>
      </c>
      <c r="F1150" t="inlineStr">
        <is>
          <t>BLEKINGE LÄN</t>
        </is>
      </c>
      <c r="G1150" t="inlineStr">
        <is>
          <t>OLOFSTRÖM</t>
        </is>
      </c>
      <c r="I1150" t="n">
        <v>1.7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7810-2026</t>
        </is>
      </c>
      <c r="B1151" t="inlineStr">
        <is>
          <t>avverkningsanmälan</t>
        </is>
      </c>
      <c r="C1151" t="inlineStr">
        <is>
          <t>Föryngringsavverkning</t>
        </is>
      </c>
      <c r="D1151" s="1" t="n">
        <v>46059</v>
      </c>
      <c r="E1151" s="1" t="n">
        <v>46216</v>
      </c>
      <c r="F1151" t="inlineStr">
        <is>
          <t>BLEKINGE LÄN</t>
        </is>
      </c>
      <c r="G1151" t="inlineStr">
        <is>
          <t>OLOFSTRÖM</t>
        </is>
      </c>
      <c r="I1151" t="n">
        <v>16.2</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14437-2023</t>
        </is>
      </c>
      <c r="B1152" t="inlineStr">
        <is>
          <t>avverkningsanmälan</t>
        </is>
      </c>
      <c r="C1152" t="inlineStr">
        <is>
          <t>Föryngringsavverkning</t>
        </is>
      </c>
      <c r="D1152" s="1" t="n">
        <v>45012</v>
      </c>
      <c r="E1152" s="1" t="n">
        <v>46216</v>
      </c>
      <c r="F1152" t="inlineStr">
        <is>
          <t>BLEKINGE LÄN</t>
        </is>
      </c>
      <c r="G1152" t="inlineStr">
        <is>
          <t>OLOFSTRÖM</t>
        </is>
      </c>
      <c r="I1152" t="n">
        <v>1.1</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59846-2025</t>
        </is>
      </c>
      <c r="B1153" t="inlineStr">
        <is>
          <t>avverkningsanmälan</t>
        </is>
      </c>
      <c r="C1153" t="inlineStr">
        <is>
          <t>Föryngringsavverkning</t>
        </is>
      </c>
      <c r="D1153" s="1" t="n">
        <v>45992</v>
      </c>
      <c r="E1153" s="1" t="n">
        <v>46216</v>
      </c>
      <c r="F1153" t="inlineStr">
        <is>
          <t>BLEKINGE LÄN</t>
        </is>
      </c>
      <c r="G1153" t="inlineStr">
        <is>
          <t>RONNEBY</t>
        </is>
      </c>
      <c r="I1153" t="n">
        <v>14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44702-2025</t>
        </is>
      </c>
      <c r="B1154" t="inlineStr">
        <is>
          <t>avverkningsanmälan</t>
        </is>
      </c>
      <c r="C1154" t="inlineStr">
        <is>
          <t>Föryngringsavverkning</t>
        </is>
      </c>
      <c r="D1154" s="1" t="n">
        <v>45917</v>
      </c>
      <c r="E1154" s="1" t="n">
        <v>46216</v>
      </c>
      <c r="F1154" t="inlineStr">
        <is>
          <t>BLEKINGE LÄN</t>
        </is>
      </c>
      <c r="G1154" t="inlineStr">
        <is>
          <t>KARLSHAMN</t>
        </is>
      </c>
      <c r="I1154" t="n">
        <v>0.9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21048-2022</t>
        </is>
      </c>
      <c r="B1155" t="inlineStr">
        <is>
          <t>avverkningsanmälan</t>
        </is>
      </c>
      <c r="C1155" t="inlineStr">
        <is>
          <t>Föryngringsavverkning</t>
        </is>
      </c>
      <c r="D1155" s="1" t="n">
        <v>44704</v>
      </c>
      <c r="E1155" s="1" t="n">
        <v>46216</v>
      </c>
      <c r="F1155" t="inlineStr">
        <is>
          <t>BLEKINGE LÄN</t>
        </is>
      </c>
      <c r="G1155" t="inlineStr">
        <is>
          <t>OLOFSTRÖM</t>
        </is>
      </c>
      <c r="H1155" t="inlineStr">
        <is>
          <t>Övriga Aktiebolag</t>
        </is>
      </c>
      <c r="I1155" t="n">
        <v>3.2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7757-2026</t>
        </is>
      </c>
      <c r="B1156" t="inlineStr">
        <is>
          <t>avverkningsanmälan</t>
        </is>
      </c>
      <c r="C1156" t="inlineStr">
        <is>
          <t>Föryngringsavverkning</t>
        </is>
      </c>
      <c r="D1156" s="1" t="n">
        <v>46059</v>
      </c>
      <c r="E1156" s="1" t="n">
        <v>46216</v>
      </c>
      <c r="F1156" t="inlineStr">
        <is>
          <t>BLEKINGE LÄN</t>
        </is>
      </c>
      <c r="G1156" t="inlineStr">
        <is>
          <t>OLOFSTRÖM</t>
        </is>
      </c>
      <c r="I1156" t="n">
        <v>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9029-2026</t>
        </is>
      </c>
      <c r="B1157" t="inlineStr">
        <is>
          <t>avverkningsanmälan</t>
        </is>
      </c>
      <c r="C1157" t="inlineStr">
        <is>
          <t>Föryngringsavverkning</t>
        </is>
      </c>
      <c r="D1157" s="1" t="n">
        <v>46069</v>
      </c>
      <c r="E1157" s="1" t="n">
        <v>46216</v>
      </c>
      <c r="F1157" t="inlineStr">
        <is>
          <t>BLEKINGE LÄN</t>
        </is>
      </c>
      <c r="G1157" t="inlineStr">
        <is>
          <t>KARLSKRONA</t>
        </is>
      </c>
      <c r="I1157" t="n">
        <v>0.6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23888-2022</t>
        </is>
      </c>
      <c r="B1158" t="inlineStr">
        <is>
          <t>avverkningsanmälan</t>
        </is>
      </c>
      <c r="C1158" t="inlineStr">
        <is>
          <t>Föryngringsavverkning</t>
        </is>
      </c>
      <c r="D1158" s="1" t="n">
        <v>44722</v>
      </c>
      <c r="E1158" s="1" t="n">
        <v>46216</v>
      </c>
      <c r="F1158" t="inlineStr">
        <is>
          <t>BLEKINGE LÄN</t>
        </is>
      </c>
      <c r="G1158" t="inlineStr">
        <is>
          <t>RONNEBY</t>
        </is>
      </c>
      <c r="I1158" t="n">
        <v>4.4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20155-2025</t>
        </is>
      </c>
      <c r="B1159" t="inlineStr">
        <is>
          <t>avverkningsanmälan</t>
        </is>
      </c>
      <c r="C1159" t="inlineStr">
        <is>
          <t>Föryngringsavverkning</t>
        </is>
      </c>
      <c r="D1159" s="1" t="n">
        <v>45772</v>
      </c>
      <c r="E1159" s="1" t="n">
        <v>46216</v>
      </c>
      <c r="F1159" t="inlineStr">
        <is>
          <t>BLEKINGE LÄN</t>
        </is>
      </c>
      <c r="G1159" t="inlineStr">
        <is>
          <t>SÖLVESBORG</t>
        </is>
      </c>
      <c r="I1159" t="n">
        <v>1.4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15967-2024</t>
        </is>
      </c>
      <c r="B1160" t="inlineStr">
        <is>
          <t>avverkningsanmälan</t>
        </is>
      </c>
      <c r="C1160" t="inlineStr">
        <is>
          <t>Föryngringsavverkning</t>
        </is>
      </c>
      <c r="D1160" s="1" t="n">
        <v>45405</v>
      </c>
      <c r="E1160" s="1" t="n">
        <v>46216</v>
      </c>
      <c r="F1160" t="inlineStr">
        <is>
          <t>BLEKINGE LÄN</t>
        </is>
      </c>
      <c r="G1160" t="inlineStr">
        <is>
          <t>KARLSHAMN</t>
        </is>
      </c>
      <c r="I1160" t="n">
        <v>0.4</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8747-2026</t>
        </is>
      </c>
      <c r="B1161" t="inlineStr">
        <is>
          <t>avverkningsanmälan</t>
        </is>
      </c>
      <c r="C1161" t="inlineStr">
        <is>
          <t>Föryngringsavverkning</t>
        </is>
      </c>
      <c r="D1161" s="1" t="n">
        <v>46066</v>
      </c>
      <c r="E1161" s="1" t="n">
        <v>46216</v>
      </c>
      <c r="F1161" t="inlineStr">
        <is>
          <t>BLEKINGE LÄN</t>
        </is>
      </c>
      <c r="G1161" t="inlineStr">
        <is>
          <t>RONNEBY</t>
        </is>
      </c>
      <c r="I1161" t="n">
        <v>2.7</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8847-2026</t>
        </is>
      </c>
      <c r="B1162" t="inlineStr">
        <is>
          <t>avverkningsanmälan</t>
        </is>
      </c>
      <c r="C1162" t="inlineStr">
        <is>
          <t>Föryngringsavverkning</t>
        </is>
      </c>
      <c r="D1162" s="1" t="n">
        <v>46066</v>
      </c>
      <c r="E1162" s="1" t="n">
        <v>46216</v>
      </c>
      <c r="F1162" t="inlineStr">
        <is>
          <t>BLEKINGE LÄN</t>
        </is>
      </c>
      <c r="G1162" t="inlineStr">
        <is>
          <t>KARLSKRONA</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20127-2025</t>
        </is>
      </c>
      <c r="B1163" t="inlineStr">
        <is>
          <t>avverkningsanmälan</t>
        </is>
      </c>
      <c r="C1163" t="inlineStr">
        <is>
          <t>Föryngringsavverkning</t>
        </is>
      </c>
      <c r="D1163" s="1" t="n">
        <v>45772</v>
      </c>
      <c r="E1163" s="1" t="n">
        <v>46216</v>
      </c>
      <c r="F1163" t="inlineStr">
        <is>
          <t>BLEKINGE LÄN</t>
        </is>
      </c>
      <c r="G1163" t="inlineStr">
        <is>
          <t>SÖLVESBORG</t>
        </is>
      </c>
      <c r="I1163" t="n">
        <v>2.1</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62590-2023</t>
        </is>
      </c>
      <c r="B1164" t="inlineStr">
        <is>
          <t>avverkningsanmälan</t>
        </is>
      </c>
      <c r="C1164" t="inlineStr">
        <is>
          <t>Föryngringsavverkning</t>
        </is>
      </c>
      <c r="D1164" s="1" t="n">
        <v>45270</v>
      </c>
      <c r="E1164" s="1" t="n">
        <v>46216</v>
      </c>
      <c r="F1164" t="inlineStr">
        <is>
          <t>BLEKINGE LÄN</t>
        </is>
      </c>
      <c r="G1164" t="inlineStr">
        <is>
          <t>KARLSHAMN</t>
        </is>
      </c>
      <c r="I1164" t="n">
        <v>0.6</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32162-2022</t>
        </is>
      </c>
      <c r="B1165" t="inlineStr">
        <is>
          <t>avverkningsanmälan</t>
        </is>
      </c>
      <c r="C1165" t="inlineStr">
        <is>
          <t>Föryngringsavverkning</t>
        </is>
      </c>
      <c r="D1165" s="1" t="n">
        <v>44756</v>
      </c>
      <c r="E1165" s="1" t="n">
        <v>46216</v>
      </c>
      <c r="F1165" t="inlineStr">
        <is>
          <t>BLEKINGE LÄN</t>
        </is>
      </c>
      <c r="G1165" t="inlineStr">
        <is>
          <t>RONNEBY</t>
        </is>
      </c>
      <c r="I1165" t="n">
        <v>2.6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37627-2023</t>
        </is>
      </c>
      <c r="B1166" t="inlineStr">
        <is>
          <t>avverkningsanmälan</t>
        </is>
      </c>
      <c r="C1166" t="inlineStr">
        <is>
          <t>Föryngringsavverkning</t>
        </is>
      </c>
      <c r="D1166" s="1" t="n">
        <v>45159</v>
      </c>
      <c r="E1166" s="1" t="n">
        <v>46216</v>
      </c>
      <c r="F1166" t="inlineStr">
        <is>
          <t>BLEKINGE LÄN</t>
        </is>
      </c>
      <c r="G1166" t="inlineStr">
        <is>
          <t>KARLSKRONA</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34323-2025</t>
        </is>
      </c>
      <c r="B1167" t="inlineStr">
        <is>
          <t>avverkningsanmälan</t>
        </is>
      </c>
      <c r="C1167" t="inlineStr">
        <is>
          <t>Föryngringsavverkning</t>
        </is>
      </c>
      <c r="D1167" s="1" t="n">
        <v>45846</v>
      </c>
      <c r="E1167" s="1" t="n">
        <v>46216</v>
      </c>
      <c r="F1167" t="inlineStr">
        <is>
          <t>BLEKINGE LÄN</t>
        </is>
      </c>
      <c r="G1167" t="inlineStr">
        <is>
          <t>KARLSKRONA</t>
        </is>
      </c>
      <c r="H1167" t="inlineStr">
        <is>
          <t>Kommuner</t>
        </is>
      </c>
      <c r="I1167" t="n">
        <v>0.9</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24841-2023</t>
        </is>
      </c>
      <c r="B1168" t="inlineStr">
        <is>
          <t>avverkningsanmälan</t>
        </is>
      </c>
      <c r="C1168" t="inlineStr">
        <is>
          <t>Föryngringsavverkning</t>
        </is>
      </c>
      <c r="D1168" s="1" t="n">
        <v>45085</v>
      </c>
      <c r="E1168" s="1" t="n">
        <v>46216</v>
      </c>
      <c r="F1168" t="inlineStr">
        <is>
          <t>BLEKINGE LÄN</t>
        </is>
      </c>
      <c r="G1168" t="inlineStr">
        <is>
          <t>RONNEBY</t>
        </is>
      </c>
      <c r="I1168" t="n">
        <v>1.6</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58920-2025</t>
        </is>
      </c>
      <c r="B1169" t="inlineStr">
        <is>
          <t>avverkningsanmälan</t>
        </is>
      </c>
      <c r="C1169" t="inlineStr">
        <is>
          <t>Föryngringsavverkning</t>
        </is>
      </c>
      <c r="D1169" s="1" t="n">
        <v>45987</v>
      </c>
      <c r="E1169" s="1" t="n">
        <v>46216</v>
      </c>
      <c r="F1169" t="inlineStr">
        <is>
          <t>BLEKINGE LÄN</t>
        </is>
      </c>
      <c r="G1169" t="inlineStr">
        <is>
          <t>KARLSHAMN</t>
        </is>
      </c>
      <c r="I1169" t="n">
        <v>2.4</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60360-2025</t>
        </is>
      </c>
      <c r="B1170" t="inlineStr">
        <is>
          <t>avverkningsanmälan</t>
        </is>
      </c>
      <c r="C1170" t="inlineStr">
        <is>
          <t>Föryngringsavverkning</t>
        </is>
      </c>
      <c r="D1170" s="1" t="n">
        <v>45995</v>
      </c>
      <c r="E1170" s="1" t="n">
        <v>46216</v>
      </c>
      <c r="F1170" t="inlineStr">
        <is>
          <t>BLEKINGE LÄN</t>
        </is>
      </c>
      <c r="G1170" t="inlineStr">
        <is>
          <t>RONNEBY</t>
        </is>
      </c>
      <c r="I1170" t="n">
        <v>0.6</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35396-2025</t>
        </is>
      </c>
      <c r="B1171" t="inlineStr">
        <is>
          <t>avverkningsanmälan</t>
        </is>
      </c>
      <c r="C1171" t="inlineStr">
        <is>
          <t>Föryngringsavverkning</t>
        </is>
      </c>
      <c r="D1171" s="1" t="n">
        <v>45855</v>
      </c>
      <c r="E1171" s="1" t="n">
        <v>46216</v>
      </c>
      <c r="F1171" t="inlineStr">
        <is>
          <t>BLEKINGE LÄN</t>
        </is>
      </c>
      <c r="G1171" t="inlineStr">
        <is>
          <t>RONNEBY</t>
        </is>
      </c>
      <c r="I1171" t="n">
        <v>0</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12059-2025</t>
        </is>
      </c>
      <c r="B1172" t="inlineStr">
        <is>
          <t>avverkningsanmälan</t>
        </is>
      </c>
      <c r="C1172" t="inlineStr">
        <is>
          <t>Föryngringsavverkning</t>
        </is>
      </c>
      <c r="D1172" s="1" t="n">
        <v>45728</v>
      </c>
      <c r="E1172" s="1" t="n">
        <v>46216</v>
      </c>
      <c r="F1172" t="inlineStr">
        <is>
          <t>BLEKINGE LÄN</t>
        </is>
      </c>
      <c r="G1172" t="inlineStr">
        <is>
          <t>KARLSKRONA</t>
        </is>
      </c>
      <c r="I1172" t="n">
        <v>0.5</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9096-2026</t>
        </is>
      </c>
      <c r="B1173" t="inlineStr">
        <is>
          <t>avverkningsanmälan</t>
        </is>
      </c>
      <c r="C1173" t="inlineStr">
        <is>
          <t>Föryngringsavverkning</t>
        </is>
      </c>
      <c r="D1173" s="1" t="n">
        <v>46069</v>
      </c>
      <c r="E1173" s="1" t="n">
        <v>46216</v>
      </c>
      <c r="F1173" t="inlineStr">
        <is>
          <t>BLEKINGE LÄN</t>
        </is>
      </c>
      <c r="G1173" t="inlineStr">
        <is>
          <t>RONNEBY</t>
        </is>
      </c>
      <c r="I1173" t="n">
        <v>0.6</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9291-2026</t>
        </is>
      </c>
      <c r="B1174" t="inlineStr">
        <is>
          <t>avverkningsanmälan</t>
        </is>
      </c>
      <c r="C1174" t="inlineStr">
        <is>
          <t>Föryngringsavverkning</t>
        </is>
      </c>
      <c r="D1174" s="1" t="n">
        <v>46070</v>
      </c>
      <c r="E1174" s="1" t="n">
        <v>46216</v>
      </c>
      <c r="F1174" t="inlineStr">
        <is>
          <t>BLEKINGE LÄN</t>
        </is>
      </c>
      <c r="G1174" t="inlineStr">
        <is>
          <t>OLOFSTRÖM</t>
        </is>
      </c>
      <c r="I1174" t="n">
        <v>0.5</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9448-2026</t>
        </is>
      </c>
      <c r="B1175" t="inlineStr">
        <is>
          <t>avverkningsanmälan</t>
        </is>
      </c>
      <c r="C1175" t="inlineStr">
        <is>
          <t>Föryngringsavverkning</t>
        </is>
      </c>
      <c r="D1175" s="1" t="n">
        <v>46071</v>
      </c>
      <c r="E1175" s="1" t="n">
        <v>46216</v>
      </c>
      <c r="F1175" t="inlineStr">
        <is>
          <t>BLEKINGE LÄN</t>
        </is>
      </c>
      <c r="G1175" t="inlineStr">
        <is>
          <t>RONNEBY</t>
        </is>
      </c>
      <c r="H1175" t="inlineStr">
        <is>
          <t>Övriga Aktiebolag</t>
        </is>
      </c>
      <c r="I1175" t="n">
        <v>2.9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9279-2026</t>
        </is>
      </c>
      <c r="B1176" t="inlineStr">
        <is>
          <t>avverkningsanmälan</t>
        </is>
      </c>
      <c r="C1176" t="inlineStr">
        <is>
          <t>Föryngringsavverkning</t>
        </is>
      </c>
      <c r="D1176" s="1" t="n">
        <v>46070</v>
      </c>
      <c r="E1176" s="1" t="n">
        <v>46216</v>
      </c>
      <c r="F1176" t="inlineStr">
        <is>
          <t>BLEKINGE LÄN</t>
        </is>
      </c>
      <c r="G1176" t="inlineStr">
        <is>
          <t>OLOFSTRÖM</t>
        </is>
      </c>
      <c r="I1176" t="n">
        <v>2.8</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60348-2025</t>
        </is>
      </c>
      <c r="B1177" t="inlineStr">
        <is>
          <t>avverkningsanmälan</t>
        </is>
      </c>
      <c r="C1177" t="inlineStr">
        <is>
          <t>Föryngringsavverkning</t>
        </is>
      </c>
      <c r="D1177" s="1" t="n">
        <v>45995</v>
      </c>
      <c r="E1177" s="1" t="n">
        <v>46216</v>
      </c>
      <c r="F1177" t="inlineStr">
        <is>
          <t>BLEKINGE LÄN</t>
        </is>
      </c>
      <c r="G1177" t="inlineStr">
        <is>
          <t>RONNEBY</t>
        </is>
      </c>
      <c r="I1177" t="n">
        <v>0.9</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14329-2023</t>
        </is>
      </c>
      <c r="B1178" t="inlineStr">
        <is>
          <t>avverkningsanmälan</t>
        </is>
      </c>
      <c r="C1178" t="inlineStr">
        <is>
          <t>Föryngringsavverkning</t>
        </is>
      </c>
      <c r="D1178" s="1" t="n">
        <v>45012</v>
      </c>
      <c r="E1178" s="1" t="n">
        <v>46216</v>
      </c>
      <c r="F1178" t="inlineStr">
        <is>
          <t>BLEKINGE LÄN</t>
        </is>
      </c>
      <c r="G1178" t="inlineStr">
        <is>
          <t>RONNEBY</t>
        </is>
      </c>
      <c r="I1178" t="n">
        <v>0.6</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25287-2024</t>
        </is>
      </c>
      <c r="B1179" t="inlineStr">
        <is>
          <t>avverkningsanmälan</t>
        </is>
      </c>
      <c r="C1179" t="inlineStr">
        <is>
          <t>Föryngringsavverkning</t>
        </is>
      </c>
      <c r="D1179" s="1" t="n">
        <v>45462</v>
      </c>
      <c r="E1179" s="1" t="n">
        <v>46216</v>
      </c>
      <c r="F1179" t="inlineStr">
        <is>
          <t>BLEKINGE LÄN</t>
        </is>
      </c>
      <c r="G1179" t="inlineStr">
        <is>
          <t>RONNEBY</t>
        </is>
      </c>
      <c r="I1179" t="n">
        <v>0.9</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40088-2024</t>
        </is>
      </c>
      <c r="B1180" t="inlineStr">
        <is>
          <t>avverkningsanmälan</t>
        </is>
      </c>
      <c r="C1180" t="inlineStr">
        <is>
          <t>Föryngringsavverkning</t>
        </is>
      </c>
      <c r="D1180" s="1" t="n">
        <v>45554</v>
      </c>
      <c r="E1180" s="1" t="n">
        <v>46216</v>
      </c>
      <c r="F1180" t="inlineStr">
        <is>
          <t>BLEKINGE LÄN</t>
        </is>
      </c>
      <c r="G1180" t="inlineStr">
        <is>
          <t>KARLSKRONA</t>
        </is>
      </c>
      <c r="I1180" t="n">
        <v>0.7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9309-2026</t>
        </is>
      </c>
      <c r="B1181" t="inlineStr">
        <is>
          <t>avverkningsanmälan</t>
        </is>
      </c>
      <c r="C1181" t="inlineStr">
        <is>
          <t>Föryngringsavverkning</t>
        </is>
      </c>
      <c r="D1181" s="1" t="n">
        <v>46070</v>
      </c>
      <c r="E1181" s="1" t="n">
        <v>46216</v>
      </c>
      <c r="F1181" t="inlineStr">
        <is>
          <t>BLEKINGE LÄN</t>
        </is>
      </c>
      <c r="G1181" t="inlineStr">
        <is>
          <t>OLOFSTRÖM</t>
        </is>
      </c>
      <c r="I1181" t="n">
        <v>2.7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7889-2024</t>
        </is>
      </c>
      <c r="B1182" t="inlineStr">
        <is>
          <t>avverkningsanmälan</t>
        </is>
      </c>
      <c r="C1182" t="inlineStr">
        <is>
          <t>Föryngringsavverkning</t>
        </is>
      </c>
      <c r="D1182" s="1" t="n">
        <v>45350</v>
      </c>
      <c r="E1182" s="1" t="n">
        <v>46216</v>
      </c>
      <c r="F1182" t="inlineStr">
        <is>
          <t>BLEKINGE LÄN</t>
        </is>
      </c>
      <c r="G1182" t="inlineStr">
        <is>
          <t>KARLSKRONA</t>
        </is>
      </c>
      <c r="I1182" t="n">
        <v>1.6</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52637-2023</t>
        </is>
      </c>
      <c r="B1183" t="inlineStr">
        <is>
          <t>avverkningsanmälan</t>
        </is>
      </c>
      <c r="C1183" t="inlineStr">
        <is>
          <t>Föryngringsavverkning</t>
        </is>
      </c>
      <c r="D1183" s="1" t="n">
        <v>45225</v>
      </c>
      <c r="E1183" s="1" t="n">
        <v>46216</v>
      </c>
      <c r="F1183" t="inlineStr">
        <is>
          <t>BLEKINGE LÄN</t>
        </is>
      </c>
      <c r="G1183" t="inlineStr">
        <is>
          <t>KARLSHAMN</t>
        </is>
      </c>
      <c r="I1183" t="n">
        <v>4.5</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9452-2026</t>
        </is>
      </c>
      <c r="B1184" t="inlineStr">
        <is>
          <t>avverkningsanmälan</t>
        </is>
      </c>
      <c r="C1184" t="inlineStr">
        <is>
          <t>Föryngringsavverkning</t>
        </is>
      </c>
      <c r="D1184" s="1" t="n">
        <v>46071</v>
      </c>
      <c r="E1184" s="1" t="n">
        <v>46216</v>
      </c>
      <c r="F1184" t="inlineStr">
        <is>
          <t>BLEKINGE LÄN</t>
        </is>
      </c>
      <c r="G1184" t="inlineStr">
        <is>
          <t>RONNEBY</t>
        </is>
      </c>
      <c r="H1184" t="inlineStr">
        <is>
          <t>Övriga Aktiebolag</t>
        </is>
      </c>
      <c r="I1184" t="n">
        <v>3.7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17273-2023</t>
        </is>
      </c>
      <c r="B1185" t="inlineStr">
        <is>
          <t>avverkningsanmälan</t>
        </is>
      </c>
      <c r="C1185" t="inlineStr">
        <is>
          <t>Föryngringsavverkning</t>
        </is>
      </c>
      <c r="D1185" s="1" t="n">
        <v>45035</v>
      </c>
      <c r="E1185" s="1" t="n">
        <v>46216</v>
      </c>
      <c r="F1185" t="inlineStr">
        <is>
          <t>BLEKINGE LÄN</t>
        </is>
      </c>
      <c r="G1185" t="inlineStr">
        <is>
          <t>KARLSKRONA</t>
        </is>
      </c>
      <c r="I1185" t="n">
        <v>1.7</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17275-2023</t>
        </is>
      </c>
      <c r="B1186" t="inlineStr">
        <is>
          <t>avverkningsanmälan</t>
        </is>
      </c>
      <c r="C1186" t="inlineStr">
        <is>
          <t>Föryngringsavverkning</t>
        </is>
      </c>
      <c r="D1186" s="1" t="n">
        <v>45035</v>
      </c>
      <c r="E1186" s="1" t="n">
        <v>46216</v>
      </c>
      <c r="F1186" t="inlineStr">
        <is>
          <t>BLEKINGE LÄN</t>
        </is>
      </c>
      <c r="G1186" t="inlineStr">
        <is>
          <t>KARLSKRONA</t>
        </is>
      </c>
      <c r="I1186" t="n">
        <v>0.5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11062-2025</t>
        </is>
      </c>
      <c r="B1187" t="inlineStr">
        <is>
          <t>avverkningsanmälan</t>
        </is>
      </c>
      <c r="C1187" t="inlineStr">
        <is>
          <t>Föryngringsavverkning</t>
        </is>
      </c>
      <c r="D1187" s="1" t="n">
        <v>45723</v>
      </c>
      <c r="E1187" s="1" t="n">
        <v>46216</v>
      </c>
      <c r="F1187" t="inlineStr">
        <is>
          <t>BLEKINGE LÄN</t>
        </is>
      </c>
      <c r="G1187" t="inlineStr">
        <is>
          <t>OLOFSTRÖM</t>
        </is>
      </c>
      <c r="I1187" t="n">
        <v>1.3</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27481-2022</t>
        </is>
      </c>
      <c r="B1188" t="inlineStr">
        <is>
          <t>avverkningsanmälan</t>
        </is>
      </c>
      <c r="C1188" t="inlineStr">
        <is>
          <t>Föryngringsavverkning</t>
        </is>
      </c>
      <c r="D1188" s="1" t="n">
        <v>44742</v>
      </c>
      <c r="E1188" s="1" t="n">
        <v>46216</v>
      </c>
      <c r="F1188" t="inlineStr">
        <is>
          <t>BLEKINGE LÄN</t>
        </is>
      </c>
      <c r="G1188" t="inlineStr">
        <is>
          <t>KARLSKRONA</t>
        </is>
      </c>
      <c r="I1188" t="n">
        <v>1.7</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61512-2025</t>
        </is>
      </c>
      <c r="B1189" t="inlineStr">
        <is>
          <t>avverkningsanmälan</t>
        </is>
      </c>
      <c r="C1189" t="inlineStr">
        <is>
          <t>Föryngringsavverkning</t>
        </is>
      </c>
      <c r="D1189" s="1" t="n">
        <v>46001</v>
      </c>
      <c r="E1189" s="1" t="n">
        <v>46216</v>
      </c>
      <c r="F1189" t="inlineStr">
        <is>
          <t>BLEKINGE LÄN</t>
        </is>
      </c>
      <c r="G1189" t="inlineStr">
        <is>
          <t>KARLSHAMN</t>
        </is>
      </c>
      <c r="H1189" t="inlineStr">
        <is>
          <t>Sveaskog</t>
        </is>
      </c>
      <c r="I1189" t="n">
        <v>3.1</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61154-2025</t>
        </is>
      </c>
      <c r="B1190" t="inlineStr">
        <is>
          <t>avverkningsanmälan</t>
        </is>
      </c>
      <c r="C1190" t="inlineStr">
        <is>
          <t>Föryngringsavverkning</t>
        </is>
      </c>
      <c r="D1190" s="1" t="n">
        <v>46000</v>
      </c>
      <c r="E1190" s="1" t="n">
        <v>46216</v>
      </c>
      <c r="F1190" t="inlineStr">
        <is>
          <t>BLEKINGE LÄN</t>
        </is>
      </c>
      <c r="G1190" t="inlineStr">
        <is>
          <t>RONNEBY</t>
        </is>
      </c>
      <c r="I1190" t="n">
        <v>0.9</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9995-2026</t>
        </is>
      </c>
      <c r="B1191" t="inlineStr">
        <is>
          <t>avverkningsanmälan</t>
        </is>
      </c>
      <c r="C1191" t="inlineStr">
        <is>
          <t>Föryngringsavverkning</t>
        </is>
      </c>
      <c r="D1191" s="1" t="n">
        <v>46073</v>
      </c>
      <c r="E1191" s="1" t="n">
        <v>46216</v>
      </c>
      <c r="F1191" t="inlineStr">
        <is>
          <t>BLEKINGE LÄN</t>
        </is>
      </c>
      <c r="G1191" t="inlineStr">
        <is>
          <t>RONNEBY</t>
        </is>
      </c>
      <c r="H1191" t="inlineStr">
        <is>
          <t>Kyrkan</t>
        </is>
      </c>
      <c r="I1191" t="n">
        <v>4.7</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39520-2024</t>
        </is>
      </c>
      <c r="B1192" t="inlineStr">
        <is>
          <t>avverkningsanmälan</t>
        </is>
      </c>
      <c r="C1192" t="inlineStr">
        <is>
          <t>Föryngringsavverkning</t>
        </is>
      </c>
      <c r="D1192" s="1" t="n">
        <v>45551</v>
      </c>
      <c r="E1192" s="1" t="n">
        <v>46216</v>
      </c>
      <c r="F1192" t="inlineStr">
        <is>
          <t>BLEKINGE LÄN</t>
        </is>
      </c>
      <c r="G1192" t="inlineStr">
        <is>
          <t>OLOFSTRÖM</t>
        </is>
      </c>
      <c r="I1192" t="n">
        <v>0.7</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1028-2023</t>
        </is>
      </c>
      <c r="B1193" t="inlineStr">
        <is>
          <t>avverkningsanmälan</t>
        </is>
      </c>
      <c r="C1193" t="inlineStr">
        <is>
          <t>Föryngringsavverkning</t>
        </is>
      </c>
      <c r="D1193" s="1" t="n">
        <v>44935</v>
      </c>
      <c r="E1193" s="1" t="n">
        <v>46216</v>
      </c>
      <c r="F1193" t="inlineStr">
        <is>
          <t>BLEKINGE LÄN</t>
        </is>
      </c>
      <c r="G1193" t="inlineStr">
        <is>
          <t>OLOFSTRÖM</t>
        </is>
      </c>
      <c r="I1193" t="n">
        <v>5.4</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7014-2024</t>
        </is>
      </c>
      <c r="B1194" t="inlineStr">
        <is>
          <t>avverkningsanmälan</t>
        </is>
      </c>
      <c r="C1194" t="inlineStr">
        <is>
          <t>Föryngringsavverkning</t>
        </is>
      </c>
      <c r="D1194" s="1" t="n">
        <v>45343</v>
      </c>
      <c r="E1194" s="1" t="n">
        <v>46216</v>
      </c>
      <c r="F1194" t="inlineStr">
        <is>
          <t>BLEKINGE LÄN</t>
        </is>
      </c>
      <c r="G1194" t="inlineStr">
        <is>
          <t>KARLSKRONA</t>
        </is>
      </c>
      <c r="I1194" t="n">
        <v>0.4</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10002-2026</t>
        </is>
      </c>
      <c r="B1195" t="inlineStr">
        <is>
          <t>avverkningsanmälan</t>
        </is>
      </c>
      <c r="C1195" t="inlineStr">
        <is>
          <t>Föryngringsavverkning</t>
        </is>
      </c>
      <c r="D1195" s="1" t="n">
        <v>46073</v>
      </c>
      <c r="E1195" s="1" t="n">
        <v>46216</v>
      </c>
      <c r="F1195" t="inlineStr">
        <is>
          <t>BLEKINGE LÄN</t>
        </is>
      </c>
      <c r="G1195" t="inlineStr">
        <is>
          <t>RONNEBY</t>
        </is>
      </c>
      <c r="H1195" t="inlineStr">
        <is>
          <t>Kyrkan</t>
        </is>
      </c>
      <c r="I1195" t="n">
        <v>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6543-2023</t>
        </is>
      </c>
      <c r="B1196" t="inlineStr">
        <is>
          <t>avverkningsanmälan</t>
        </is>
      </c>
      <c r="C1196" t="inlineStr">
        <is>
          <t>Föryngringsavverkning</t>
        </is>
      </c>
      <c r="D1196" s="1" t="n">
        <v>44966</v>
      </c>
      <c r="E1196" s="1" t="n">
        <v>46216</v>
      </c>
      <c r="F1196" t="inlineStr">
        <is>
          <t>BLEKINGE LÄN</t>
        </is>
      </c>
      <c r="G1196" t="inlineStr">
        <is>
          <t>RONNEBY</t>
        </is>
      </c>
      <c r="I1196" t="n">
        <v>0.5</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61432-2025</t>
        </is>
      </c>
      <c r="B1197" t="inlineStr">
        <is>
          <t>avverkningsanmälan</t>
        </is>
      </c>
      <c r="C1197" t="inlineStr">
        <is>
          <t>Föryngringsavverkning</t>
        </is>
      </c>
      <c r="D1197" s="1" t="n">
        <v>46001</v>
      </c>
      <c r="E1197" s="1" t="n">
        <v>46216</v>
      </c>
      <c r="F1197" t="inlineStr">
        <is>
          <t>BLEKINGE LÄN</t>
        </is>
      </c>
      <c r="G1197" t="inlineStr">
        <is>
          <t>KARLSHAMN</t>
        </is>
      </c>
      <c r="I1197" t="n">
        <v>1.8</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61516-2025</t>
        </is>
      </c>
      <c r="B1198" t="inlineStr">
        <is>
          <t>avverkningsanmälan</t>
        </is>
      </c>
      <c r="C1198" t="inlineStr">
        <is>
          <t>Föryngringsavverkning</t>
        </is>
      </c>
      <c r="D1198" s="1" t="n">
        <v>46001</v>
      </c>
      <c r="E1198" s="1" t="n">
        <v>46216</v>
      </c>
      <c r="F1198" t="inlineStr">
        <is>
          <t>BLEKINGE LÄN</t>
        </is>
      </c>
      <c r="G1198" t="inlineStr">
        <is>
          <t>KARLSHAMN</t>
        </is>
      </c>
      <c r="H1198" t="inlineStr">
        <is>
          <t>Sveaskog</t>
        </is>
      </c>
      <c r="I1198" t="n">
        <v>0.7</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29367-2023</t>
        </is>
      </c>
      <c r="B1199" t="inlineStr">
        <is>
          <t>avverkningsanmälan</t>
        </is>
      </c>
      <c r="C1199" t="inlineStr">
        <is>
          <t>Föryngringsavverkning</t>
        </is>
      </c>
      <c r="D1199" s="1" t="n">
        <v>45106</v>
      </c>
      <c r="E1199" s="1" t="n">
        <v>46216</v>
      </c>
      <c r="F1199" t="inlineStr">
        <is>
          <t>BLEKINGE LÄN</t>
        </is>
      </c>
      <c r="G1199" t="inlineStr">
        <is>
          <t>KARLSKRONA</t>
        </is>
      </c>
      <c r="I1199" t="n">
        <v>3.3</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62932-2023</t>
        </is>
      </c>
      <c r="B1200" t="inlineStr">
        <is>
          <t>avverkningsanmälan</t>
        </is>
      </c>
      <c r="C1200" t="inlineStr">
        <is>
          <t>Föryngringsavverkning</t>
        </is>
      </c>
      <c r="D1200" s="1" t="n">
        <v>45272</v>
      </c>
      <c r="E1200" s="1" t="n">
        <v>46216</v>
      </c>
      <c r="F1200" t="inlineStr">
        <is>
          <t>BLEKINGE LÄN</t>
        </is>
      </c>
      <c r="G1200" t="inlineStr">
        <is>
          <t>RONNEBY</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10807-2026</t>
        </is>
      </c>
      <c r="B1201" t="inlineStr">
        <is>
          <t>avverkningsanmälan</t>
        </is>
      </c>
      <c r="C1201" t="inlineStr">
        <is>
          <t>Föryngringsavverkning</t>
        </is>
      </c>
      <c r="D1201" s="1" t="n">
        <v>46078</v>
      </c>
      <c r="E1201" s="1" t="n">
        <v>46216</v>
      </c>
      <c r="F1201" t="inlineStr">
        <is>
          <t>BLEKINGE LÄN</t>
        </is>
      </c>
      <c r="G1201" t="inlineStr">
        <is>
          <t>RONNEBY</t>
        </is>
      </c>
      <c r="I1201" t="n">
        <v>0.5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10812-2026</t>
        </is>
      </c>
      <c r="B1202" t="inlineStr">
        <is>
          <t>avverkningsanmälan</t>
        </is>
      </c>
      <c r="C1202" t="inlineStr">
        <is>
          <t>Föryngringsavverkning</t>
        </is>
      </c>
      <c r="D1202" s="1" t="n">
        <v>46078</v>
      </c>
      <c r="E1202" s="1" t="n">
        <v>46216</v>
      </c>
      <c r="F1202" t="inlineStr">
        <is>
          <t>BLEKINGE LÄN</t>
        </is>
      </c>
      <c r="G1202" t="inlineStr">
        <is>
          <t>RONNEBY</t>
        </is>
      </c>
      <c r="I1202" t="n">
        <v>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61191-2025</t>
        </is>
      </c>
      <c r="B1203" t="inlineStr">
        <is>
          <t>avverkningsanmälan</t>
        </is>
      </c>
      <c r="C1203" t="inlineStr">
        <is>
          <t>Föryngringsavverkning</t>
        </is>
      </c>
      <c r="D1203" s="1" t="n">
        <v>46000</v>
      </c>
      <c r="E1203" s="1" t="n">
        <v>46216</v>
      </c>
      <c r="F1203" t="inlineStr">
        <is>
          <t>BLEKINGE LÄN</t>
        </is>
      </c>
      <c r="G1203" t="inlineStr">
        <is>
          <t>KARLSKRONA</t>
        </is>
      </c>
      <c r="I1203" t="n">
        <v>1.3</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11122-2024</t>
        </is>
      </c>
      <c r="B1204" t="inlineStr">
        <is>
          <t>avverkningsanmälan</t>
        </is>
      </c>
      <c r="C1204" t="inlineStr">
        <is>
          <t>Föryngringsavverkning</t>
        </is>
      </c>
      <c r="D1204" s="1" t="n">
        <v>45371</v>
      </c>
      <c r="E1204" s="1" t="n">
        <v>46216</v>
      </c>
      <c r="F1204" t="inlineStr">
        <is>
          <t>BLEKINGE LÄN</t>
        </is>
      </c>
      <c r="G1204" t="inlineStr">
        <is>
          <t>OLOFSTRÖM</t>
        </is>
      </c>
      <c r="I1204" t="n">
        <v>2.4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10998-2022</t>
        </is>
      </c>
      <c r="B1205" t="inlineStr">
        <is>
          <t>avverkningsanmälan</t>
        </is>
      </c>
      <c r="C1205" t="inlineStr">
        <is>
          <t>Föryngringsavverkning</t>
        </is>
      </c>
      <c r="D1205" s="1" t="n">
        <v>44628</v>
      </c>
      <c r="E1205" s="1" t="n">
        <v>46216</v>
      </c>
      <c r="F1205" t="inlineStr">
        <is>
          <t>BLEKINGE LÄN</t>
        </is>
      </c>
      <c r="G1205" t="inlineStr">
        <is>
          <t>KARLSKRONA</t>
        </is>
      </c>
      <c r="I1205" t="n">
        <v>1.5</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26605-2023</t>
        </is>
      </c>
      <c r="B1206" t="inlineStr">
        <is>
          <t>avverkningsanmälan</t>
        </is>
      </c>
      <c r="C1206" t="inlineStr">
        <is>
          <t>Föryngringsavverkning</t>
        </is>
      </c>
      <c r="D1206" s="1" t="n">
        <v>45092</v>
      </c>
      <c r="E1206" s="1" t="n">
        <v>46216</v>
      </c>
      <c r="F1206" t="inlineStr">
        <is>
          <t>BLEKINGE LÄN</t>
        </is>
      </c>
      <c r="G1206" t="inlineStr">
        <is>
          <t>KARLSKRONA</t>
        </is>
      </c>
      <c r="I1206" t="n">
        <v>1.1</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25450-2023</t>
        </is>
      </c>
      <c r="B1207" t="inlineStr">
        <is>
          <t>avverkningsanmälan</t>
        </is>
      </c>
      <c r="C1207" t="inlineStr">
        <is>
          <t>Föryngringsavverkning</t>
        </is>
      </c>
      <c r="D1207" s="1" t="n">
        <v>45089</v>
      </c>
      <c r="E1207" s="1" t="n">
        <v>46216</v>
      </c>
      <c r="F1207" t="inlineStr">
        <is>
          <t>BLEKINGE LÄN</t>
        </is>
      </c>
      <c r="G1207" t="inlineStr">
        <is>
          <t>KARLSKRONA</t>
        </is>
      </c>
      <c r="I1207" t="n">
        <v>1</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5172-2024</t>
        </is>
      </c>
      <c r="B1208" t="inlineStr">
        <is>
          <t>avverkningsanmälan</t>
        </is>
      </c>
      <c r="C1208" t="inlineStr">
        <is>
          <t>Föryngringsavverkning</t>
        </is>
      </c>
      <c r="D1208" s="1" t="n">
        <v>45330</v>
      </c>
      <c r="E1208" s="1" t="n">
        <v>46216</v>
      </c>
      <c r="F1208" t="inlineStr">
        <is>
          <t>BLEKINGE LÄN</t>
        </is>
      </c>
      <c r="G1208" t="inlineStr">
        <is>
          <t>KARLSHAMN</t>
        </is>
      </c>
      <c r="I1208" t="n">
        <v>1.6</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10701-2026</t>
        </is>
      </c>
      <c r="B1209" t="inlineStr">
        <is>
          <t>avverkningsanmälan</t>
        </is>
      </c>
      <c r="C1209" t="inlineStr">
        <is>
          <t>Föryngringsavverkning</t>
        </is>
      </c>
      <c r="D1209" s="1" t="n">
        <v>46078</v>
      </c>
      <c r="E1209" s="1" t="n">
        <v>46216</v>
      </c>
      <c r="F1209" t="inlineStr">
        <is>
          <t>BLEKINGE LÄN</t>
        </is>
      </c>
      <c r="G1209" t="inlineStr">
        <is>
          <t>OLOFSTRÖM</t>
        </is>
      </c>
      <c r="I1209" t="n">
        <v>2.7</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10567-2026</t>
        </is>
      </c>
      <c r="B1210" t="inlineStr">
        <is>
          <t>avverkningsanmälan</t>
        </is>
      </c>
      <c r="C1210" t="inlineStr">
        <is>
          <t>Föryngringsavverkning</t>
        </is>
      </c>
      <c r="D1210" s="1" t="n">
        <v>46077</v>
      </c>
      <c r="E1210" s="1" t="n">
        <v>46216</v>
      </c>
      <c r="F1210" t="inlineStr">
        <is>
          <t>BLEKINGE LÄN</t>
        </is>
      </c>
      <c r="G1210" t="inlineStr">
        <is>
          <t>RONNEBY</t>
        </is>
      </c>
      <c r="H1210" t="inlineStr">
        <is>
          <t>Övriga Aktiebolag</t>
        </is>
      </c>
      <c r="I1210" t="n">
        <v>3.7</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55439-2023</t>
        </is>
      </c>
      <c r="B1211" t="inlineStr">
        <is>
          <t>avverkningsanmälan</t>
        </is>
      </c>
      <c r="C1211" t="inlineStr">
        <is>
          <t>Föryngringsavverkning</t>
        </is>
      </c>
      <c r="D1211" s="1" t="n">
        <v>45238</v>
      </c>
      <c r="E1211" s="1" t="n">
        <v>46216</v>
      </c>
      <c r="F1211" t="inlineStr">
        <is>
          <t>BLEKINGE LÄN</t>
        </is>
      </c>
      <c r="G1211" t="inlineStr">
        <is>
          <t>KARLSHAMN</t>
        </is>
      </c>
      <c r="I1211" t="n">
        <v>3.7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542-2024</t>
        </is>
      </c>
      <c r="B1212" t="inlineStr">
        <is>
          <t>avverkningsanmälan</t>
        </is>
      </c>
      <c r="C1212" t="inlineStr">
        <is>
          <t>Föryngringsavverkning</t>
        </is>
      </c>
      <c r="D1212" s="1" t="n">
        <v>45299</v>
      </c>
      <c r="E1212" s="1" t="n">
        <v>46216</v>
      </c>
      <c r="F1212" t="inlineStr">
        <is>
          <t>BLEKINGE LÄN</t>
        </is>
      </c>
      <c r="G1212" t="inlineStr">
        <is>
          <t>RONNEBY</t>
        </is>
      </c>
      <c r="I1212" t="n">
        <v>0</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10813-2026</t>
        </is>
      </c>
      <c r="B1213" t="inlineStr">
        <is>
          <t>avverkningsanmälan</t>
        </is>
      </c>
      <c r="C1213" t="inlineStr">
        <is>
          <t>Föryngringsavverkning</t>
        </is>
      </c>
      <c r="D1213" s="1" t="n">
        <v>46078</v>
      </c>
      <c r="E1213" s="1" t="n">
        <v>46216</v>
      </c>
      <c r="F1213" t="inlineStr">
        <is>
          <t>BLEKINGE LÄN</t>
        </is>
      </c>
      <c r="G1213" t="inlineStr">
        <is>
          <t>RONNEBY</t>
        </is>
      </c>
      <c r="I1213" t="n">
        <v>0.4</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12181-2022</t>
        </is>
      </c>
      <c r="B1214" t="inlineStr">
        <is>
          <t>avverkningsanmälan</t>
        </is>
      </c>
      <c r="C1214" t="inlineStr">
        <is>
          <t>Föryngringsavverkning</t>
        </is>
      </c>
      <c r="D1214" s="1" t="n">
        <v>44636</v>
      </c>
      <c r="E1214" s="1" t="n">
        <v>46216</v>
      </c>
      <c r="F1214" t="inlineStr">
        <is>
          <t>BLEKINGE LÄN</t>
        </is>
      </c>
      <c r="G1214" t="inlineStr">
        <is>
          <t>KARLSKRONA</t>
        </is>
      </c>
      <c r="I1214" t="n">
        <v>0.5</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35807-2023</t>
        </is>
      </c>
      <c r="B1215" t="inlineStr">
        <is>
          <t>avverkningsanmälan</t>
        </is>
      </c>
      <c r="C1215" t="inlineStr">
        <is>
          <t>Föryngringsavverkning</t>
        </is>
      </c>
      <c r="D1215" s="1" t="n">
        <v>45148</v>
      </c>
      <c r="E1215" s="1" t="n">
        <v>46216</v>
      </c>
      <c r="F1215" t="inlineStr">
        <is>
          <t>BLEKINGE LÄN</t>
        </is>
      </c>
      <c r="G1215" t="inlineStr">
        <is>
          <t>KARLSKRONA</t>
        </is>
      </c>
      <c r="I1215" t="n">
        <v>1.2</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35828-2023</t>
        </is>
      </c>
      <c r="B1216" t="inlineStr">
        <is>
          <t>avverkningsanmälan</t>
        </is>
      </c>
      <c r="C1216" t="inlineStr">
        <is>
          <t>Föryngringsavverkning</t>
        </is>
      </c>
      <c r="D1216" s="1" t="n">
        <v>45148</v>
      </c>
      <c r="E1216" s="1" t="n">
        <v>46216</v>
      </c>
      <c r="F1216" t="inlineStr">
        <is>
          <t>BLEKINGE LÄN</t>
        </is>
      </c>
      <c r="G1216" t="inlineStr">
        <is>
          <t>KARLSHAMN</t>
        </is>
      </c>
      <c r="I1216" t="n">
        <v>1.2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10803-2026</t>
        </is>
      </c>
      <c r="B1217" t="inlineStr">
        <is>
          <t>avverkningsanmälan</t>
        </is>
      </c>
      <c r="C1217" t="inlineStr">
        <is>
          <t>Föryngringsavverkning</t>
        </is>
      </c>
      <c r="D1217" s="1" t="n">
        <v>46078</v>
      </c>
      <c r="E1217" s="1" t="n">
        <v>46216</v>
      </c>
      <c r="F1217" t="inlineStr">
        <is>
          <t>BLEKINGE LÄN</t>
        </is>
      </c>
      <c r="G1217" t="inlineStr">
        <is>
          <t>RONNEBY</t>
        </is>
      </c>
      <c r="I1217" t="n">
        <v>0.7</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10804-2026</t>
        </is>
      </c>
      <c r="B1218" t="inlineStr">
        <is>
          <t>avverkningsanmälan</t>
        </is>
      </c>
      <c r="C1218" t="inlineStr">
        <is>
          <t>Föryngringsavverkning</t>
        </is>
      </c>
      <c r="D1218" s="1" t="n">
        <v>46078</v>
      </c>
      <c r="E1218" s="1" t="n">
        <v>46216</v>
      </c>
      <c r="F1218" t="inlineStr">
        <is>
          <t>BLEKINGE LÄN</t>
        </is>
      </c>
      <c r="G1218" t="inlineStr">
        <is>
          <t>RONNEBY</t>
        </is>
      </c>
      <c r="I1218" t="n">
        <v>0.8</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62427-2025</t>
        </is>
      </c>
      <c r="B1219" t="inlineStr">
        <is>
          <t>avverkningsanmälan</t>
        </is>
      </c>
      <c r="C1219" t="inlineStr">
        <is>
          <t>Föryngringsavverkning</t>
        </is>
      </c>
      <c r="D1219" s="1" t="n">
        <v>46007</v>
      </c>
      <c r="E1219" s="1" t="n">
        <v>46216</v>
      </c>
      <c r="F1219" t="inlineStr">
        <is>
          <t>BLEKINGE LÄN</t>
        </is>
      </c>
      <c r="G1219" t="inlineStr">
        <is>
          <t>RONNEBY</t>
        </is>
      </c>
      <c r="I1219" t="n">
        <v>0.7</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19609-2024</t>
        </is>
      </c>
      <c r="B1220" t="inlineStr">
        <is>
          <t>avverkningsanmälan</t>
        </is>
      </c>
      <c r="C1220" t="inlineStr">
        <is>
          <t>Föryngringsavverkning</t>
        </is>
      </c>
      <c r="D1220" s="1" t="n">
        <v>45432</v>
      </c>
      <c r="E1220" s="1" t="n">
        <v>46216</v>
      </c>
      <c r="F1220" t="inlineStr">
        <is>
          <t>BLEKINGE LÄN</t>
        </is>
      </c>
      <c r="G1220" t="inlineStr">
        <is>
          <t>RONNEBY</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62465-2025</t>
        </is>
      </c>
      <c r="B1221" t="inlineStr">
        <is>
          <t>avverkningsanmälan</t>
        </is>
      </c>
      <c r="C1221" t="inlineStr">
        <is>
          <t>Avverkning för att bevara och utveckla /försöksver</t>
        </is>
      </c>
      <c r="D1221" s="1" t="n">
        <v>46007</v>
      </c>
      <c r="E1221" s="1" t="n">
        <v>46216</v>
      </c>
      <c r="F1221" t="inlineStr">
        <is>
          <t>BLEKINGE LÄN</t>
        </is>
      </c>
      <c r="G1221" t="inlineStr">
        <is>
          <t>RONNEBY</t>
        </is>
      </c>
      <c r="I1221" t="n">
        <v>1.3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6507-2023</t>
        </is>
      </c>
      <c r="B1222" t="inlineStr">
        <is>
          <t>avverkningsanmälan</t>
        </is>
      </c>
      <c r="C1222" t="inlineStr">
        <is>
          <t>Föryngringsavverkning</t>
        </is>
      </c>
      <c r="D1222" s="1" t="n">
        <v>44966</v>
      </c>
      <c r="E1222" s="1" t="n">
        <v>46216</v>
      </c>
      <c r="F1222" t="inlineStr">
        <is>
          <t>BLEKINGE LÄN</t>
        </is>
      </c>
      <c r="G1222" t="inlineStr">
        <is>
          <t>RONNEBY</t>
        </is>
      </c>
      <c r="I1222" t="n">
        <v>0.7</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12767-2023</t>
        </is>
      </c>
      <c r="B1223" t="inlineStr">
        <is>
          <t>avverkningsanmälan</t>
        </is>
      </c>
      <c r="C1223" t="inlineStr">
        <is>
          <t>Föryngringsavverkning</t>
        </is>
      </c>
      <c r="D1223" s="1" t="n">
        <v>45001</v>
      </c>
      <c r="E1223" s="1" t="n">
        <v>46216</v>
      </c>
      <c r="F1223" t="inlineStr">
        <is>
          <t>BLEKINGE LÄN</t>
        </is>
      </c>
      <c r="G1223" t="inlineStr">
        <is>
          <t>RONNEBY</t>
        </is>
      </c>
      <c r="I1223" t="n">
        <v>0.5</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12768-2023</t>
        </is>
      </c>
      <c r="B1224" t="inlineStr">
        <is>
          <t>avverkningsanmälan</t>
        </is>
      </c>
      <c r="C1224" t="inlineStr">
        <is>
          <t>Föryngringsavverkning</t>
        </is>
      </c>
      <c r="D1224" s="1" t="n">
        <v>45001</v>
      </c>
      <c r="E1224" s="1" t="n">
        <v>46216</v>
      </c>
      <c r="F1224" t="inlineStr">
        <is>
          <t>BLEKINGE LÄN</t>
        </is>
      </c>
      <c r="G1224" t="inlineStr">
        <is>
          <t>RONNEBY</t>
        </is>
      </c>
      <c r="I1224" t="n">
        <v>0.7</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7862-2025</t>
        </is>
      </c>
      <c r="B1225" t="inlineStr">
        <is>
          <t>avverkningsanmälan</t>
        </is>
      </c>
      <c r="C1225" t="inlineStr">
        <is>
          <t>Föryngringsavverkning</t>
        </is>
      </c>
      <c r="D1225" s="1" t="n">
        <v>45706</v>
      </c>
      <c r="E1225" s="1" t="n">
        <v>46216</v>
      </c>
      <c r="F1225" t="inlineStr">
        <is>
          <t>BLEKINGE LÄN</t>
        </is>
      </c>
      <c r="G1225" t="inlineStr">
        <is>
          <t>OLOFSTRÖM</t>
        </is>
      </c>
      <c r="I1225" t="n">
        <v>5.8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31418-2024</t>
        </is>
      </c>
      <c r="B1226" t="inlineStr">
        <is>
          <t>avverkningsanmälan</t>
        </is>
      </c>
      <c r="C1226" t="inlineStr">
        <is>
          <t>Föryngringsavverkning</t>
        </is>
      </c>
      <c r="D1226" s="1" t="n">
        <v>45505</v>
      </c>
      <c r="E1226" s="1" t="n">
        <v>46216</v>
      </c>
      <c r="F1226" t="inlineStr">
        <is>
          <t>BLEKINGE LÄN</t>
        </is>
      </c>
      <c r="G1226" t="inlineStr">
        <is>
          <t>RONNEBY</t>
        </is>
      </c>
      <c r="H1226" t="inlineStr">
        <is>
          <t>Kommuner</t>
        </is>
      </c>
      <c r="I1226" t="n">
        <v>2.6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40046-2025</t>
        </is>
      </c>
      <c r="B1227" t="inlineStr">
        <is>
          <t>avverkningsanmälan</t>
        </is>
      </c>
      <c r="C1227" t="inlineStr">
        <is>
          <t>Föryngringsavverkning</t>
        </is>
      </c>
      <c r="D1227" s="1" t="n">
        <v>45894</v>
      </c>
      <c r="E1227" s="1" t="n">
        <v>46216</v>
      </c>
      <c r="F1227" t="inlineStr">
        <is>
          <t>BLEKINGE LÄN</t>
        </is>
      </c>
      <c r="G1227" t="inlineStr">
        <is>
          <t>KARLSHAMN</t>
        </is>
      </c>
      <c r="I1227" t="n">
        <v>5.7</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62594-2025</t>
        </is>
      </c>
      <c r="B1228" t="inlineStr">
        <is>
          <t>avverkningsanmälan</t>
        </is>
      </c>
      <c r="C1228" t="inlineStr">
        <is>
          <t>Föryngringsavverkning</t>
        </is>
      </c>
      <c r="D1228" s="1" t="n">
        <v>46007</v>
      </c>
      <c r="E1228" s="1" t="n">
        <v>46216</v>
      </c>
      <c r="F1228" t="inlineStr">
        <is>
          <t>BLEKINGE LÄN</t>
        </is>
      </c>
      <c r="G1228" t="inlineStr">
        <is>
          <t>KARLSKRONA</t>
        </is>
      </c>
      <c r="I1228" t="n">
        <v>2.9</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62590-2025</t>
        </is>
      </c>
      <c r="B1229" t="inlineStr">
        <is>
          <t>avverkningsanmälan</t>
        </is>
      </c>
      <c r="C1229" t="inlineStr">
        <is>
          <t>Föryngringsavverkning</t>
        </is>
      </c>
      <c r="D1229" s="1" t="n">
        <v>46007</v>
      </c>
      <c r="E1229" s="1" t="n">
        <v>46216</v>
      </c>
      <c r="F1229" t="inlineStr">
        <is>
          <t>BLEKINGE LÄN</t>
        </is>
      </c>
      <c r="G1229" t="inlineStr">
        <is>
          <t>KARLSKRONA</t>
        </is>
      </c>
      <c r="I1229" t="n">
        <v>2.9</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41892-2025</t>
        </is>
      </c>
      <c r="B1230" t="inlineStr">
        <is>
          <t>avverkningsanmälan</t>
        </is>
      </c>
      <c r="C1230" t="inlineStr">
        <is>
          <t>Föryngringsavverkning</t>
        </is>
      </c>
      <c r="D1230" s="1" t="n">
        <v>45903</v>
      </c>
      <c r="E1230" s="1" t="n">
        <v>46216</v>
      </c>
      <c r="F1230" t="inlineStr">
        <is>
          <t>BLEKINGE LÄN</t>
        </is>
      </c>
      <c r="G1230" t="inlineStr">
        <is>
          <t>KARLSHAMN</t>
        </is>
      </c>
      <c r="I1230" t="n">
        <v>1.6</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11067-2026</t>
        </is>
      </c>
      <c r="B1231" t="inlineStr">
        <is>
          <t>avverkningsanmälan</t>
        </is>
      </c>
      <c r="C1231" t="inlineStr">
        <is>
          <t>Föryngringsavverkning</t>
        </is>
      </c>
      <c r="D1231" s="1" t="n">
        <v>46079</v>
      </c>
      <c r="E1231" s="1" t="n">
        <v>46216</v>
      </c>
      <c r="F1231" t="inlineStr">
        <is>
          <t>BLEKINGE LÄN</t>
        </is>
      </c>
      <c r="G1231" t="inlineStr">
        <is>
          <t>RONNEBY</t>
        </is>
      </c>
      <c r="I1231" t="n">
        <v>6</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11106-2026</t>
        </is>
      </c>
      <c r="B1232" t="inlineStr">
        <is>
          <t>avverkningsanmälan</t>
        </is>
      </c>
      <c r="C1232" t="inlineStr">
        <is>
          <t>Föryngringsavverkning</t>
        </is>
      </c>
      <c r="D1232" s="1" t="n">
        <v>46079</v>
      </c>
      <c r="E1232" s="1" t="n">
        <v>46216</v>
      </c>
      <c r="F1232" t="inlineStr">
        <is>
          <t>BLEKINGE LÄN</t>
        </is>
      </c>
      <c r="G1232" t="inlineStr">
        <is>
          <t>RONNEBY</t>
        </is>
      </c>
      <c r="I1232" t="n">
        <v>2.3</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11112-2026</t>
        </is>
      </c>
      <c r="B1233" t="inlineStr">
        <is>
          <t>avverkningsanmälan</t>
        </is>
      </c>
      <c r="C1233" t="inlineStr">
        <is>
          <t>Föryngringsavverkning</t>
        </is>
      </c>
      <c r="D1233" s="1" t="n">
        <v>46079</v>
      </c>
      <c r="E1233" s="1" t="n">
        <v>46216</v>
      </c>
      <c r="F1233" t="inlineStr">
        <is>
          <t>BLEKINGE LÄN</t>
        </is>
      </c>
      <c r="G1233" t="inlineStr">
        <is>
          <t>RONNEBY</t>
        </is>
      </c>
      <c r="I1233" t="n">
        <v>3.9</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11104-2026</t>
        </is>
      </c>
      <c r="B1234" t="inlineStr">
        <is>
          <t>avverkningsanmälan</t>
        </is>
      </c>
      <c r="C1234" t="inlineStr">
        <is>
          <t>Föryngringsavverkning</t>
        </is>
      </c>
      <c r="D1234" s="1" t="n">
        <v>46079</v>
      </c>
      <c r="E1234" s="1" t="n">
        <v>46216</v>
      </c>
      <c r="F1234" t="inlineStr">
        <is>
          <t>BLEKINGE LÄN</t>
        </is>
      </c>
      <c r="G1234" t="inlineStr">
        <is>
          <t>RONNEBY</t>
        </is>
      </c>
      <c r="I1234" t="n">
        <v>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9493-2024</t>
        </is>
      </c>
      <c r="B1235" t="inlineStr">
        <is>
          <t>avverkningsanmälan</t>
        </is>
      </c>
      <c r="C1235" t="inlineStr">
        <is>
          <t>Föryngringsavverkning</t>
        </is>
      </c>
      <c r="D1235" s="1" t="n">
        <v>45359</v>
      </c>
      <c r="E1235" s="1" t="n">
        <v>46216</v>
      </c>
      <c r="F1235" t="inlineStr">
        <is>
          <t>BLEKINGE LÄN</t>
        </is>
      </c>
      <c r="G1235" t="inlineStr">
        <is>
          <t>RONNEBY</t>
        </is>
      </c>
      <c r="I1235" t="n">
        <v>0.8</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29352-2023</t>
        </is>
      </c>
      <c r="B1236" t="inlineStr">
        <is>
          <t>avverkningsanmälan</t>
        </is>
      </c>
      <c r="C1236" t="inlineStr">
        <is>
          <t>Föryngringsavverkning</t>
        </is>
      </c>
      <c r="D1236" s="1" t="n">
        <v>45106</v>
      </c>
      <c r="E1236" s="1" t="n">
        <v>46216</v>
      </c>
      <c r="F1236" t="inlineStr">
        <is>
          <t>BLEKINGE LÄN</t>
        </is>
      </c>
      <c r="G1236" t="inlineStr">
        <is>
          <t>KARLSKRONA</t>
        </is>
      </c>
      <c r="I1236" t="n">
        <v>1.9</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25973-2023</t>
        </is>
      </c>
      <c r="B1237" t="inlineStr">
        <is>
          <t>avverkningsanmälan</t>
        </is>
      </c>
      <c r="C1237" t="inlineStr">
        <is>
          <t>Föryngringsavverkning</t>
        </is>
      </c>
      <c r="D1237" s="1" t="n">
        <v>45090</v>
      </c>
      <c r="E1237" s="1" t="n">
        <v>46216</v>
      </c>
      <c r="F1237" t="inlineStr">
        <is>
          <t>BLEKINGE LÄN</t>
        </is>
      </c>
      <c r="G1237" t="inlineStr">
        <is>
          <t>RONNEBY</t>
        </is>
      </c>
      <c r="I1237" t="n">
        <v>2.9</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8523-2025</t>
        </is>
      </c>
      <c r="B1238" t="inlineStr">
        <is>
          <t>avverkningsanmälan</t>
        </is>
      </c>
      <c r="C1238" t="inlineStr">
        <is>
          <t>Avverkning för annat ändamål</t>
        </is>
      </c>
      <c r="D1238" s="1" t="n">
        <v>45709</v>
      </c>
      <c r="E1238" s="1" t="n">
        <v>46216</v>
      </c>
      <c r="F1238" t="inlineStr">
        <is>
          <t>BLEKINGE LÄN</t>
        </is>
      </c>
      <c r="G1238" t="inlineStr">
        <is>
          <t>SÖLVESBORG</t>
        </is>
      </c>
      <c r="I1238" t="n">
        <v>6.7</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48183-2024</t>
        </is>
      </c>
      <c r="B1239" t="inlineStr">
        <is>
          <t>avverkningsanmälan</t>
        </is>
      </c>
      <c r="C1239" t="inlineStr">
        <is>
          <t>Föryngringsavverkning</t>
        </is>
      </c>
      <c r="D1239" s="1" t="n">
        <v>45589</v>
      </c>
      <c r="E1239" s="1" t="n">
        <v>46216</v>
      </c>
      <c r="F1239" t="inlineStr">
        <is>
          <t>BLEKINGE LÄN</t>
        </is>
      </c>
      <c r="G1239" t="inlineStr">
        <is>
          <t>RONNEBY</t>
        </is>
      </c>
      <c r="I1239" t="n">
        <v>0.5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45415-2023</t>
        </is>
      </c>
      <c r="B1240" t="inlineStr">
        <is>
          <t>avverkningsanmälan</t>
        </is>
      </c>
      <c r="C1240" t="inlineStr">
        <is>
          <t>Föryngringsavverkning</t>
        </is>
      </c>
      <c r="D1240" s="1" t="n">
        <v>45194</v>
      </c>
      <c r="E1240" s="1" t="n">
        <v>46216</v>
      </c>
      <c r="F1240" t="inlineStr">
        <is>
          <t>BLEKINGE LÄN</t>
        </is>
      </c>
      <c r="G1240" t="inlineStr">
        <is>
          <t>RONNEBY</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33664-2024</t>
        </is>
      </c>
      <c r="B1241" t="inlineStr">
        <is>
          <t>avverkningsanmälan</t>
        </is>
      </c>
      <c r="C1241" t="inlineStr">
        <is>
          <t>Föryngringsavverkning</t>
        </is>
      </c>
      <c r="D1241" s="1" t="n">
        <v>45520</v>
      </c>
      <c r="E1241" s="1" t="n">
        <v>46216</v>
      </c>
      <c r="F1241" t="inlineStr">
        <is>
          <t>BLEKINGE LÄN</t>
        </is>
      </c>
      <c r="G1241" t="inlineStr">
        <is>
          <t>OLOFSTRÖM</t>
        </is>
      </c>
      <c r="I1241" t="n">
        <v>0.3</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33673-2024</t>
        </is>
      </c>
      <c r="B1242" t="inlineStr">
        <is>
          <t>avverkningsanmälan</t>
        </is>
      </c>
      <c r="C1242" t="inlineStr">
        <is>
          <t>Föryngringsavverkning</t>
        </is>
      </c>
      <c r="D1242" s="1" t="n">
        <v>45520</v>
      </c>
      <c r="E1242" s="1" t="n">
        <v>46216</v>
      </c>
      <c r="F1242" t="inlineStr">
        <is>
          <t>BLEKINGE LÄN</t>
        </is>
      </c>
      <c r="G1242" t="inlineStr">
        <is>
          <t>OLOFSTRÖM</t>
        </is>
      </c>
      <c r="I1242" t="n">
        <v>0.7</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40052-2025</t>
        </is>
      </c>
      <c r="B1243" t="inlineStr">
        <is>
          <t>avverkningsanmälan</t>
        </is>
      </c>
      <c r="C1243" t="inlineStr">
        <is>
          <t>Föryngringsavverkning</t>
        </is>
      </c>
      <c r="D1243" s="1" t="n">
        <v>45894</v>
      </c>
      <c r="E1243" s="1" t="n">
        <v>46216</v>
      </c>
      <c r="F1243" t="inlineStr">
        <is>
          <t>BLEKINGE LÄN</t>
        </is>
      </c>
      <c r="G1243" t="inlineStr">
        <is>
          <t>KARLSHAMN</t>
        </is>
      </c>
      <c r="I1243" t="n">
        <v>2.7</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61730-2022</t>
        </is>
      </c>
      <c r="B1244" t="inlineStr">
        <is>
          <t>avverkningsanmälan</t>
        </is>
      </c>
      <c r="C1244" t="inlineStr">
        <is>
          <t>Föryngringsavverkning</t>
        </is>
      </c>
      <c r="D1244" s="1" t="n">
        <v>44917</v>
      </c>
      <c r="E1244" s="1" t="n">
        <v>46216</v>
      </c>
      <c r="F1244" t="inlineStr">
        <is>
          <t>BLEKINGE LÄN</t>
        </is>
      </c>
      <c r="G1244" t="inlineStr">
        <is>
          <t>RONNEBY</t>
        </is>
      </c>
      <c r="I1244" t="n">
        <v>9.6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61296-2024</t>
        </is>
      </c>
      <c r="B1245" t="inlineStr">
        <is>
          <t>avverkningsanmälan</t>
        </is>
      </c>
      <c r="C1245" t="inlineStr">
        <is>
          <t>Föryngringsavverkning</t>
        </is>
      </c>
      <c r="D1245" s="1" t="n">
        <v>45645</v>
      </c>
      <c r="E1245" s="1" t="n">
        <v>46216</v>
      </c>
      <c r="F1245" t="inlineStr">
        <is>
          <t>BLEKINGE LÄN</t>
        </is>
      </c>
      <c r="G1245" t="inlineStr">
        <is>
          <t>KARLSKRONA</t>
        </is>
      </c>
      <c r="I1245" t="n">
        <v>3.4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63560-2025</t>
        </is>
      </c>
      <c r="B1246" t="inlineStr">
        <is>
          <t>avverkningsanmälan</t>
        </is>
      </c>
      <c r="C1246" t="inlineStr">
        <is>
          <t>Föryngringsavverkning</t>
        </is>
      </c>
      <c r="D1246" s="1" t="n">
        <v>46013</v>
      </c>
      <c r="E1246" s="1" t="n">
        <v>46216</v>
      </c>
      <c r="F1246" t="inlineStr">
        <is>
          <t>BLEKINGE LÄN</t>
        </is>
      </c>
      <c r="G1246" t="inlineStr">
        <is>
          <t>OLOFSTRÖM</t>
        </is>
      </c>
      <c r="I1246" t="n">
        <v>1.6</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40068-2023</t>
        </is>
      </c>
      <c r="B1247" t="inlineStr">
        <is>
          <t>avverkningsanmälan</t>
        </is>
      </c>
      <c r="C1247" t="inlineStr">
        <is>
          <t>Föryngringsavverkning</t>
        </is>
      </c>
      <c r="D1247" s="1" t="n">
        <v>45168</v>
      </c>
      <c r="E1247" s="1" t="n">
        <v>46216</v>
      </c>
      <c r="F1247" t="inlineStr">
        <is>
          <t>BLEKINGE LÄN</t>
        </is>
      </c>
      <c r="G1247" t="inlineStr">
        <is>
          <t>RONNEBY</t>
        </is>
      </c>
      <c r="I1247" t="n">
        <v>0.9</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49056-2024</t>
        </is>
      </c>
      <c r="B1248" t="inlineStr">
        <is>
          <t>avverkningsanmälan</t>
        </is>
      </c>
      <c r="C1248" t="inlineStr">
        <is>
          <t>Föryngringsavverkning</t>
        </is>
      </c>
      <c r="D1248" s="1" t="n">
        <v>45594</v>
      </c>
      <c r="E1248" s="1" t="n">
        <v>46216</v>
      </c>
      <c r="F1248" t="inlineStr">
        <is>
          <t>BLEKINGE LÄN</t>
        </is>
      </c>
      <c r="G1248" t="inlineStr">
        <is>
          <t>OLOFSTRÖM</t>
        </is>
      </c>
      <c r="I1248" t="n">
        <v>2.5</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11375-2026</t>
        </is>
      </c>
      <c r="B1249" t="inlineStr">
        <is>
          <t>avverkningsanmälan</t>
        </is>
      </c>
      <c r="C1249" t="inlineStr">
        <is>
          <t>Föryngringsavverkning</t>
        </is>
      </c>
      <c r="D1249" s="1" t="n">
        <v>46083</v>
      </c>
      <c r="E1249" s="1" t="n">
        <v>46216</v>
      </c>
      <c r="F1249" t="inlineStr">
        <is>
          <t>BLEKINGE LÄN</t>
        </is>
      </c>
      <c r="G1249" t="inlineStr">
        <is>
          <t>OLOFSTRÖM</t>
        </is>
      </c>
      <c r="I1249" t="n">
        <v>1.3</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22542-2023</t>
        </is>
      </c>
      <c r="B1250" t="inlineStr">
        <is>
          <t>avverkningsanmälan</t>
        </is>
      </c>
      <c r="C1250" t="inlineStr">
        <is>
          <t>Föryngringsavverkning</t>
        </is>
      </c>
      <c r="D1250" s="1" t="n">
        <v>45071</v>
      </c>
      <c r="E1250" s="1" t="n">
        <v>46216</v>
      </c>
      <c r="F1250" t="inlineStr">
        <is>
          <t>BLEKINGE LÄN</t>
        </is>
      </c>
      <c r="G1250" t="inlineStr">
        <is>
          <t>RONNEBY</t>
        </is>
      </c>
      <c r="I1250" t="n">
        <v>3.5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11532-2026</t>
        </is>
      </c>
      <c r="B1251" t="inlineStr">
        <is>
          <t>avverkningsanmälan</t>
        </is>
      </c>
      <c r="C1251" t="inlineStr">
        <is>
          <t>Föryngringsavverkning</t>
        </is>
      </c>
      <c r="D1251" s="1" t="n">
        <v>46083</v>
      </c>
      <c r="E1251" s="1" t="n">
        <v>46216</v>
      </c>
      <c r="F1251" t="inlineStr">
        <is>
          <t>BLEKINGE LÄN</t>
        </is>
      </c>
      <c r="G1251" t="inlineStr">
        <is>
          <t>RONNEBY</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6620-2026</t>
        </is>
      </c>
      <c r="B1252" t="inlineStr">
        <is>
          <t>avverkningsanmälan</t>
        </is>
      </c>
      <c r="C1252" t="inlineStr">
        <is>
          <t>Föryngringsavverkning</t>
        </is>
      </c>
      <c r="D1252" s="1" t="n">
        <v>46056</v>
      </c>
      <c r="E1252" s="1" t="n">
        <v>46216</v>
      </c>
      <c r="F1252" t="inlineStr">
        <is>
          <t>BLEKINGE LÄN</t>
        </is>
      </c>
      <c r="G1252" t="inlineStr">
        <is>
          <t>KARLSKRONA</t>
        </is>
      </c>
      <c r="I1252" t="n">
        <v>1.7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11544-2026</t>
        </is>
      </c>
      <c r="B1253" t="inlineStr">
        <is>
          <t>avverkningsanmälan</t>
        </is>
      </c>
      <c r="C1253" t="inlineStr">
        <is>
          <t>Föryngringsavverkning</t>
        </is>
      </c>
      <c r="D1253" s="1" t="n">
        <v>46083</v>
      </c>
      <c r="E1253" s="1" t="n">
        <v>46216</v>
      </c>
      <c r="F1253" t="inlineStr">
        <is>
          <t>BLEKINGE LÄN</t>
        </is>
      </c>
      <c r="G1253" t="inlineStr">
        <is>
          <t>KARLSHAMN</t>
        </is>
      </c>
      <c r="I1253" t="n">
        <v>10.8</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46035-2024</t>
        </is>
      </c>
      <c r="B1254" t="inlineStr">
        <is>
          <t>avverkningsanmälan</t>
        </is>
      </c>
      <c r="C1254" t="inlineStr">
        <is>
          <t>Föryngringsavverkning</t>
        </is>
      </c>
      <c r="D1254" s="1" t="n">
        <v>45580</v>
      </c>
      <c r="E1254" s="1" t="n">
        <v>46216</v>
      </c>
      <c r="F1254" t="inlineStr">
        <is>
          <t>BLEKINGE LÄN</t>
        </is>
      </c>
      <c r="G1254" t="inlineStr">
        <is>
          <t>KARLSKRONA</t>
        </is>
      </c>
      <c r="I1254" t="n">
        <v>1.9</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49832-2024</t>
        </is>
      </c>
      <c r="B1255" t="inlineStr">
        <is>
          <t>avverkningsanmälan</t>
        </is>
      </c>
      <c r="C1255" t="inlineStr">
        <is>
          <t>Föryngringsavverkning</t>
        </is>
      </c>
      <c r="D1255" s="1" t="n">
        <v>45597</v>
      </c>
      <c r="E1255" s="1" t="n">
        <v>46216</v>
      </c>
      <c r="F1255" t="inlineStr">
        <is>
          <t>BLEKINGE LÄN</t>
        </is>
      </c>
      <c r="G1255" t="inlineStr">
        <is>
          <t>RONNEBY</t>
        </is>
      </c>
      <c r="I1255" t="n">
        <v>2.6</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50546-2023</t>
        </is>
      </c>
      <c r="B1256" t="inlineStr">
        <is>
          <t>avverkningsanmälan</t>
        </is>
      </c>
      <c r="C1256" t="inlineStr">
        <is>
          <t>Föryngringsavverkning</t>
        </is>
      </c>
      <c r="D1256" s="1" t="n">
        <v>45217</v>
      </c>
      <c r="E1256" s="1" t="n">
        <v>46216</v>
      </c>
      <c r="F1256" t="inlineStr">
        <is>
          <t>BLEKINGE LÄN</t>
        </is>
      </c>
      <c r="G1256" t="inlineStr">
        <is>
          <t>KARLSKRONA</t>
        </is>
      </c>
      <c r="I1256" t="n">
        <v>1</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8837-2025</t>
        </is>
      </c>
      <c r="B1257" t="inlineStr">
        <is>
          <t>avverkningsanmälan</t>
        </is>
      </c>
      <c r="C1257" t="inlineStr">
        <is>
          <t>Föryngringsavverkning</t>
        </is>
      </c>
      <c r="D1257" s="1" t="n">
        <v>45713</v>
      </c>
      <c r="E1257" s="1" t="n">
        <v>46216</v>
      </c>
      <c r="F1257" t="inlineStr">
        <is>
          <t>BLEKINGE LÄN</t>
        </is>
      </c>
      <c r="G1257" t="inlineStr">
        <is>
          <t>KARLSKRONA</t>
        </is>
      </c>
      <c r="I1257" t="n">
        <v>1.1</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45772-2023</t>
        </is>
      </c>
      <c r="B1258" t="inlineStr">
        <is>
          <t>avverkningsanmälan</t>
        </is>
      </c>
      <c r="C1258" t="inlineStr">
        <is>
          <t>Föryngringsavverkning</t>
        </is>
      </c>
      <c r="D1258" s="1" t="n">
        <v>45195</v>
      </c>
      <c r="E1258" s="1" t="n">
        <v>46216</v>
      </c>
      <c r="F1258" t="inlineStr">
        <is>
          <t>BLEKINGE LÄN</t>
        </is>
      </c>
      <c r="G1258" t="inlineStr">
        <is>
          <t>OLOFSTRÖM</t>
        </is>
      </c>
      <c r="I1258" t="n">
        <v>0.5</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46434-2023</t>
        </is>
      </c>
      <c r="B1259" t="inlineStr">
        <is>
          <t>avverkningsanmälan</t>
        </is>
      </c>
      <c r="C1259" t="inlineStr">
        <is>
          <t>Föryngringsavverkning</t>
        </is>
      </c>
      <c r="D1259" s="1" t="n">
        <v>45197</v>
      </c>
      <c r="E1259" s="1" t="n">
        <v>46216</v>
      </c>
      <c r="F1259" t="inlineStr">
        <is>
          <t>BLEKINGE LÄN</t>
        </is>
      </c>
      <c r="G1259" t="inlineStr">
        <is>
          <t>RONNEBY</t>
        </is>
      </c>
      <c r="I1259" t="n">
        <v>0.6</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49736-2023</t>
        </is>
      </c>
      <c r="B1260" t="inlineStr">
        <is>
          <t>avverkningsanmälan</t>
        </is>
      </c>
      <c r="C1260" t="inlineStr">
        <is>
          <t>Föryngringsavverkning</t>
        </is>
      </c>
      <c r="D1260" s="1" t="n">
        <v>45212</v>
      </c>
      <c r="E1260" s="1" t="n">
        <v>46216</v>
      </c>
      <c r="F1260" t="inlineStr">
        <is>
          <t>BLEKINGE LÄN</t>
        </is>
      </c>
      <c r="G1260" t="inlineStr">
        <is>
          <t>KARLSKRONA</t>
        </is>
      </c>
      <c r="I1260" t="n">
        <v>2.8</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57982-2024</t>
        </is>
      </c>
      <c r="B1261" t="inlineStr">
        <is>
          <t>avverkningsanmälan</t>
        </is>
      </c>
      <c r="C1261" t="inlineStr">
        <is>
          <t>Avverkning för annat ändamål</t>
        </is>
      </c>
      <c r="D1261" s="1" t="n">
        <v>45631</v>
      </c>
      <c r="E1261" s="1" t="n">
        <v>46216</v>
      </c>
      <c r="F1261" t="inlineStr">
        <is>
          <t>BLEKINGE LÄN</t>
        </is>
      </c>
      <c r="G1261" t="inlineStr">
        <is>
          <t>KARLSKRONA</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11528-2026</t>
        </is>
      </c>
      <c r="B1262" t="inlineStr">
        <is>
          <t>avverkningsanmälan</t>
        </is>
      </c>
      <c r="C1262" t="inlineStr">
        <is>
          <t>Föryngringsavverkning</t>
        </is>
      </c>
      <c r="D1262" s="1" t="n">
        <v>46083</v>
      </c>
      <c r="E1262" s="1" t="n">
        <v>46216</v>
      </c>
      <c r="F1262" t="inlineStr">
        <is>
          <t>BLEKINGE LÄN</t>
        </is>
      </c>
      <c r="G1262" t="inlineStr">
        <is>
          <t>SÖLVESBORG</t>
        </is>
      </c>
      <c r="I1262" t="n">
        <v>3.3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64195-2023</t>
        </is>
      </c>
      <c r="B1263" t="inlineStr">
        <is>
          <t>avverkningsanmälan</t>
        </is>
      </c>
      <c r="C1263" t="inlineStr">
        <is>
          <t>Föryngringsavverkning</t>
        </is>
      </c>
      <c r="D1263" s="1" t="n">
        <v>45279</v>
      </c>
      <c r="E1263" s="1" t="n">
        <v>46216</v>
      </c>
      <c r="F1263" t="inlineStr">
        <is>
          <t>BLEKINGE LÄN</t>
        </is>
      </c>
      <c r="G1263" t="inlineStr">
        <is>
          <t>KARLSHAMN</t>
        </is>
      </c>
      <c r="I1263" t="n">
        <v>1.6</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60922-2024</t>
        </is>
      </c>
      <c r="B1264" t="inlineStr">
        <is>
          <t>avverkningsanmälan</t>
        </is>
      </c>
      <c r="C1264" t="inlineStr">
        <is>
          <t>Föryngringsavverkning</t>
        </is>
      </c>
      <c r="D1264" s="1" t="n">
        <v>45645</v>
      </c>
      <c r="E1264" s="1" t="n">
        <v>46216</v>
      </c>
      <c r="F1264" t="inlineStr">
        <is>
          <t>BLEKINGE LÄN</t>
        </is>
      </c>
      <c r="G1264" t="inlineStr">
        <is>
          <t>KARLSKRONA</t>
        </is>
      </c>
      <c r="I1264" t="n">
        <v>3.9</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28122-2023</t>
        </is>
      </c>
      <c r="B1265" t="inlineStr">
        <is>
          <t>avverkningsanmälan</t>
        </is>
      </c>
      <c r="C1265" t="inlineStr">
        <is>
          <t>Föryngringsavverkning</t>
        </is>
      </c>
      <c r="D1265" s="1" t="n">
        <v>45099</v>
      </c>
      <c r="E1265" s="1" t="n">
        <v>46216</v>
      </c>
      <c r="F1265" t="inlineStr">
        <is>
          <t>BLEKINGE LÄN</t>
        </is>
      </c>
      <c r="G1265" t="inlineStr">
        <is>
          <t>RONNEBY</t>
        </is>
      </c>
      <c r="I1265" t="n">
        <v>4.2</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49052-2024</t>
        </is>
      </c>
      <c r="B1266" t="inlineStr">
        <is>
          <t>avverkningsanmälan</t>
        </is>
      </c>
      <c r="C1266" t="inlineStr">
        <is>
          <t>Föryngringsavverkning</t>
        </is>
      </c>
      <c r="D1266" s="1" t="n">
        <v>45594</v>
      </c>
      <c r="E1266" s="1" t="n">
        <v>46216</v>
      </c>
      <c r="F1266" t="inlineStr">
        <is>
          <t>BLEKINGE LÄN</t>
        </is>
      </c>
      <c r="G1266" t="inlineStr">
        <is>
          <t>OLOFSTRÖM</t>
        </is>
      </c>
      <c r="I1266" t="n">
        <v>3.5</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40936-2023</t>
        </is>
      </c>
      <c r="B1267" t="inlineStr">
        <is>
          <t>avverkningsanmälan</t>
        </is>
      </c>
      <c r="C1267" t="inlineStr">
        <is>
          <t>Föryngringsavverkning</t>
        </is>
      </c>
      <c r="D1267" s="1" t="n">
        <v>45173</v>
      </c>
      <c r="E1267" s="1" t="n">
        <v>46216</v>
      </c>
      <c r="F1267" t="inlineStr">
        <is>
          <t>BLEKINGE LÄN</t>
        </is>
      </c>
      <c r="G1267" t="inlineStr">
        <is>
          <t>KARLSKRONA</t>
        </is>
      </c>
      <c r="I1267" t="n">
        <v>0.6</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34163-2022</t>
        </is>
      </c>
      <c r="B1268" t="inlineStr">
        <is>
          <t>avverkningsanmälan</t>
        </is>
      </c>
      <c r="C1268" t="inlineStr">
        <is>
          <t>Avverkning för annat ändamål</t>
        </is>
      </c>
      <c r="D1268" s="1" t="n">
        <v>44791</v>
      </c>
      <c r="E1268" s="1" t="n">
        <v>46216</v>
      </c>
      <c r="F1268" t="inlineStr">
        <is>
          <t>BLEKINGE LÄN</t>
        </is>
      </c>
      <c r="G1268" t="inlineStr">
        <is>
          <t>OLOFSTRÖM</t>
        </is>
      </c>
      <c r="H1268" t="inlineStr">
        <is>
          <t>Kommuner</t>
        </is>
      </c>
      <c r="I1268" t="n">
        <v>8.300000000000001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9569-2024</t>
        </is>
      </c>
      <c r="B1269" t="inlineStr">
        <is>
          <t>avverkningsanmälan</t>
        </is>
      </c>
      <c r="C1269" t="inlineStr">
        <is>
          <t>Föryngringsavverkning</t>
        </is>
      </c>
      <c r="D1269" s="1" t="n">
        <v>45360</v>
      </c>
      <c r="E1269" s="1" t="n">
        <v>46216</v>
      </c>
      <c r="F1269" t="inlineStr">
        <is>
          <t>BLEKINGE LÄN</t>
        </is>
      </c>
      <c r="G1269" t="inlineStr">
        <is>
          <t>RONNEBY</t>
        </is>
      </c>
      <c r="I1269" t="n">
        <v>1.3</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45832-2024</t>
        </is>
      </c>
      <c r="B1270" t="inlineStr">
        <is>
          <t>avverkningsanmälan</t>
        </is>
      </c>
      <c r="C1270" t="inlineStr">
        <is>
          <t>Föryngringsavverkning</t>
        </is>
      </c>
      <c r="D1270" s="1" t="n">
        <v>45579</v>
      </c>
      <c r="E1270" s="1" t="n">
        <v>46216</v>
      </c>
      <c r="F1270" t="inlineStr">
        <is>
          <t>BLEKINGE LÄN</t>
        </is>
      </c>
      <c r="G1270" t="inlineStr">
        <is>
          <t>KARLSKRONA</t>
        </is>
      </c>
      <c r="I1270" t="n">
        <v>2.4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253-2022</t>
        </is>
      </c>
      <c r="B1271" t="inlineStr">
        <is>
          <t>avverkningsanmälan</t>
        </is>
      </c>
      <c r="C1271" t="inlineStr">
        <is>
          <t>Föryngringsavverkning</t>
        </is>
      </c>
      <c r="D1271" s="1" t="n">
        <v>44565</v>
      </c>
      <c r="E1271" s="1" t="n">
        <v>46216</v>
      </c>
      <c r="F1271" t="inlineStr">
        <is>
          <t>BLEKINGE LÄN</t>
        </is>
      </c>
      <c r="G1271" t="inlineStr">
        <is>
          <t>RONNEBY</t>
        </is>
      </c>
      <c r="I1271" t="n">
        <v>1.7</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12077-2026</t>
        </is>
      </c>
      <c r="B1272" t="inlineStr">
        <is>
          <t>avverkningsanmälan</t>
        </is>
      </c>
      <c r="C1272" t="inlineStr">
        <is>
          <t>Föryngringsavverkning</t>
        </is>
      </c>
      <c r="D1272" s="1" t="n">
        <v>46086</v>
      </c>
      <c r="E1272" s="1" t="n">
        <v>46216</v>
      </c>
      <c r="F1272" t="inlineStr">
        <is>
          <t>BLEKINGE LÄN</t>
        </is>
      </c>
      <c r="G1272" t="inlineStr">
        <is>
          <t>RONNEBY</t>
        </is>
      </c>
      <c r="H1272" t="inlineStr">
        <is>
          <t>Övriga Aktiebolag</t>
        </is>
      </c>
      <c r="I1272" t="n">
        <v>0.8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6509-2024</t>
        </is>
      </c>
      <c r="B1273" t="inlineStr">
        <is>
          <t>avverkningsanmälan</t>
        </is>
      </c>
      <c r="C1273" t="inlineStr">
        <is>
          <t>Avverkning för annat ändamål</t>
        </is>
      </c>
      <c r="D1273" s="1" t="n">
        <v>45340</v>
      </c>
      <c r="E1273" s="1" t="n">
        <v>46216</v>
      </c>
      <c r="F1273" t="inlineStr">
        <is>
          <t>BLEKINGE LÄN</t>
        </is>
      </c>
      <c r="G1273" t="inlineStr">
        <is>
          <t>KARLSKRONA</t>
        </is>
      </c>
      <c r="I1273" t="n">
        <v>0.8</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61749-2022</t>
        </is>
      </c>
      <c r="B1274" t="inlineStr">
        <is>
          <t>avverkningsanmälan</t>
        </is>
      </c>
      <c r="C1274" t="inlineStr">
        <is>
          <t>Föryngringsavverkning</t>
        </is>
      </c>
      <c r="D1274" s="1" t="n">
        <v>44911</v>
      </c>
      <c r="E1274" s="1" t="n">
        <v>46216</v>
      </c>
      <c r="F1274" t="inlineStr">
        <is>
          <t>BLEKINGE LÄN</t>
        </is>
      </c>
      <c r="G1274" t="inlineStr">
        <is>
          <t>KARLSKRONA</t>
        </is>
      </c>
      <c r="I1274" t="n">
        <v>14.2</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61767-2022</t>
        </is>
      </c>
      <c r="B1275" t="inlineStr">
        <is>
          <t>avverkningsanmälan</t>
        </is>
      </c>
      <c r="C1275" t="inlineStr">
        <is>
          <t>Föryngringsavverkning</t>
        </is>
      </c>
      <c r="D1275" s="1" t="n">
        <v>44917</v>
      </c>
      <c r="E1275" s="1" t="n">
        <v>46216</v>
      </c>
      <c r="F1275" t="inlineStr">
        <is>
          <t>BLEKINGE LÄN</t>
        </is>
      </c>
      <c r="G1275" t="inlineStr">
        <is>
          <t>SÖLVESBORG</t>
        </is>
      </c>
      <c r="H1275" t="inlineStr">
        <is>
          <t>Kyrkan</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12125-2026</t>
        </is>
      </c>
      <c r="B1276" t="inlineStr">
        <is>
          <t>avverkningsanmälan</t>
        </is>
      </c>
      <c r="C1276" t="inlineStr">
        <is>
          <t>Föryngringsavverkning</t>
        </is>
      </c>
      <c r="D1276" s="1" t="n">
        <v>46086</v>
      </c>
      <c r="E1276" s="1" t="n">
        <v>46216</v>
      </c>
      <c r="F1276" t="inlineStr">
        <is>
          <t>BLEKINGE LÄN</t>
        </is>
      </c>
      <c r="G1276" t="inlineStr">
        <is>
          <t>RONNEBY</t>
        </is>
      </c>
      <c r="I1276" t="n">
        <v>4.3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16318-2024</t>
        </is>
      </c>
      <c r="B1277" t="inlineStr">
        <is>
          <t>avverkningsanmälan</t>
        </is>
      </c>
      <c r="C1277" t="inlineStr">
        <is>
          <t>Föryngringsavverkning</t>
        </is>
      </c>
      <c r="D1277" s="1" t="n">
        <v>45407</v>
      </c>
      <c r="E1277" s="1" t="n">
        <v>46216</v>
      </c>
      <c r="F1277" t="inlineStr">
        <is>
          <t>BLEKINGE LÄN</t>
        </is>
      </c>
      <c r="G1277" t="inlineStr">
        <is>
          <t>OLOFSTRÖM</t>
        </is>
      </c>
      <c r="I1277" t="n">
        <v>2.3</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247-2026</t>
        </is>
      </c>
      <c r="B1278" t="inlineStr">
        <is>
          <t>avverkningsanmälan</t>
        </is>
      </c>
      <c r="C1278" t="inlineStr">
        <is>
          <t>Föryngringsavverkning</t>
        </is>
      </c>
      <c r="D1278" s="1" t="n">
        <v>46027</v>
      </c>
      <c r="E1278" s="1" t="n">
        <v>46216</v>
      </c>
      <c r="F1278" t="inlineStr">
        <is>
          <t>BLEKINGE LÄN</t>
        </is>
      </c>
      <c r="G1278" t="inlineStr">
        <is>
          <t>OLOFSTRÖM</t>
        </is>
      </c>
      <c r="I1278" t="n">
        <v>2.1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248-2026</t>
        </is>
      </c>
      <c r="B1279" t="inlineStr">
        <is>
          <t>avverkningsanmälan</t>
        </is>
      </c>
      <c r="C1279" t="inlineStr">
        <is>
          <t>Föryngringsavverkning</t>
        </is>
      </c>
      <c r="D1279" s="1" t="n">
        <v>46027</v>
      </c>
      <c r="E1279" s="1" t="n">
        <v>46216</v>
      </c>
      <c r="F1279" t="inlineStr">
        <is>
          <t>BLEKINGE LÄN</t>
        </is>
      </c>
      <c r="G1279" t="inlineStr">
        <is>
          <t>OLOFSTRÖM</t>
        </is>
      </c>
      <c r="I1279" t="n">
        <v>3.7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14559-2023</t>
        </is>
      </c>
      <c r="B1280" t="inlineStr">
        <is>
          <t>avverkningsanmälan</t>
        </is>
      </c>
      <c r="C1280" t="inlineStr">
        <is>
          <t>Föryngringsavverkning</t>
        </is>
      </c>
      <c r="D1280" s="1" t="n">
        <v>45013</v>
      </c>
      <c r="E1280" s="1" t="n">
        <v>46216</v>
      </c>
      <c r="F1280" t="inlineStr">
        <is>
          <t>BLEKINGE LÄN</t>
        </is>
      </c>
      <c r="G1280" t="inlineStr">
        <is>
          <t>KARLSKRONA</t>
        </is>
      </c>
      <c r="I1280" t="n">
        <v>1</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9310-2023</t>
        </is>
      </c>
      <c r="B1281" t="inlineStr">
        <is>
          <t>avverkningsanmälan</t>
        </is>
      </c>
      <c r="C1281" t="inlineStr">
        <is>
          <t>Föryngringsavverkning</t>
        </is>
      </c>
      <c r="D1281" s="1" t="n">
        <v>44980</v>
      </c>
      <c r="E1281" s="1" t="n">
        <v>46216</v>
      </c>
      <c r="F1281" t="inlineStr">
        <is>
          <t>BLEKINGE LÄN</t>
        </is>
      </c>
      <c r="G1281" t="inlineStr">
        <is>
          <t>RONNEBY</t>
        </is>
      </c>
      <c r="H1281" t="inlineStr">
        <is>
          <t>Övriga Aktiebolag</t>
        </is>
      </c>
      <c r="I1281" t="n">
        <v>3.1</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14481-2025</t>
        </is>
      </c>
      <c r="B1282" t="inlineStr">
        <is>
          <t>avverkningsanmälan</t>
        </is>
      </c>
      <c r="C1282" t="inlineStr">
        <is>
          <t>Föryngringsavverkning</t>
        </is>
      </c>
      <c r="D1282" s="1" t="n">
        <v>45741</v>
      </c>
      <c r="E1282" s="1" t="n">
        <v>46216</v>
      </c>
      <c r="F1282" t="inlineStr">
        <is>
          <t>BLEKINGE LÄN</t>
        </is>
      </c>
      <c r="G1282" t="inlineStr">
        <is>
          <t>SÖLVESBORG</t>
        </is>
      </c>
      <c r="I1282" t="n">
        <v>1.7</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50870-2024</t>
        </is>
      </c>
      <c r="B1283" t="inlineStr">
        <is>
          <t>avverkningsanmälan</t>
        </is>
      </c>
      <c r="C1283" t="inlineStr">
        <is>
          <t>Föryngringsavverkning</t>
        </is>
      </c>
      <c r="D1283" s="1" t="n">
        <v>45602</v>
      </c>
      <c r="E1283" s="1" t="n">
        <v>46216</v>
      </c>
      <c r="F1283" t="inlineStr">
        <is>
          <t>BLEKINGE LÄN</t>
        </is>
      </c>
      <c r="G1283" t="inlineStr">
        <is>
          <t>OLOFSTRÖM</t>
        </is>
      </c>
      <c r="I1283" t="n">
        <v>2.1</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12577-2026</t>
        </is>
      </c>
      <c r="B1284" t="inlineStr">
        <is>
          <t>avverkningsanmälan</t>
        </is>
      </c>
      <c r="C1284" t="inlineStr">
        <is>
          <t>Föryngringsavverkning</t>
        </is>
      </c>
      <c r="D1284" s="1" t="n">
        <v>46090</v>
      </c>
      <c r="E1284" s="1" t="n">
        <v>46216</v>
      </c>
      <c r="F1284" t="inlineStr">
        <is>
          <t>BLEKINGE LÄN</t>
        </is>
      </c>
      <c r="G1284" t="inlineStr">
        <is>
          <t>KARLSHAMN</t>
        </is>
      </c>
      <c r="I1284" t="n">
        <v>2.2</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36843-2024</t>
        </is>
      </c>
      <c r="B1285" t="inlineStr">
        <is>
          <t>avverkningsanmälan</t>
        </is>
      </c>
      <c r="C1285" t="inlineStr">
        <is>
          <t>Föryngringsavverkning</t>
        </is>
      </c>
      <c r="D1285" s="1" t="n">
        <v>45538</v>
      </c>
      <c r="E1285" s="1" t="n">
        <v>46216</v>
      </c>
      <c r="F1285" t="inlineStr">
        <is>
          <t>BLEKINGE LÄN</t>
        </is>
      </c>
      <c r="G1285" t="inlineStr">
        <is>
          <t>KARLSKRONA</t>
        </is>
      </c>
      <c r="I1285" t="n">
        <v>0.5</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3649-2022</t>
        </is>
      </c>
      <c r="B1286" t="inlineStr">
        <is>
          <t>avverkningsanmälan</t>
        </is>
      </c>
      <c r="C1286" t="inlineStr">
        <is>
          <t>Föryngringsavverkning</t>
        </is>
      </c>
      <c r="D1286" s="1" t="n">
        <v>44586</v>
      </c>
      <c r="E1286" s="1" t="n">
        <v>46216</v>
      </c>
      <c r="F1286" t="inlineStr">
        <is>
          <t>BLEKINGE LÄN</t>
        </is>
      </c>
      <c r="G1286" t="inlineStr">
        <is>
          <t>RONNEBY</t>
        </is>
      </c>
      <c r="I1286" t="n">
        <v>1</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11676-2025</t>
        </is>
      </c>
      <c r="B1287" t="inlineStr">
        <is>
          <t>avverkningsanmälan</t>
        </is>
      </c>
      <c r="C1287" t="inlineStr">
        <is>
          <t>Föryngringsavverkning</t>
        </is>
      </c>
      <c r="D1287" s="1" t="n">
        <v>45727</v>
      </c>
      <c r="E1287" s="1" t="n">
        <v>46216</v>
      </c>
      <c r="F1287" t="inlineStr">
        <is>
          <t>BLEKINGE LÄN</t>
        </is>
      </c>
      <c r="G1287" t="inlineStr">
        <is>
          <t>KARLSKRONA</t>
        </is>
      </c>
      <c r="I1287" t="n">
        <v>0.8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12230-2026</t>
        </is>
      </c>
      <c r="B1288" t="inlineStr">
        <is>
          <t>avverkningsanmälan</t>
        </is>
      </c>
      <c r="C1288" t="inlineStr">
        <is>
          <t>Föryngringsavverkning</t>
        </is>
      </c>
      <c r="D1288" s="1" t="n">
        <v>46087</v>
      </c>
      <c r="E1288" s="1" t="n">
        <v>46216</v>
      </c>
      <c r="F1288" t="inlineStr">
        <is>
          <t>BLEKINGE LÄN</t>
        </is>
      </c>
      <c r="G1288" t="inlineStr">
        <is>
          <t>KARLSKRONA</t>
        </is>
      </c>
      <c r="H1288" t="inlineStr">
        <is>
          <t>Kommuner</t>
        </is>
      </c>
      <c r="I1288" t="n">
        <v>1.7</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16380-2024</t>
        </is>
      </c>
      <c r="B1289" t="inlineStr">
        <is>
          <t>avverkningsanmälan</t>
        </is>
      </c>
      <c r="C1289" t="inlineStr">
        <is>
          <t>Föryngringsavverkning</t>
        </is>
      </c>
      <c r="D1289" s="1" t="n">
        <v>45407</v>
      </c>
      <c r="E1289" s="1" t="n">
        <v>46216</v>
      </c>
      <c r="F1289" t="inlineStr">
        <is>
          <t>BLEKINGE LÄN</t>
        </is>
      </c>
      <c r="G1289" t="inlineStr">
        <is>
          <t>KARLSKRONA</t>
        </is>
      </c>
      <c r="I1289" t="n">
        <v>4.1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13395-2025</t>
        </is>
      </c>
      <c r="B1290" t="inlineStr">
        <is>
          <t>avverkningsanmälan</t>
        </is>
      </c>
      <c r="C1290" t="inlineStr">
        <is>
          <t>Föryngringsavverkning</t>
        </is>
      </c>
      <c r="D1290" s="1" t="n">
        <v>45735</v>
      </c>
      <c r="E1290" s="1" t="n">
        <v>46216</v>
      </c>
      <c r="F1290" t="inlineStr">
        <is>
          <t>BLEKINGE LÄN</t>
        </is>
      </c>
      <c r="G1290" t="inlineStr">
        <is>
          <t>KARLSKRONA</t>
        </is>
      </c>
      <c r="I1290" t="n">
        <v>0.7</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38088-2022</t>
        </is>
      </c>
      <c r="B1291" t="inlineStr">
        <is>
          <t>avverkningsanmälan</t>
        </is>
      </c>
      <c r="C1291" t="inlineStr">
        <is>
          <t>Föryngringsavverkning</t>
        </is>
      </c>
      <c r="D1291" s="1" t="n">
        <v>44811</v>
      </c>
      <c r="E1291" s="1" t="n">
        <v>46216</v>
      </c>
      <c r="F1291" t="inlineStr">
        <is>
          <t>BLEKINGE LÄN</t>
        </is>
      </c>
      <c r="G1291" t="inlineStr">
        <is>
          <t>OLOFSTRÖM</t>
        </is>
      </c>
      <c r="I1291" t="n">
        <v>1.8</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52817-2024</t>
        </is>
      </c>
      <c r="B1292" t="inlineStr">
        <is>
          <t>avverkningsanmälan</t>
        </is>
      </c>
      <c r="C1292" t="inlineStr">
        <is>
          <t>Föryngringsavverkning</t>
        </is>
      </c>
      <c r="D1292" s="1" t="n">
        <v>45610</v>
      </c>
      <c r="E1292" s="1" t="n">
        <v>46216</v>
      </c>
      <c r="F1292" t="inlineStr">
        <is>
          <t>BLEKINGE LÄN</t>
        </is>
      </c>
      <c r="G1292" t="inlineStr">
        <is>
          <t>RONNEBY</t>
        </is>
      </c>
      <c r="I1292" t="n">
        <v>1.7</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13660-2023</t>
        </is>
      </c>
      <c r="B1293" t="inlineStr">
        <is>
          <t>avverkningsanmälan</t>
        </is>
      </c>
      <c r="C1293" t="inlineStr">
        <is>
          <t>Föryngringsavverkning</t>
        </is>
      </c>
      <c r="D1293" s="1" t="n">
        <v>45006</v>
      </c>
      <c r="E1293" s="1" t="n">
        <v>46216</v>
      </c>
      <c r="F1293" t="inlineStr">
        <is>
          <t>BLEKINGE LÄN</t>
        </is>
      </c>
      <c r="G1293" t="inlineStr">
        <is>
          <t>OLOFSTRÖM</t>
        </is>
      </c>
      <c r="I1293" t="n">
        <v>1.4</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5502-2022</t>
        </is>
      </c>
      <c r="B1294" t="inlineStr">
        <is>
          <t>avverkningsanmälan</t>
        </is>
      </c>
      <c r="C1294" t="inlineStr">
        <is>
          <t>Föryngringsavverkning</t>
        </is>
      </c>
      <c r="D1294" s="1" t="n">
        <v>44595</v>
      </c>
      <c r="E1294" s="1" t="n">
        <v>46216</v>
      </c>
      <c r="F1294" t="inlineStr">
        <is>
          <t>BLEKINGE LÄN</t>
        </is>
      </c>
      <c r="G1294" t="inlineStr">
        <is>
          <t>RONNEBY</t>
        </is>
      </c>
      <c r="I1294" t="n">
        <v>2.6</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12852-2026</t>
        </is>
      </c>
      <c r="B1295" t="inlineStr">
        <is>
          <t>avverkningsanmälan</t>
        </is>
      </c>
      <c r="C1295" t="inlineStr">
        <is>
          <t>Föryngringsavverkning</t>
        </is>
      </c>
      <c r="D1295" s="1" t="n">
        <v>46092</v>
      </c>
      <c r="E1295" s="1" t="n">
        <v>46216</v>
      </c>
      <c r="F1295" t="inlineStr">
        <is>
          <t>BLEKINGE LÄN</t>
        </is>
      </c>
      <c r="G1295" t="inlineStr">
        <is>
          <t>KARLSKRONA</t>
        </is>
      </c>
      <c r="H1295" t="inlineStr">
        <is>
          <t>Kommuner</t>
        </is>
      </c>
      <c r="I1295" t="n">
        <v>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30657-2024</t>
        </is>
      </c>
      <c r="B1296" t="inlineStr">
        <is>
          <t>avverkningsanmälan</t>
        </is>
      </c>
      <c r="C1296" t="inlineStr">
        <is>
          <t>Föryngringsavverkning</t>
        </is>
      </c>
      <c r="D1296" s="1" t="n">
        <v>45495</v>
      </c>
      <c r="E1296" s="1" t="n">
        <v>46216</v>
      </c>
      <c r="F1296" t="inlineStr">
        <is>
          <t>BLEKINGE LÄN</t>
        </is>
      </c>
      <c r="G1296" t="inlineStr">
        <is>
          <t>KARLSKRONA</t>
        </is>
      </c>
      <c r="I1296" t="n">
        <v>0.5</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29552-2022</t>
        </is>
      </c>
      <c r="B1297" t="inlineStr">
        <is>
          <t>avverkningsanmälan</t>
        </is>
      </c>
      <c r="C1297" t="inlineStr">
        <is>
          <t>Föryngringsavverkning</t>
        </is>
      </c>
      <c r="D1297" s="1" t="n">
        <v>44754</v>
      </c>
      <c r="E1297" s="1" t="n">
        <v>46216</v>
      </c>
      <c r="F1297" t="inlineStr">
        <is>
          <t>BLEKINGE LÄN</t>
        </is>
      </c>
      <c r="G1297" t="inlineStr">
        <is>
          <t>RONNEBY</t>
        </is>
      </c>
      <c r="I1297" t="n">
        <v>1</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29434-2022</t>
        </is>
      </c>
      <c r="B1298" t="inlineStr">
        <is>
          <t>avverkningsanmälan</t>
        </is>
      </c>
      <c r="C1298" t="inlineStr">
        <is>
          <t>Föryngringsavverkning</t>
        </is>
      </c>
      <c r="D1298" s="1" t="n">
        <v>44753</v>
      </c>
      <c r="E1298" s="1" t="n">
        <v>46216</v>
      </c>
      <c r="F1298" t="inlineStr">
        <is>
          <t>BLEKINGE LÄN</t>
        </is>
      </c>
      <c r="G1298" t="inlineStr">
        <is>
          <t>RONNEBY</t>
        </is>
      </c>
      <c r="I1298" t="n">
        <v>2.8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39466-2023</t>
        </is>
      </c>
      <c r="B1299" t="inlineStr">
        <is>
          <t>avverkningsanmälan</t>
        </is>
      </c>
      <c r="C1299" t="inlineStr">
        <is>
          <t>Föryngringsavverkning</t>
        </is>
      </c>
      <c r="D1299" s="1" t="n">
        <v>45166</v>
      </c>
      <c r="E1299" s="1" t="n">
        <v>46216</v>
      </c>
      <c r="F1299" t="inlineStr">
        <is>
          <t>BLEKINGE LÄN</t>
        </is>
      </c>
      <c r="G1299" t="inlineStr">
        <is>
          <t>RONNEBY</t>
        </is>
      </c>
      <c r="I1299" t="n">
        <v>1</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12964-2023</t>
        </is>
      </c>
      <c r="B1300" t="inlineStr">
        <is>
          <t>avverkningsanmälan</t>
        </is>
      </c>
      <c r="C1300" t="inlineStr">
        <is>
          <t>Föryngringsavverkning</t>
        </is>
      </c>
      <c r="D1300" s="1" t="n">
        <v>45001</v>
      </c>
      <c r="E1300" s="1" t="n">
        <v>46216</v>
      </c>
      <c r="F1300" t="inlineStr">
        <is>
          <t>BLEKINGE LÄN</t>
        </is>
      </c>
      <c r="G1300" t="inlineStr">
        <is>
          <t>RONNEBY</t>
        </is>
      </c>
      <c r="I1300" t="n">
        <v>2.2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30657-2023</t>
        </is>
      </c>
      <c r="B1301" t="inlineStr">
        <is>
          <t>avverkningsanmälan</t>
        </is>
      </c>
      <c r="C1301" t="inlineStr">
        <is>
          <t>Föryngringsavverkning</t>
        </is>
      </c>
      <c r="D1301" s="1" t="n">
        <v>45112</v>
      </c>
      <c r="E1301" s="1" t="n">
        <v>46216</v>
      </c>
      <c r="F1301" t="inlineStr">
        <is>
          <t>BLEKINGE LÄN</t>
        </is>
      </c>
      <c r="G1301" t="inlineStr">
        <is>
          <t>OLOFSTRÖM</t>
        </is>
      </c>
      <c r="I1301" t="n">
        <v>0.6</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33552-2023</t>
        </is>
      </c>
      <c r="B1302" t="inlineStr">
        <is>
          <t>avverkningsanmälan</t>
        </is>
      </c>
      <c r="C1302" t="inlineStr">
        <is>
          <t>Föryngringsavverkning</t>
        </is>
      </c>
      <c r="D1302" s="1" t="n">
        <v>45118</v>
      </c>
      <c r="E1302" s="1" t="n">
        <v>46216</v>
      </c>
      <c r="F1302" t="inlineStr">
        <is>
          <t>BLEKINGE LÄN</t>
        </is>
      </c>
      <c r="G1302" t="inlineStr">
        <is>
          <t>KARLSHAMN</t>
        </is>
      </c>
      <c r="I1302" t="n">
        <v>1</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33555-2023</t>
        </is>
      </c>
      <c r="B1303" t="inlineStr">
        <is>
          <t>avverkningsanmälan</t>
        </is>
      </c>
      <c r="C1303" t="inlineStr">
        <is>
          <t>Föryngringsavverkning</t>
        </is>
      </c>
      <c r="D1303" s="1" t="n">
        <v>45118</v>
      </c>
      <c r="E1303" s="1" t="n">
        <v>46216</v>
      </c>
      <c r="F1303" t="inlineStr">
        <is>
          <t>BLEKINGE LÄN</t>
        </is>
      </c>
      <c r="G1303" t="inlineStr">
        <is>
          <t>KARLSKRONA</t>
        </is>
      </c>
      <c r="I1303" t="n">
        <v>3.3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62728-2023</t>
        </is>
      </c>
      <c r="B1304" t="inlineStr">
        <is>
          <t>avverkningsanmälan</t>
        </is>
      </c>
      <c r="C1304" t="inlineStr">
        <is>
          <t>Föryngringsavverkning</t>
        </is>
      </c>
      <c r="D1304" s="1" t="n">
        <v>45268</v>
      </c>
      <c r="E1304" s="1" t="n">
        <v>46216</v>
      </c>
      <c r="F1304" t="inlineStr">
        <is>
          <t>BLEKINGE LÄN</t>
        </is>
      </c>
      <c r="G1304" t="inlineStr">
        <is>
          <t>OLOFSTRÖM</t>
        </is>
      </c>
      <c r="H1304" t="inlineStr">
        <is>
          <t>Övriga Aktiebolag</t>
        </is>
      </c>
      <c r="I1304" t="n">
        <v>3.3</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29365-2023</t>
        </is>
      </c>
      <c r="B1305" t="inlineStr">
        <is>
          <t>avverkningsanmälan</t>
        </is>
      </c>
      <c r="C1305" t="inlineStr">
        <is>
          <t>Föryngringsavverkning</t>
        </is>
      </c>
      <c r="D1305" s="1" t="n">
        <v>45106</v>
      </c>
      <c r="E1305" s="1" t="n">
        <v>46216</v>
      </c>
      <c r="F1305" t="inlineStr">
        <is>
          <t>BLEKINGE LÄN</t>
        </is>
      </c>
      <c r="G1305" t="inlineStr">
        <is>
          <t>KARLSKRONA</t>
        </is>
      </c>
      <c r="I1305" t="n">
        <v>0.9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444-2023</t>
        </is>
      </c>
      <c r="B1306" t="inlineStr">
        <is>
          <t>avverkningsanmälan</t>
        </is>
      </c>
      <c r="C1306" t="inlineStr">
        <is>
          <t>Föryngringsavverkning</t>
        </is>
      </c>
      <c r="D1306" s="1" t="n">
        <v>44929</v>
      </c>
      <c r="E1306" s="1" t="n">
        <v>46216</v>
      </c>
      <c r="F1306" t="inlineStr">
        <is>
          <t>BLEKINGE LÄN</t>
        </is>
      </c>
      <c r="G1306" t="inlineStr">
        <is>
          <t>OLOFSTRÖM</t>
        </is>
      </c>
      <c r="I1306" t="n">
        <v>4.2</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62377-2022</t>
        </is>
      </c>
      <c r="B1307" t="inlineStr">
        <is>
          <t>avverkningsanmälan</t>
        </is>
      </c>
      <c r="C1307" t="inlineStr">
        <is>
          <t>Föryngringsavverkning</t>
        </is>
      </c>
      <c r="D1307" s="1" t="n">
        <v>44923</v>
      </c>
      <c r="E1307" s="1" t="n">
        <v>46216</v>
      </c>
      <c r="F1307" t="inlineStr">
        <is>
          <t>BLEKINGE LÄN</t>
        </is>
      </c>
      <c r="G1307" t="inlineStr">
        <is>
          <t>KARLSHAMN</t>
        </is>
      </c>
      <c r="I1307" t="n">
        <v>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13139-2026</t>
        </is>
      </c>
      <c r="B1308" t="inlineStr">
        <is>
          <t>avverkningsanmälan</t>
        </is>
      </c>
      <c r="C1308" t="inlineStr">
        <is>
          <t>Föryngringsavverkning</t>
        </is>
      </c>
      <c r="D1308" s="1" t="n">
        <v>46093</v>
      </c>
      <c r="E1308" s="1" t="n">
        <v>46216</v>
      </c>
      <c r="F1308" t="inlineStr">
        <is>
          <t>BLEKINGE LÄN</t>
        </is>
      </c>
      <c r="G1308" t="inlineStr">
        <is>
          <t>KARLSKRONA</t>
        </is>
      </c>
      <c r="I1308" t="n">
        <v>1.5</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61529-2024</t>
        </is>
      </c>
      <c r="B1309" t="inlineStr">
        <is>
          <t>avverkningsanmälan</t>
        </is>
      </c>
      <c r="C1309" t="inlineStr">
        <is>
          <t>Föryngringsavverkning</t>
        </is>
      </c>
      <c r="D1309" s="1" t="n">
        <v>45646</v>
      </c>
      <c r="E1309" s="1" t="n">
        <v>46216</v>
      </c>
      <c r="F1309" t="inlineStr">
        <is>
          <t>BLEKINGE LÄN</t>
        </is>
      </c>
      <c r="G1309" t="inlineStr">
        <is>
          <t>RONNEBY</t>
        </is>
      </c>
      <c r="I1309" t="n">
        <v>8.300000000000001</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13160-2023</t>
        </is>
      </c>
      <c r="B1310" t="inlineStr">
        <is>
          <t>avverkningsanmälan</t>
        </is>
      </c>
      <c r="C1310" t="inlineStr">
        <is>
          <t>Föryngringsavverkning</t>
        </is>
      </c>
      <c r="D1310" s="1" t="n">
        <v>45002</v>
      </c>
      <c r="E1310" s="1" t="n">
        <v>46216</v>
      </c>
      <c r="F1310" t="inlineStr">
        <is>
          <t>BLEKINGE LÄN</t>
        </is>
      </c>
      <c r="G1310" t="inlineStr">
        <is>
          <t>KARLSKRONA</t>
        </is>
      </c>
      <c r="I1310" t="n">
        <v>1.6</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13224-2023</t>
        </is>
      </c>
      <c r="B1311" t="inlineStr">
        <is>
          <t>avverkningsanmälan</t>
        </is>
      </c>
      <c r="C1311" t="inlineStr">
        <is>
          <t>Föryngringsavverkning</t>
        </is>
      </c>
      <c r="D1311" s="1" t="n">
        <v>45002</v>
      </c>
      <c r="E1311" s="1" t="n">
        <v>46216</v>
      </c>
      <c r="F1311" t="inlineStr">
        <is>
          <t>BLEKINGE LÄN</t>
        </is>
      </c>
      <c r="G1311" t="inlineStr">
        <is>
          <t>RONNEBY</t>
        </is>
      </c>
      <c r="I1311" t="n">
        <v>1.7</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13523-2026</t>
        </is>
      </c>
      <c r="B1312" t="inlineStr">
        <is>
          <t>avverkningsanmälan</t>
        </is>
      </c>
      <c r="C1312" t="inlineStr">
        <is>
          <t>Föryngringsavverkning</t>
        </is>
      </c>
      <c r="D1312" s="1" t="n">
        <v>46094</v>
      </c>
      <c r="E1312" s="1" t="n">
        <v>46216</v>
      </c>
      <c r="F1312" t="inlineStr">
        <is>
          <t>BLEKINGE LÄN</t>
        </is>
      </c>
      <c r="G1312" t="inlineStr">
        <is>
          <t>KARLSHAMN</t>
        </is>
      </c>
      <c r="I1312" t="n">
        <v>0.9</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16188-2022</t>
        </is>
      </c>
      <c r="B1313" t="inlineStr">
        <is>
          <t>avverkningsanmälan</t>
        </is>
      </c>
      <c r="C1313" t="inlineStr">
        <is>
          <t>Föryngringsavverkning</t>
        </is>
      </c>
      <c r="D1313" s="1" t="n">
        <v>44669</v>
      </c>
      <c r="E1313" s="1" t="n">
        <v>46216</v>
      </c>
      <c r="F1313" t="inlineStr">
        <is>
          <t>BLEKINGE LÄN</t>
        </is>
      </c>
      <c r="G1313" t="inlineStr">
        <is>
          <t>SÖLVESBORG</t>
        </is>
      </c>
      <c r="I1313" t="n">
        <v>3.7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6523-2024</t>
        </is>
      </c>
      <c r="B1314" t="inlineStr">
        <is>
          <t>avverkningsanmälan</t>
        </is>
      </c>
      <c r="C1314" t="inlineStr">
        <is>
          <t>Föryngringsavverkning</t>
        </is>
      </c>
      <c r="D1314" s="1" t="n">
        <v>45341</v>
      </c>
      <c r="E1314" s="1" t="n">
        <v>46216</v>
      </c>
      <c r="F1314" t="inlineStr">
        <is>
          <t>BLEKINGE LÄN</t>
        </is>
      </c>
      <c r="G1314" t="inlineStr">
        <is>
          <t>OLOFSTRÖM</t>
        </is>
      </c>
      <c r="I1314" t="n">
        <v>2</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24547-2024</t>
        </is>
      </c>
      <c r="B1315" t="inlineStr">
        <is>
          <t>avverkningsanmälan</t>
        </is>
      </c>
      <c r="C1315" t="inlineStr">
        <is>
          <t>Föryngringsavverkning</t>
        </is>
      </c>
      <c r="D1315" s="1" t="n">
        <v>45460</v>
      </c>
      <c r="E1315" s="1" t="n">
        <v>46216</v>
      </c>
      <c r="F1315" t="inlineStr">
        <is>
          <t>BLEKINGE LÄN</t>
        </is>
      </c>
      <c r="G1315" t="inlineStr">
        <is>
          <t>RONNEBY</t>
        </is>
      </c>
      <c r="I1315" t="n">
        <v>3.5</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45885-2024</t>
        </is>
      </c>
      <c r="B1316" t="inlineStr">
        <is>
          <t>avverkningsanmälan</t>
        </is>
      </c>
      <c r="C1316" t="inlineStr">
        <is>
          <t>Föryngringsavverkning</t>
        </is>
      </c>
      <c r="D1316" s="1" t="n">
        <v>45580</v>
      </c>
      <c r="E1316" s="1" t="n">
        <v>46216</v>
      </c>
      <c r="F1316" t="inlineStr">
        <is>
          <t>BLEKINGE LÄN</t>
        </is>
      </c>
      <c r="G1316" t="inlineStr">
        <is>
          <t>KARLSHAMN</t>
        </is>
      </c>
      <c r="I1316" t="n">
        <v>1.5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1243-2023</t>
        </is>
      </c>
      <c r="B1317" t="inlineStr">
        <is>
          <t>avverkningsanmälan</t>
        </is>
      </c>
      <c r="C1317" t="inlineStr">
        <is>
          <t>Föryngringsavverkning</t>
        </is>
      </c>
      <c r="D1317" s="1" t="n">
        <v>44936</v>
      </c>
      <c r="E1317" s="1" t="n">
        <v>46216</v>
      </c>
      <c r="F1317" t="inlineStr">
        <is>
          <t>BLEKINGE LÄN</t>
        </is>
      </c>
      <c r="G1317" t="inlineStr">
        <is>
          <t>KARLSKRONA</t>
        </is>
      </c>
      <c r="I1317" t="n">
        <v>2.8</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29481-2022</t>
        </is>
      </c>
      <c r="B1318" t="inlineStr">
        <is>
          <t>avverkningsanmälan</t>
        </is>
      </c>
      <c r="C1318" t="inlineStr">
        <is>
          <t>Föryngringsavverkning</t>
        </is>
      </c>
      <c r="D1318" s="1" t="n">
        <v>44753</v>
      </c>
      <c r="E1318" s="1" t="n">
        <v>46216</v>
      </c>
      <c r="F1318" t="inlineStr">
        <is>
          <t>BLEKINGE LÄN</t>
        </is>
      </c>
      <c r="G1318" t="inlineStr">
        <is>
          <t>KARLSKRONA</t>
        </is>
      </c>
      <c r="I1318" t="n">
        <v>9.5</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57427-2023</t>
        </is>
      </c>
      <c r="B1319" t="inlineStr">
        <is>
          <t>avverkningsanmälan</t>
        </is>
      </c>
      <c r="C1319" t="inlineStr">
        <is>
          <t>Föryngringsavverkning</t>
        </is>
      </c>
      <c r="D1319" s="1" t="n">
        <v>45246</v>
      </c>
      <c r="E1319" s="1" t="n">
        <v>46216</v>
      </c>
      <c r="F1319" t="inlineStr">
        <is>
          <t>BLEKINGE LÄN</t>
        </is>
      </c>
      <c r="G1319" t="inlineStr">
        <is>
          <t>RONNEBY</t>
        </is>
      </c>
      <c r="I1319" t="n">
        <v>0.5</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13733-2026</t>
        </is>
      </c>
      <c r="B1320" t="inlineStr">
        <is>
          <t>avverkningsanmälan</t>
        </is>
      </c>
      <c r="C1320" t="inlineStr">
        <is>
          <t>Föryngringsavverkning</t>
        </is>
      </c>
      <c r="D1320" s="1" t="n">
        <v>46097</v>
      </c>
      <c r="E1320" s="1" t="n">
        <v>46216</v>
      </c>
      <c r="F1320" t="inlineStr">
        <is>
          <t>BLEKINGE LÄN</t>
        </is>
      </c>
      <c r="G1320" t="inlineStr">
        <is>
          <t>KARLSHAMN</t>
        </is>
      </c>
      <c r="I1320" t="n">
        <v>0.5</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13758-2026</t>
        </is>
      </c>
      <c r="B1321" t="inlineStr">
        <is>
          <t>avverkningsanmälan</t>
        </is>
      </c>
      <c r="C1321" t="inlineStr">
        <is>
          <t>Föryngringsavverkning</t>
        </is>
      </c>
      <c r="D1321" s="1" t="n">
        <v>46097</v>
      </c>
      <c r="E1321" s="1" t="n">
        <v>46216</v>
      </c>
      <c r="F1321" t="inlineStr">
        <is>
          <t>BLEKINGE LÄN</t>
        </is>
      </c>
      <c r="G1321" t="inlineStr">
        <is>
          <t>OLOFSTRÖM</t>
        </is>
      </c>
      <c r="H1321" t="inlineStr">
        <is>
          <t>Övriga Aktiebolag</t>
        </is>
      </c>
      <c r="I1321" t="n">
        <v>2.2</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45440-2023</t>
        </is>
      </c>
      <c r="B1322" t="inlineStr">
        <is>
          <t>avverkningsanmälan</t>
        </is>
      </c>
      <c r="C1322" t="inlineStr">
        <is>
          <t>Föryngringsavverkning</t>
        </is>
      </c>
      <c r="D1322" s="1" t="n">
        <v>45194</v>
      </c>
      <c r="E1322" s="1" t="n">
        <v>46216</v>
      </c>
      <c r="F1322" t="inlineStr">
        <is>
          <t>BLEKINGE LÄN</t>
        </is>
      </c>
      <c r="G1322" t="inlineStr">
        <is>
          <t>KARLSKRONA</t>
        </is>
      </c>
      <c r="I1322" t="n">
        <v>0.5</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49693-2022</t>
        </is>
      </c>
      <c r="B1323" t="inlineStr">
        <is>
          <t>avverkningsanmälan</t>
        </is>
      </c>
      <c r="C1323" t="inlineStr">
        <is>
          <t>Föryngringsavverkning</t>
        </is>
      </c>
      <c r="D1323" s="1" t="n">
        <v>44862</v>
      </c>
      <c r="E1323" s="1" t="n">
        <v>46216</v>
      </c>
      <c r="F1323" t="inlineStr">
        <is>
          <t>BLEKINGE LÄN</t>
        </is>
      </c>
      <c r="G1323" t="inlineStr">
        <is>
          <t>KARLSKRONA</t>
        </is>
      </c>
      <c r="I1323" t="n">
        <v>0.5</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29394-2023</t>
        </is>
      </c>
      <c r="B1324" t="inlineStr">
        <is>
          <t>avverkningsanmälan</t>
        </is>
      </c>
      <c r="C1324" t="inlineStr">
        <is>
          <t>Föryngringsavverkning</t>
        </is>
      </c>
      <c r="D1324" s="1" t="n">
        <v>45106</v>
      </c>
      <c r="E1324" s="1" t="n">
        <v>46216</v>
      </c>
      <c r="F1324" t="inlineStr">
        <is>
          <t>BLEKINGE LÄN</t>
        </is>
      </c>
      <c r="G1324" t="inlineStr">
        <is>
          <t>KARLSKRONA</t>
        </is>
      </c>
      <c r="I1324" t="n">
        <v>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29443-2023</t>
        </is>
      </c>
      <c r="B1325" t="inlineStr">
        <is>
          <t>avverkningsanmälan</t>
        </is>
      </c>
      <c r="C1325" t="inlineStr">
        <is>
          <t>Föryngringsavverkning</t>
        </is>
      </c>
      <c r="D1325" s="1" t="n">
        <v>45106</v>
      </c>
      <c r="E1325" s="1" t="n">
        <v>46216</v>
      </c>
      <c r="F1325" t="inlineStr">
        <is>
          <t>BLEKINGE LÄN</t>
        </is>
      </c>
      <c r="G1325" t="inlineStr">
        <is>
          <t>KARLSHAMN</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609-2024</t>
        </is>
      </c>
      <c r="B1326" t="inlineStr">
        <is>
          <t>avverkningsanmälan</t>
        </is>
      </c>
      <c r="C1326" t="inlineStr">
        <is>
          <t>Föryngringsavverkning</t>
        </is>
      </c>
      <c r="D1326" s="1" t="n">
        <v>45299</v>
      </c>
      <c r="E1326" s="1" t="n">
        <v>46216</v>
      </c>
      <c r="F1326" t="inlineStr">
        <is>
          <t>BLEKINGE LÄN</t>
        </is>
      </c>
      <c r="G1326" t="inlineStr">
        <is>
          <t>RONNEBY</t>
        </is>
      </c>
      <c r="I1326" t="n">
        <v>3.2</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13644-2026</t>
        </is>
      </c>
      <c r="B1327" t="inlineStr">
        <is>
          <t>avverkningsanmälan</t>
        </is>
      </c>
      <c r="C1327" t="inlineStr">
        <is>
          <t>Föryngringsavverkning</t>
        </is>
      </c>
      <c r="D1327" s="1" t="n">
        <v>46097</v>
      </c>
      <c r="E1327" s="1" t="n">
        <v>46216</v>
      </c>
      <c r="F1327" t="inlineStr">
        <is>
          <t>BLEKINGE LÄN</t>
        </is>
      </c>
      <c r="G1327" t="inlineStr">
        <is>
          <t>KARLSKRONA</t>
        </is>
      </c>
      <c r="I1327" t="n">
        <v>3.5</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13602-2026</t>
        </is>
      </c>
      <c r="B1328" t="inlineStr">
        <is>
          <t>avverkningsanmälan</t>
        </is>
      </c>
      <c r="C1328" t="inlineStr">
        <is>
          <t>Föryngringsavverkning</t>
        </is>
      </c>
      <c r="D1328" s="1" t="n">
        <v>46097</v>
      </c>
      <c r="E1328" s="1" t="n">
        <v>46216</v>
      </c>
      <c r="F1328" t="inlineStr">
        <is>
          <t>BLEKINGE LÄN</t>
        </is>
      </c>
      <c r="G1328" t="inlineStr">
        <is>
          <t>KARLSHAMN</t>
        </is>
      </c>
      <c r="I1328" t="n">
        <v>3.5</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57646-2024</t>
        </is>
      </c>
      <c r="B1329" t="inlineStr">
        <is>
          <t>avverkningsanmälan</t>
        </is>
      </c>
      <c r="C1329" t="inlineStr">
        <is>
          <t>Föryngringsavverkning</t>
        </is>
      </c>
      <c r="D1329" s="1" t="n">
        <v>45630</v>
      </c>
      <c r="E1329" s="1" t="n">
        <v>46216</v>
      </c>
      <c r="F1329" t="inlineStr">
        <is>
          <t>BLEKINGE LÄN</t>
        </is>
      </c>
      <c r="G1329" t="inlineStr">
        <is>
          <t>KARLSKRONA</t>
        </is>
      </c>
      <c r="I1329" t="n">
        <v>0.6</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2089-2024</t>
        </is>
      </c>
      <c r="B1330" t="inlineStr">
        <is>
          <t>avverkningsanmälan</t>
        </is>
      </c>
      <c r="C1330" t="inlineStr">
        <is>
          <t>Föryngringsavverkning</t>
        </is>
      </c>
      <c r="D1330" s="1" t="n">
        <v>45309</v>
      </c>
      <c r="E1330" s="1" t="n">
        <v>46216</v>
      </c>
      <c r="F1330" t="inlineStr">
        <is>
          <t>BLEKINGE LÄN</t>
        </is>
      </c>
      <c r="G1330" t="inlineStr">
        <is>
          <t>SÖLVESBORG</t>
        </is>
      </c>
      <c r="I1330" t="n">
        <v>3.7</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13034-2023</t>
        </is>
      </c>
      <c r="B1331" t="inlineStr">
        <is>
          <t>avverkningsanmälan</t>
        </is>
      </c>
      <c r="C1331" t="inlineStr">
        <is>
          <t>Föryngringsavverkning</t>
        </is>
      </c>
      <c r="D1331" s="1" t="n">
        <v>45001</v>
      </c>
      <c r="E1331" s="1" t="n">
        <v>46216</v>
      </c>
      <c r="F1331" t="inlineStr">
        <is>
          <t>BLEKINGE LÄN</t>
        </is>
      </c>
      <c r="G1331" t="inlineStr">
        <is>
          <t>RONNEBY</t>
        </is>
      </c>
      <c r="I1331" t="n">
        <v>0.8</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17563-2023</t>
        </is>
      </c>
      <c r="B1332" t="inlineStr">
        <is>
          <t>avverkningsanmälan</t>
        </is>
      </c>
      <c r="C1332" t="inlineStr">
        <is>
          <t>Föryngringsavverkning</t>
        </is>
      </c>
      <c r="D1332" s="1" t="n">
        <v>45036</v>
      </c>
      <c r="E1332" s="1" t="n">
        <v>46216</v>
      </c>
      <c r="F1332" t="inlineStr">
        <is>
          <t>BLEKINGE LÄN</t>
        </is>
      </c>
      <c r="G1332" t="inlineStr">
        <is>
          <t>RONNEBY</t>
        </is>
      </c>
      <c r="I1332" t="n">
        <v>4.2</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10245-2022</t>
        </is>
      </c>
      <c r="B1333" t="inlineStr">
        <is>
          <t>avverkningsanmälan</t>
        </is>
      </c>
      <c r="C1333" t="inlineStr">
        <is>
          <t>Föryngringsavverkning</t>
        </is>
      </c>
      <c r="D1333" s="1" t="n">
        <v>44622</v>
      </c>
      <c r="E1333" s="1" t="n">
        <v>46216</v>
      </c>
      <c r="F1333" t="inlineStr">
        <is>
          <t>BLEKINGE LÄN</t>
        </is>
      </c>
      <c r="G1333" t="inlineStr">
        <is>
          <t>KARLSHAMN</t>
        </is>
      </c>
      <c r="I1333" t="n">
        <v>3.2</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66267-2021</t>
        </is>
      </c>
      <c r="B1334" t="inlineStr">
        <is>
          <t>avverkningsanmälan</t>
        </is>
      </c>
      <c r="C1334" t="inlineStr">
        <is>
          <t>Föryngringsavverkning</t>
        </is>
      </c>
      <c r="D1334" s="1" t="n">
        <v>44518</v>
      </c>
      <c r="E1334" s="1" t="n">
        <v>46216</v>
      </c>
      <c r="F1334" t="inlineStr">
        <is>
          <t>BLEKINGE LÄN</t>
        </is>
      </c>
      <c r="G1334" t="inlineStr">
        <is>
          <t>KARLSHAMN</t>
        </is>
      </c>
      <c r="H1334" t="inlineStr">
        <is>
          <t>Sveaskog</t>
        </is>
      </c>
      <c r="I1334" t="n">
        <v>2</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39537-2024</t>
        </is>
      </c>
      <c r="B1335" t="inlineStr">
        <is>
          <t>avverkningsanmälan</t>
        </is>
      </c>
      <c r="C1335" t="inlineStr">
        <is>
          <t>Föryngringsavverkning</t>
        </is>
      </c>
      <c r="D1335" s="1" t="n">
        <v>45551</v>
      </c>
      <c r="E1335" s="1" t="n">
        <v>46216</v>
      </c>
      <c r="F1335" t="inlineStr">
        <is>
          <t>BLEKINGE LÄN</t>
        </is>
      </c>
      <c r="G1335" t="inlineStr">
        <is>
          <t>KARLSKRONA</t>
        </is>
      </c>
      <c r="I1335" t="n">
        <v>1.3</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25860-2023</t>
        </is>
      </c>
      <c r="B1336" t="inlineStr">
        <is>
          <t>avverkningsanmälan</t>
        </is>
      </c>
      <c r="C1336" t="inlineStr">
        <is>
          <t>Föryngringsavverkning</t>
        </is>
      </c>
      <c r="D1336" s="1" t="n">
        <v>45090</v>
      </c>
      <c r="E1336" s="1" t="n">
        <v>46216</v>
      </c>
      <c r="F1336" t="inlineStr">
        <is>
          <t>BLEKINGE LÄN</t>
        </is>
      </c>
      <c r="G1336" t="inlineStr">
        <is>
          <t>KARLSHAMN</t>
        </is>
      </c>
      <c r="I1336" t="n">
        <v>3.7</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14335-2026</t>
        </is>
      </c>
      <c r="B1337" t="inlineStr">
        <is>
          <t>avverkningsanmälan</t>
        </is>
      </c>
      <c r="C1337" t="inlineStr">
        <is>
          <t>Föryngringsavverkning</t>
        </is>
      </c>
      <c r="D1337" s="1" t="n">
        <v>46100</v>
      </c>
      <c r="E1337" s="1" t="n">
        <v>46216</v>
      </c>
      <c r="F1337" t="inlineStr">
        <is>
          <t>BLEKINGE LÄN</t>
        </is>
      </c>
      <c r="G1337" t="inlineStr">
        <is>
          <t>KARLSHAMN</t>
        </is>
      </c>
      <c r="I1337" t="n">
        <v>4.8</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9057-2024</t>
        </is>
      </c>
      <c r="B1338" t="inlineStr">
        <is>
          <t>avverkningsanmälan</t>
        </is>
      </c>
      <c r="C1338" t="inlineStr">
        <is>
          <t>Föryngringsavverkning</t>
        </is>
      </c>
      <c r="D1338" s="1" t="n">
        <v>45357</v>
      </c>
      <c r="E1338" s="1" t="n">
        <v>46216</v>
      </c>
      <c r="F1338" t="inlineStr">
        <is>
          <t>BLEKINGE LÄN</t>
        </is>
      </c>
      <c r="G1338" t="inlineStr">
        <is>
          <t>RONNEBY</t>
        </is>
      </c>
      <c r="H1338" t="inlineStr">
        <is>
          <t>Kommuner</t>
        </is>
      </c>
      <c r="I1338" t="n">
        <v>1.5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19948-2023</t>
        </is>
      </c>
      <c r="B1339" t="inlineStr">
        <is>
          <t>avverkningsanmälan</t>
        </is>
      </c>
      <c r="C1339" t="inlineStr">
        <is>
          <t>Föryngringsavverkning</t>
        </is>
      </c>
      <c r="D1339" s="1" t="n">
        <v>45054</v>
      </c>
      <c r="E1339" s="1" t="n">
        <v>46216</v>
      </c>
      <c r="F1339" t="inlineStr">
        <is>
          <t>BLEKINGE LÄN</t>
        </is>
      </c>
      <c r="G1339" t="inlineStr">
        <is>
          <t>RONNEBY</t>
        </is>
      </c>
      <c r="I1339" t="n">
        <v>2.3</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33350-2023</t>
        </is>
      </c>
      <c r="B1340" t="inlineStr">
        <is>
          <t>avverkningsanmälan</t>
        </is>
      </c>
      <c r="C1340" t="inlineStr">
        <is>
          <t>Föryngringsavverkning</t>
        </is>
      </c>
      <c r="D1340" s="1" t="n">
        <v>45117</v>
      </c>
      <c r="E1340" s="1" t="n">
        <v>46216</v>
      </c>
      <c r="F1340" t="inlineStr">
        <is>
          <t>BLEKINGE LÄN</t>
        </is>
      </c>
      <c r="G1340" t="inlineStr">
        <is>
          <t>KARLSKRONA</t>
        </is>
      </c>
      <c r="I1340" t="n">
        <v>1.6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39050-2024</t>
        </is>
      </c>
      <c r="B1341" t="inlineStr">
        <is>
          <t>avverkningsanmälan</t>
        </is>
      </c>
      <c r="C1341" t="inlineStr">
        <is>
          <t>Föryngringsavverkning</t>
        </is>
      </c>
      <c r="D1341" s="1" t="n">
        <v>45548</v>
      </c>
      <c r="E1341" s="1" t="n">
        <v>46216</v>
      </c>
      <c r="F1341" t="inlineStr">
        <is>
          <t>BLEKINGE LÄN</t>
        </is>
      </c>
      <c r="G1341" t="inlineStr">
        <is>
          <t>OLOFSTRÖM</t>
        </is>
      </c>
      <c r="I1341" t="n">
        <v>3.2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39077-2024</t>
        </is>
      </c>
      <c r="B1342" t="inlineStr">
        <is>
          <t>avverkningsanmälan</t>
        </is>
      </c>
      <c r="C1342" t="inlineStr">
        <is>
          <t>Föryngringsavverkning</t>
        </is>
      </c>
      <c r="D1342" s="1" t="n">
        <v>45548</v>
      </c>
      <c r="E1342" s="1" t="n">
        <v>46216</v>
      </c>
      <c r="F1342" t="inlineStr">
        <is>
          <t>BLEKINGE LÄN</t>
        </is>
      </c>
      <c r="G1342" t="inlineStr">
        <is>
          <t>OLOFSTRÖM</t>
        </is>
      </c>
      <c r="I1342" t="n">
        <v>3.4</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40082-2023</t>
        </is>
      </c>
      <c r="B1343" t="inlineStr">
        <is>
          <t>avverkningsanmälan</t>
        </is>
      </c>
      <c r="C1343" t="inlineStr">
        <is>
          <t>Föryngringsavverkning</t>
        </is>
      </c>
      <c r="D1343" s="1" t="n">
        <v>45168</v>
      </c>
      <c r="E1343" s="1" t="n">
        <v>46216</v>
      </c>
      <c r="F1343" t="inlineStr">
        <is>
          <t>BLEKINGE LÄN</t>
        </is>
      </c>
      <c r="G1343" t="inlineStr">
        <is>
          <t>KARLSKRONA</t>
        </is>
      </c>
      <c r="I1343" t="n">
        <v>1.6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40501-2024</t>
        </is>
      </c>
      <c r="B1344" t="inlineStr">
        <is>
          <t>avverkningsanmälan</t>
        </is>
      </c>
      <c r="C1344" t="inlineStr">
        <is>
          <t>Föryngringsavverkning</t>
        </is>
      </c>
      <c r="D1344" s="1" t="n">
        <v>45555</v>
      </c>
      <c r="E1344" s="1" t="n">
        <v>46216</v>
      </c>
      <c r="F1344" t="inlineStr">
        <is>
          <t>BLEKINGE LÄN</t>
        </is>
      </c>
      <c r="G1344" t="inlineStr">
        <is>
          <t>RONNEBY</t>
        </is>
      </c>
      <c r="I1344" t="n">
        <v>4.6</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8197-2024</t>
        </is>
      </c>
      <c r="B1345" t="inlineStr">
        <is>
          <t>avverkningsanmälan</t>
        </is>
      </c>
      <c r="C1345" t="inlineStr">
        <is>
          <t>Avverkning för att bevara och utveckla /försöksver</t>
        </is>
      </c>
      <c r="D1345" s="1" t="n">
        <v>45351</v>
      </c>
      <c r="E1345" s="1" t="n">
        <v>46216</v>
      </c>
      <c r="F1345" t="inlineStr">
        <is>
          <t>BLEKINGE LÄN</t>
        </is>
      </c>
      <c r="G1345" t="inlineStr">
        <is>
          <t>KARLSKRONA</t>
        </is>
      </c>
      <c r="I1345" t="n">
        <v>4.1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14428-2024</t>
        </is>
      </c>
      <c r="B1346" t="inlineStr">
        <is>
          <t>avverkningsanmälan</t>
        </is>
      </c>
      <c r="C1346" t="inlineStr">
        <is>
          <t>Föryngringsavverkning</t>
        </is>
      </c>
      <c r="D1346" s="1" t="n">
        <v>45394</v>
      </c>
      <c r="E1346" s="1" t="n">
        <v>46216</v>
      </c>
      <c r="F1346" t="inlineStr">
        <is>
          <t>BLEKINGE LÄN</t>
        </is>
      </c>
      <c r="G1346" t="inlineStr">
        <is>
          <t>RONNEBY</t>
        </is>
      </c>
      <c r="I1346" t="n">
        <v>0.4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46079-2024</t>
        </is>
      </c>
      <c r="B1347" t="inlineStr">
        <is>
          <t>avverkningsanmälan</t>
        </is>
      </c>
      <c r="C1347" t="inlineStr">
        <is>
          <t>Föryngringsavverkning</t>
        </is>
      </c>
      <c r="D1347" s="1" t="n">
        <v>45581</v>
      </c>
      <c r="E1347" s="1" t="n">
        <v>46216</v>
      </c>
      <c r="F1347" t="inlineStr">
        <is>
          <t>BLEKINGE LÄN</t>
        </is>
      </c>
      <c r="G1347" t="inlineStr">
        <is>
          <t>RONNEBY</t>
        </is>
      </c>
      <c r="I1347" t="n">
        <v>1.8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14311-2023</t>
        </is>
      </c>
      <c r="B1348" t="inlineStr">
        <is>
          <t>avverkningsanmälan</t>
        </is>
      </c>
      <c r="C1348" t="inlineStr">
        <is>
          <t>Föryngringsavverkning</t>
        </is>
      </c>
      <c r="D1348" s="1" t="n">
        <v>45011</v>
      </c>
      <c r="E1348" s="1" t="n">
        <v>46216</v>
      </c>
      <c r="F1348" t="inlineStr">
        <is>
          <t>BLEKINGE LÄN</t>
        </is>
      </c>
      <c r="G1348" t="inlineStr">
        <is>
          <t>OLOFSTRÖM</t>
        </is>
      </c>
      <c r="I1348" t="n">
        <v>2.7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15624-2024</t>
        </is>
      </c>
      <c r="B1349" t="inlineStr">
        <is>
          <t>avverkningsanmälan</t>
        </is>
      </c>
      <c r="C1349" t="inlineStr">
        <is>
          <t>Föryngringsavverkning</t>
        </is>
      </c>
      <c r="D1349" s="1" t="n">
        <v>45402</v>
      </c>
      <c r="E1349" s="1" t="n">
        <v>46216</v>
      </c>
      <c r="F1349" t="inlineStr">
        <is>
          <t>BLEKINGE LÄN</t>
        </is>
      </c>
      <c r="G1349" t="inlineStr">
        <is>
          <t>RONNEBY</t>
        </is>
      </c>
      <c r="I1349" t="n">
        <v>3.1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15095-2026</t>
        </is>
      </c>
      <c r="B1350" t="inlineStr">
        <is>
          <t>avverkningsanmälan</t>
        </is>
      </c>
      <c r="C1350" t="inlineStr">
        <is>
          <t>Föryngringsavverkning</t>
        </is>
      </c>
      <c r="D1350" s="1" t="n">
        <v>46104</v>
      </c>
      <c r="E1350" s="1" t="n">
        <v>46216</v>
      </c>
      <c r="F1350" t="inlineStr">
        <is>
          <t>BLEKINGE LÄN</t>
        </is>
      </c>
      <c r="G1350" t="inlineStr">
        <is>
          <t>RONNEBY</t>
        </is>
      </c>
      <c r="I1350" t="n">
        <v>1.3</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15134-2026</t>
        </is>
      </c>
      <c r="B1351" t="inlineStr">
        <is>
          <t>avverkningsanmälan</t>
        </is>
      </c>
      <c r="C1351" t="inlineStr">
        <is>
          <t>Föryngringsavverkning</t>
        </is>
      </c>
      <c r="D1351" s="1" t="n">
        <v>46104</v>
      </c>
      <c r="E1351" s="1" t="n">
        <v>46216</v>
      </c>
      <c r="F1351" t="inlineStr">
        <is>
          <t>BLEKINGE LÄN</t>
        </is>
      </c>
      <c r="G1351" t="inlineStr">
        <is>
          <t>KARLSHAMN</t>
        </is>
      </c>
      <c r="I1351" t="n">
        <v>1.4</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8837-2024</t>
        </is>
      </c>
      <c r="B1352" t="inlineStr">
        <is>
          <t>avverkningsanmälan</t>
        </is>
      </c>
      <c r="C1352" t="inlineStr">
        <is>
          <t>Föryngringsavverkning</t>
        </is>
      </c>
      <c r="D1352" s="1" t="n">
        <v>45356</v>
      </c>
      <c r="E1352" s="1" t="n">
        <v>46216</v>
      </c>
      <c r="F1352" t="inlineStr">
        <is>
          <t>BLEKINGE LÄN</t>
        </is>
      </c>
      <c r="G1352" t="inlineStr">
        <is>
          <t>SÖLVESBORG</t>
        </is>
      </c>
      <c r="I1352" t="n">
        <v>0.7</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12601-2024</t>
        </is>
      </c>
      <c r="B1353" t="inlineStr">
        <is>
          <t>avverkningsanmälan</t>
        </is>
      </c>
      <c r="C1353" t="inlineStr">
        <is>
          <t>Föryngringsavverkning</t>
        </is>
      </c>
      <c r="D1353" s="1" t="n">
        <v>45381</v>
      </c>
      <c r="E1353" s="1" t="n">
        <v>46216</v>
      </c>
      <c r="F1353" t="inlineStr">
        <is>
          <t>BLEKINGE LÄN</t>
        </is>
      </c>
      <c r="G1353" t="inlineStr">
        <is>
          <t>RONNEBY</t>
        </is>
      </c>
      <c r="I1353" t="n">
        <v>1.7</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24380-2024</t>
        </is>
      </c>
      <c r="B1354" t="inlineStr">
        <is>
          <t>avverkningsanmälan</t>
        </is>
      </c>
      <c r="C1354" t="inlineStr">
        <is>
          <t>Föryngringsavverkning</t>
        </is>
      </c>
      <c r="D1354" s="1" t="n">
        <v>45457</v>
      </c>
      <c r="E1354" s="1" t="n">
        <v>46216</v>
      </c>
      <c r="F1354" t="inlineStr">
        <is>
          <t>BLEKINGE LÄN</t>
        </is>
      </c>
      <c r="G1354" t="inlineStr">
        <is>
          <t>KARLSHAMN</t>
        </is>
      </c>
      <c r="I1354" t="n">
        <v>3.3</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38721-2023</t>
        </is>
      </c>
      <c r="B1355" t="inlineStr">
        <is>
          <t>avverkningsanmälan</t>
        </is>
      </c>
      <c r="C1355" t="inlineStr">
        <is>
          <t>Föryngringsavverkning</t>
        </is>
      </c>
      <c r="D1355" s="1" t="n">
        <v>45163</v>
      </c>
      <c r="E1355" s="1" t="n">
        <v>46216</v>
      </c>
      <c r="F1355" t="inlineStr">
        <is>
          <t>BLEKINGE LÄN</t>
        </is>
      </c>
      <c r="G1355" t="inlineStr">
        <is>
          <t>KARLSHAMN</t>
        </is>
      </c>
      <c r="I1355" t="n">
        <v>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15091-2026</t>
        </is>
      </c>
      <c r="B1356" t="inlineStr">
        <is>
          <t>avverkningsanmälan</t>
        </is>
      </c>
      <c r="C1356" t="inlineStr">
        <is>
          <t>Föryngringsavverkning</t>
        </is>
      </c>
      <c r="D1356" s="1" t="n">
        <v>46104</v>
      </c>
      <c r="E1356" s="1" t="n">
        <v>46216</v>
      </c>
      <c r="F1356" t="inlineStr">
        <is>
          <t>BLEKINGE LÄN</t>
        </is>
      </c>
      <c r="G1356" t="inlineStr">
        <is>
          <t>RONNEBY</t>
        </is>
      </c>
      <c r="I1356" t="n">
        <v>4</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42635-2024</t>
        </is>
      </c>
      <c r="B1357" t="inlineStr">
        <is>
          <t>avverkningsanmälan</t>
        </is>
      </c>
      <c r="C1357" t="inlineStr">
        <is>
          <t>Föryngringsavverkning</t>
        </is>
      </c>
      <c r="D1357" s="1" t="n">
        <v>45565</v>
      </c>
      <c r="E1357" s="1" t="n">
        <v>46216</v>
      </c>
      <c r="F1357" t="inlineStr">
        <is>
          <t>BLEKINGE LÄN</t>
        </is>
      </c>
      <c r="G1357" t="inlineStr">
        <is>
          <t>OLOFSTRÖM</t>
        </is>
      </c>
      <c r="I1357" t="n">
        <v>0.9</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14904-2026</t>
        </is>
      </c>
      <c r="B1358" t="inlineStr">
        <is>
          <t>avverkningsanmälan</t>
        </is>
      </c>
      <c r="C1358" t="inlineStr">
        <is>
          <t>Föryngringsavverkning</t>
        </is>
      </c>
      <c r="D1358" s="1" t="n">
        <v>46104</v>
      </c>
      <c r="E1358" s="1" t="n">
        <v>46216</v>
      </c>
      <c r="F1358" t="inlineStr">
        <is>
          <t>BLEKINGE LÄN</t>
        </is>
      </c>
      <c r="G1358" t="inlineStr">
        <is>
          <t>OLOFSTRÖM</t>
        </is>
      </c>
      <c r="I1358" t="n">
        <v>0.8</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15102-2026</t>
        </is>
      </c>
      <c r="B1359" t="inlineStr">
        <is>
          <t>avverkningsanmälan</t>
        </is>
      </c>
      <c r="C1359" t="inlineStr">
        <is>
          <t>Föryngringsavverkning</t>
        </is>
      </c>
      <c r="D1359" s="1" t="n">
        <v>46104</v>
      </c>
      <c r="E1359" s="1" t="n">
        <v>46216</v>
      </c>
      <c r="F1359" t="inlineStr">
        <is>
          <t>BLEKINGE LÄN</t>
        </is>
      </c>
      <c r="G1359" t="inlineStr">
        <is>
          <t>RONNEBY</t>
        </is>
      </c>
      <c r="I1359" t="n">
        <v>3.4</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15688-2026</t>
        </is>
      </c>
      <c r="B1360" t="inlineStr">
        <is>
          <t>avverkningsanmälan</t>
        </is>
      </c>
      <c r="C1360" t="inlineStr">
        <is>
          <t>Föryngringsavverkning</t>
        </is>
      </c>
      <c r="D1360" s="1" t="n">
        <v>46106</v>
      </c>
      <c r="E1360" s="1" t="n">
        <v>46216</v>
      </c>
      <c r="F1360" t="inlineStr">
        <is>
          <t>BLEKINGE LÄN</t>
        </is>
      </c>
      <c r="G1360" t="inlineStr">
        <is>
          <t>OLOFSTRÖM</t>
        </is>
      </c>
      <c r="I1360" t="n">
        <v>1.1</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54956-2024</t>
        </is>
      </c>
      <c r="B1361" t="inlineStr">
        <is>
          <t>avverkningsanmälan</t>
        </is>
      </c>
      <c r="C1361" t="inlineStr">
        <is>
          <t>Avverkning för annat ändamål</t>
        </is>
      </c>
      <c r="D1361" s="1" t="n">
        <v>45619</v>
      </c>
      <c r="E1361" s="1" t="n">
        <v>46216</v>
      </c>
      <c r="F1361" t="inlineStr">
        <is>
          <t>BLEKINGE LÄN</t>
        </is>
      </c>
      <c r="G1361" t="inlineStr">
        <is>
          <t>KARLSKRONA</t>
        </is>
      </c>
      <c r="I1361" t="n">
        <v>0.4</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36964-2023</t>
        </is>
      </c>
      <c r="B1362" t="inlineStr">
        <is>
          <t>avverkningsanmälan</t>
        </is>
      </c>
      <c r="C1362" t="inlineStr">
        <is>
          <t>Föryngringsavverkning</t>
        </is>
      </c>
      <c r="D1362" s="1" t="n">
        <v>45154</v>
      </c>
      <c r="E1362" s="1" t="n">
        <v>46216</v>
      </c>
      <c r="F1362" t="inlineStr">
        <is>
          <t>BLEKINGE LÄN</t>
        </is>
      </c>
      <c r="G1362" t="inlineStr">
        <is>
          <t>KARLSKRONA</t>
        </is>
      </c>
      <c r="I1362" t="n">
        <v>0.9</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33557-2024</t>
        </is>
      </c>
      <c r="B1363" t="inlineStr">
        <is>
          <t>avverkningsanmälan</t>
        </is>
      </c>
      <c r="C1363" t="inlineStr">
        <is>
          <t>Föryngringsavverkning</t>
        </is>
      </c>
      <c r="D1363" s="1" t="n">
        <v>45519</v>
      </c>
      <c r="E1363" s="1" t="n">
        <v>46216</v>
      </c>
      <c r="F1363" t="inlineStr">
        <is>
          <t>BLEKINGE LÄN</t>
        </is>
      </c>
      <c r="G1363" t="inlineStr">
        <is>
          <t>KARLSHAMN</t>
        </is>
      </c>
      <c r="I1363" t="n">
        <v>1</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40309-2023</t>
        </is>
      </c>
      <c r="B1364" t="inlineStr">
        <is>
          <t>avverkningsanmälan</t>
        </is>
      </c>
      <c r="C1364" t="inlineStr">
        <is>
          <t>Föryngringsavverkning</t>
        </is>
      </c>
      <c r="D1364" s="1" t="n">
        <v>45169</v>
      </c>
      <c r="E1364" s="1" t="n">
        <v>46216</v>
      </c>
      <c r="F1364" t="inlineStr">
        <is>
          <t>BLEKINGE LÄN</t>
        </is>
      </c>
      <c r="G1364" t="inlineStr">
        <is>
          <t>RONNEBY</t>
        </is>
      </c>
      <c r="I1364" t="n">
        <v>3.7</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15206-2026</t>
        </is>
      </c>
      <c r="B1365" t="inlineStr">
        <is>
          <t>avverkningsanmälan</t>
        </is>
      </c>
      <c r="C1365" t="inlineStr">
        <is>
          <t>Föryngringsavverkning</t>
        </is>
      </c>
      <c r="D1365" s="1" t="n">
        <v>46105</v>
      </c>
      <c r="E1365" s="1" t="n">
        <v>46216</v>
      </c>
      <c r="F1365" t="inlineStr">
        <is>
          <t>BLEKINGE LÄN</t>
        </is>
      </c>
      <c r="G1365" t="inlineStr">
        <is>
          <t>RONNEBY</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15468-2026</t>
        </is>
      </c>
      <c r="B1366" t="inlineStr">
        <is>
          <t>avverkningsanmälan</t>
        </is>
      </c>
      <c r="C1366" t="inlineStr">
        <is>
          <t>Föryngringsavverkning</t>
        </is>
      </c>
      <c r="D1366" s="1" t="n">
        <v>46106</v>
      </c>
      <c r="E1366" s="1" t="n">
        <v>46216</v>
      </c>
      <c r="F1366" t="inlineStr">
        <is>
          <t>BLEKINGE LÄN</t>
        </is>
      </c>
      <c r="G1366" t="inlineStr">
        <is>
          <t>KARLSKRONA</t>
        </is>
      </c>
      <c r="H1366" t="inlineStr">
        <is>
          <t>Kommuner</t>
        </is>
      </c>
      <c r="I1366" t="n">
        <v>1.7</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15471-2026</t>
        </is>
      </c>
      <c r="B1367" t="inlineStr">
        <is>
          <t>avverkningsanmälan</t>
        </is>
      </c>
      <c r="C1367" t="inlineStr">
        <is>
          <t>Föryngringsavverkning</t>
        </is>
      </c>
      <c r="D1367" s="1" t="n">
        <v>46106</v>
      </c>
      <c r="E1367" s="1" t="n">
        <v>46216</v>
      </c>
      <c r="F1367" t="inlineStr">
        <is>
          <t>BLEKINGE LÄN</t>
        </is>
      </c>
      <c r="G1367" t="inlineStr">
        <is>
          <t>KARLSHAMN</t>
        </is>
      </c>
      <c r="H1367" t="inlineStr">
        <is>
          <t>Sveaskog</t>
        </is>
      </c>
      <c r="I1367" t="n">
        <v>4.9</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15621-2026</t>
        </is>
      </c>
      <c r="B1368" t="inlineStr">
        <is>
          <t>avverkningsanmälan</t>
        </is>
      </c>
      <c r="C1368" t="inlineStr">
        <is>
          <t>Föryngringsavverkning</t>
        </is>
      </c>
      <c r="D1368" s="1" t="n">
        <v>46106</v>
      </c>
      <c r="E1368" s="1" t="n">
        <v>46216</v>
      </c>
      <c r="F1368" t="inlineStr">
        <is>
          <t>BLEKINGE LÄN</t>
        </is>
      </c>
      <c r="G1368" t="inlineStr">
        <is>
          <t>KARLSHAMN</t>
        </is>
      </c>
      <c r="H1368" t="inlineStr">
        <is>
          <t>Övriga Aktiebolag</t>
        </is>
      </c>
      <c r="I1368" t="n">
        <v>8.800000000000001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8452-2024</t>
        </is>
      </c>
      <c r="B1369" t="inlineStr">
        <is>
          <t>avverkningsanmälan</t>
        </is>
      </c>
      <c r="C1369" t="inlineStr">
        <is>
          <t>Föryngringsavverkning</t>
        </is>
      </c>
      <c r="D1369" s="1" t="n">
        <v>45354</v>
      </c>
      <c r="E1369" s="1" t="n">
        <v>46216</v>
      </c>
      <c r="F1369" t="inlineStr">
        <is>
          <t>BLEKINGE LÄN</t>
        </is>
      </c>
      <c r="G1369" t="inlineStr">
        <is>
          <t>RONNEBY</t>
        </is>
      </c>
      <c r="I1369" t="n">
        <v>2.4</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9288-2026</t>
        </is>
      </c>
      <c r="B1370" t="inlineStr">
        <is>
          <t>avverkningsanmälan</t>
        </is>
      </c>
      <c r="C1370" t="inlineStr">
        <is>
          <t>Föryngringsavverkning</t>
        </is>
      </c>
      <c r="D1370" s="1" t="n">
        <v>46070</v>
      </c>
      <c r="E1370" s="1" t="n">
        <v>46216</v>
      </c>
      <c r="F1370" t="inlineStr">
        <is>
          <t>BLEKINGE LÄN</t>
        </is>
      </c>
      <c r="G1370" t="inlineStr">
        <is>
          <t>OLOFSTRÖM</t>
        </is>
      </c>
      <c r="I1370" t="n">
        <v>3</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68972-2021</t>
        </is>
      </c>
      <c r="B1371" t="inlineStr">
        <is>
          <t>avverkningsanmälan</t>
        </is>
      </c>
      <c r="C1371" t="inlineStr">
        <is>
          <t>Föryngringsavverkning</t>
        </is>
      </c>
      <c r="D1371" s="1" t="n">
        <v>44530</v>
      </c>
      <c r="E1371" s="1" t="n">
        <v>46216</v>
      </c>
      <c r="F1371" t="inlineStr">
        <is>
          <t>BLEKINGE LÄN</t>
        </is>
      </c>
      <c r="G1371" t="inlineStr">
        <is>
          <t>KARLSKRONA</t>
        </is>
      </c>
      <c r="I1371" t="n">
        <v>6</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55421-2023</t>
        </is>
      </c>
      <c r="B1372" t="inlineStr">
        <is>
          <t>avverkningsanmälan</t>
        </is>
      </c>
      <c r="C1372" t="inlineStr">
        <is>
          <t>Föryngringsavverkning</t>
        </is>
      </c>
      <c r="D1372" s="1" t="n">
        <v>45238</v>
      </c>
      <c r="E1372" s="1" t="n">
        <v>46216</v>
      </c>
      <c r="F1372" t="inlineStr">
        <is>
          <t>BLEKINGE LÄN</t>
        </is>
      </c>
      <c r="G1372" t="inlineStr">
        <is>
          <t>OLOFSTRÖM</t>
        </is>
      </c>
      <c r="I1372" t="n">
        <v>1.9</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14101-2023</t>
        </is>
      </c>
      <c r="B1373" t="inlineStr">
        <is>
          <t>avverkningsanmälan</t>
        </is>
      </c>
      <c r="C1373" t="inlineStr">
        <is>
          <t>Föryngringsavverkning</t>
        </is>
      </c>
      <c r="D1373" s="1" t="n">
        <v>45009</v>
      </c>
      <c r="E1373" s="1" t="n">
        <v>46216</v>
      </c>
      <c r="F1373" t="inlineStr">
        <is>
          <t>BLEKINGE LÄN</t>
        </is>
      </c>
      <c r="G1373" t="inlineStr">
        <is>
          <t>RONNEBY</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14102-2023</t>
        </is>
      </c>
      <c r="B1374" t="inlineStr">
        <is>
          <t>avverkningsanmälan</t>
        </is>
      </c>
      <c r="C1374" t="inlineStr">
        <is>
          <t>Föryngringsavverkning</t>
        </is>
      </c>
      <c r="D1374" s="1" t="n">
        <v>45009</v>
      </c>
      <c r="E1374" s="1" t="n">
        <v>46216</v>
      </c>
      <c r="F1374" t="inlineStr">
        <is>
          <t>BLEKINGE LÄN</t>
        </is>
      </c>
      <c r="G1374" t="inlineStr">
        <is>
          <t>RONNEBY</t>
        </is>
      </c>
      <c r="I1374" t="n">
        <v>0.4</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54942-2021</t>
        </is>
      </c>
      <c r="B1375" t="inlineStr">
        <is>
          <t>avverkningsanmälan</t>
        </is>
      </c>
      <c r="C1375" t="inlineStr">
        <is>
          <t>Föryngringsavverkning</t>
        </is>
      </c>
      <c r="D1375" s="1" t="n">
        <v>44473</v>
      </c>
      <c r="E1375" s="1" t="n">
        <v>46216</v>
      </c>
      <c r="F1375" t="inlineStr">
        <is>
          <t>BLEKINGE LÄN</t>
        </is>
      </c>
      <c r="G1375" t="inlineStr">
        <is>
          <t>KARLSKRONA</t>
        </is>
      </c>
      <c r="I1375" t="n">
        <v>2.5</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26041-2023</t>
        </is>
      </c>
      <c r="B1376" t="inlineStr">
        <is>
          <t>avverkningsanmälan</t>
        </is>
      </c>
      <c r="C1376" t="inlineStr">
        <is>
          <t>Föryngringsavverkning</t>
        </is>
      </c>
      <c r="D1376" s="1" t="n">
        <v>45091</v>
      </c>
      <c r="E1376" s="1" t="n">
        <v>46216</v>
      </c>
      <c r="F1376" t="inlineStr">
        <is>
          <t>BLEKINGE LÄN</t>
        </is>
      </c>
      <c r="G1376" t="inlineStr">
        <is>
          <t>KARLSHAMN</t>
        </is>
      </c>
      <c r="I1376" t="n">
        <v>2.9</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16001-2026</t>
        </is>
      </c>
      <c r="B1377" t="inlineStr">
        <is>
          <t>avverkningsanmälan</t>
        </is>
      </c>
      <c r="C1377" t="inlineStr">
        <is>
          <t>Föryngringsavverkning</t>
        </is>
      </c>
      <c r="D1377" s="1" t="n">
        <v>46108</v>
      </c>
      <c r="E1377" s="1" t="n">
        <v>46216</v>
      </c>
      <c r="F1377" t="inlineStr">
        <is>
          <t>BLEKINGE LÄN</t>
        </is>
      </c>
      <c r="G1377" t="inlineStr">
        <is>
          <t>KARLSKRONA</t>
        </is>
      </c>
      <c r="I1377" t="n">
        <v>2.5</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10902-2025</t>
        </is>
      </c>
      <c r="B1378" t="inlineStr">
        <is>
          <t>avverkningsanmälan</t>
        </is>
      </c>
      <c r="C1378" t="inlineStr">
        <is>
          <t>Föryngringsavverkning</t>
        </is>
      </c>
      <c r="D1378" s="1" t="n">
        <v>45722</v>
      </c>
      <c r="E1378" s="1" t="n">
        <v>46216</v>
      </c>
      <c r="F1378" t="inlineStr">
        <is>
          <t>BLEKINGE LÄN</t>
        </is>
      </c>
      <c r="G1378" t="inlineStr">
        <is>
          <t>KARLSHAMN</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18095-2023</t>
        </is>
      </c>
      <c r="B1379" t="inlineStr">
        <is>
          <t>avverkningsanmälan</t>
        </is>
      </c>
      <c r="C1379" t="inlineStr">
        <is>
          <t>Föryngringsavverkning</t>
        </is>
      </c>
      <c r="D1379" s="1" t="n">
        <v>45037</v>
      </c>
      <c r="E1379" s="1" t="n">
        <v>46216</v>
      </c>
      <c r="F1379" t="inlineStr">
        <is>
          <t>BLEKINGE LÄN</t>
        </is>
      </c>
      <c r="G1379" t="inlineStr">
        <is>
          <t>KARLSHAMN</t>
        </is>
      </c>
      <c r="I1379" t="n">
        <v>4.3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56489-2021</t>
        </is>
      </c>
      <c r="B1380" t="inlineStr">
        <is>
          <t>avverkningsanmälan</t>
        </is>
      </c>
      <c r="C1380" t="inlineStr">
        <is>
          <t>Föryngringsavverkning</t>
        </is>
      </c>
      <c r="D1380" s="1" t="n">
        <v>44480</v>
      </c>
      <c r="E1380" s="1" t="n">
        <v>46216</v>
      </c>
      <c r="F1380" t="inlineStr">
        <is>
          <t>BLEKINGE LÄN</t>
        </is>
      </c>
      <c r="G1380" t="inlineStr">
        <is>
          <t>KARLSHAMN</t>
        </is>
      </c>
      <c r="I1380" t="n">
        <v>3.9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7255-2025</t>
        </is>
      </c>
      <c r="B1381" t="inlineStr">
        <is>
          <t>avverkningsanmälan</t>
        </is>
      </c>
      <c r="C1381" t="inlineStr">
        <is>
          <t>Föryngringsavverkning</t>
        </is>
      </c>
      <c r="D1381" s="1" t="n">
        <v>45702</v>
      </c>
      <c r="E1381" s="1" t="n">
        <v>46216</v>
      </c>
      <c r="F1381" t="inlineStr">
        <is>
          <t>BLEKINGE LÄN</t>
        </is>
      </c>
      <c r="G1381" t="inlineStr">
        <is>
          <t>RONNEBY</t>
        </is>
      </c>
      <c r="I1381" t="n">
        <v>2.6</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15111-2026</t>
        </is>
      </c>
      <c r="B1382" t="inlineStr">
        <is>
          <t>avverkningsanmälan</t>
        </is>
      </c>
      <c r="C1382" t="inlineStr">
        <is>
          <t>Föryngringsavverkning</t>
        </is>
      </c>
      <c r="D1382" s="1" t="n">
        <v>46104</v>
      </c>
      <c r="E1382" s="1" t="n">
        <v>46216</v>
      </c>
      <c r="F1382" t="inlineStr">
        <is>
          <t>BLEKINGE LÄN</t>
        </is>
      </c>
      <c r="G1382" t="inlineStr">
        <is>
          <t>RONNEBY</t>
        </is>
      </c>
      <c r="I1382" t="n">
        <v>4.2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36730-2024</t>
        </is>
      </c>
      <c r="B1383" t="inlineStr">
        <is>
          <t>avverkningsanmälan</t>
        </is>
      </c>
      <c r="C1383" t="inlineStr">
        <is>
          <t>Föryngringsavverkning</t>
        </is>
      </c>
      <c r="D1383" s="1" t="n">
        <v>45537</v>
      </c>
      <c r="E1383" s="1" t="n">
        <v>46216</v>
      </c>
      <c r="F1383" t="inlineStr">
        <is>
          <t>BLEKINGE LÄN</t>
        </is>
      </c>
      <c r="G1383" t="inlineStr">
        <is>
          <t>KARLSKRONA</t>
        </is>
      </c>
      <c r="I1383" t="n">
        <v>5.2</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53418-2022</t>
        </is>
      </c>
      <c r="B1384" t="inlineStr">
        <is>
          <t>avverkningsanmälan</t>
        </is>
      </c>
      <c r="C1384" t="inlineStr">
        <is>
          <t>Föryngringsavverkning</t>
        </is>
      </c>
      <c r="D1384" s="1" t="n">
        <v>44879</v>
      </c>
      <c r="E1384" s="1" t="n">
        <v>46216</v>
      </c>
      <c r="F1384" t="inlineStr">
        <is>
          <t>BLEKINGE LÄN</t>
        </is>
      </c>
      <c r="G1384" t="inlineStr">
        <is>
          <t>OLOFSTRÖM</t>
        </is>
      </c>
      <c r="I1384" t="n">
        <v>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58305-2023</t>
        </is>
      </c>
      <c r="B1385" t="inlineStr">
        <is>
          <t>avverkningsanmälan</t>
        </is>
      </c>
      <c r="C1385" t="inlineStr">
        <is>
          <t>Föryngringsavverkning</t>
        </is>
      </c>
      <c r="D1385" s="1" t="n">
        <v>45245</v>
      </c>
      <c r="E1385" s="1" t="n">
        <v>46216</v>
      </c>
      <c r="F1385" t="inlineStr">
        <is>
          <t>BLEKINGE LÄN</t>
        </is>
      </c>
      <c r="G1385" t="inlineStr">
        <is>
          <t>OLOFSTRÖM</t>
        </is>
      </c>
      <c r="I1385" t="n">
        <v>2.5</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14448-2023</t>
        </is>
      </c>
      <c r="B1386" t="inlineStr">
        <is>
          <t>avverkningsanmälan</t>
        </is>
      </c>
      <c r="C1386" t="inlineStr">
        <is>
          <t>Föryngringsavverkning</t>
        </is>
      </c>
      <c r="D1386" s="1" t="n">
        <v>45012</v>
      </c>
      <c r="E1386" s="1" t="n">
        <v>46216</v>
      </c>
      <c r="F1386" t="inlineStr">
        <is>
          <t>BLEKINGE LÄN</t>
        </is>
      </c>
      <c r="G1386" t="inlineStr">
        <is>
          <t>KARLSKRONA</t>
        </is>
      </c>
      <c r="I1386" t="n">
        <v>0.6</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16512-2026</t>
        </is>
      </c>
      <c r="B1387" t="inlineStr">
        <is>
          <t>avverkningsanmälan</t>
        </is>
      </c>
      <c r="C1387" t="inlineStr">
        <is>
          <t>Föryngringsavverkning</t>
        </is>
      </c>
      <c r="D1387" s="1" t="n">
        <v>46112</v>
      </c>
      <c r="E1387" s="1" t="n">
        <v>46216</v>
      </c>
      <c r="F1387" t="inlineStr">
        <is>
          <t>BLEKINGE LÄN</t>
        </is>
      </c>
      <c r="G1387" t="inlineStr">
        <is>
          <t>RONNEBY</t>
        </is>
      </c>
      <c r="I1387" t="n">
        <v>2</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9391-2023</t>
        </is>
      </c>
      <c r="B1388" t="inlineStr">
        <is>
          <t>avverkningsanmälan</t>
        </is>
      </c>
      <c r="C1388" t="inlineStr">
        <is>
          <t>Föryngringsavverkning</t>
        </is>
      </c>
      <c r="D1388" s="1" t="n">
        <v>44981</v>
      </c>
      <c r="E1388" s="1" t="n">
        <v>46216</v>
      </c>
      <c r="F1388" t="inlineStr">
        <is>
          <t>BLEKINGE LÄN</t>
        </is>
      </c>
      <c r="G1388" t="inlineStr">
        <is>
          <t>KARLSHAMN</t>
        </is>
      </c>
      <c r="H1388" t="inlineStr">
        <is>
          <t>Sveaskog</t>
        </is>
      </c>
      <c r="I1388" t="n">
        <v>2.7</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16588-2026</t>
        </is>
      </c>
      <c r="B1389" t="inlineStr">
        <is>
          <t>avverkningsanmälan</t>
        </is>
      </c>
      <c r="C1389" t="inlineStr">
        <is>
          <t>Föryngringsavverkning</t>
        </is>
      </c>
      <c r="D1389" s="1" t="n">
        <v>46112</v>
      </c>
      <c r="E1389" s="1" t="n">
        <v>46216</v>
      </c>
      <c r="F1389" t="inlineStr">
        <is>
          <t>BLEKINGE LÄN</t>
        </is>
      </c>
      <c r="G1389" t="inlineStr">
        <is>
          <t>KARLSKRONA</t>
        </is>
      </c>
      <c r="I1389" t="n">
        <v>2.6</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16594-2026</t>
        </is>
      </c>
      <c r="B1390" t="inlineStr">
        <is>
          <t>avverkningsanmälan</t>
        </is>
      </c>
      <c r="C1390" t="inlineStr">
        <is>
          <t>Föryngringsavverkning</t>
        </is>
      </c>
      <c r="D1390" s="1" t="n">
        <v>46112</v>
      </c>
      <c r="E1390" s="1" t="n">
        <v>46216</v>
      </c>
      <c r="F1390" t="inlineStr">
        <is>
          <t>BLEKINGE LÄN</t>
        </is>
      </c>
      <c r="G1390" t="inlineStr">
        <is>
          <t>KARLSKRONA</t>
        </is>
      </c>
      <c r="I1390" t="n">
        <v>1.1</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29389-2025</t>
        </is>
      </c>
      <c r="B1391" t="inlineStr">
        <is>
          <t>avverkningsanmälan</t>
        </is>
      </c>
      <c r="C1391" t="inlineStr">
        <is>
          <t>Föryngringsavverkning</t>
        </is>
      </c>
      <c r="D1391" s="1" t="n">
        <v>45824</v>
      </c>
      <c r="E1391" s="1" t="n">
        <v>46216</v>
      </c>
      <c r="F1391" t="inlineStr">
        <is>
          <t>BLEKINGE LÄN</t>
        </is>
      </c>
      <c r="G1391" t="inlineStr">
        <is>
          <t>KARLSHAMN</t>
        </is>
      </c>
      <c r="I1391" t="n">
        <v>3.4</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37394-2022</t>
        </is>
      </c>
      <c r="B1392" t="inlineStr">
        <is>
          <t>avverkningsanmälan</t>
        </is>
      </c>
      <c r="C1392" t="inlineStr">
        <is>
          <t>Föryngringsavverkning</t>
        </is>
      </c>
      <c r="D1392" s="1" t="n">
        <v>44809</v>
      </c>
      <c r="E1392" s="1" t="n">
        <v>46216</v>
      </c>
      <c r="F1392" t="inlineStr">
        <is>
          <t>BLEKINGE LÄN</t>
        </is>
      </c>
      <c r="G1392" t="inlineStr">
        <is>
          <t>KARLSKRONA</t>
        </is>
      </c>
      <c r="I1392" t="n">
        <v>1.3</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52199-2025</t>
        </is>
      </c>
      <c r="B1393" t="inlineStr">
        <is>
          <t>avverkningsanmälan</t>
        </is>
      </c>
      <c r="C1393" t="inlineStr">
        <is>
          <t>Föryngringsavverkning</t>
        </is>
      </c>
      <c r="D1393" s="1" t="n">
        <v>45953</v>
      </c>
      <c r="E1393" s="1" t="n">
        <v>46216</v>
      </c>
      <c r="F1393" t="inlineStr">
        <is>
          <t>BLEKINGE LÄN</t>
        </is>
      </c>
      <c r="G1393" t="inlineStr">
        <is>
          <t>KARLSHAMN</t>
        </is>
      </c>
      <c r="I1393" t="n">
        <v>1.5</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16469-2026</t>
        </is>
      </c>
      <c r="B1394" t="inlineStr">
        <is>
          <t>avverkningsanmälan</t>
        </is>
      </c>
      <c r="C1394" t="inlineStr">
        <is>
          <t>Föryngringsavverkning</t>
        </is>
      </c>
      <c r="D1394" s="1" t="n">
        <v>46112</v>
      </c>
      <c r="E1394" s="1" t="n">
        <v>46216</v>
      </c>
      <c r="F1394" t="inlineStr">
        <is>
          <t>BLEKINGE LÄN</t>
        </is>
      </c>
      <c r="G1394" t="inlineStr">
        <is>
          <t>KARLSKRONA</t>
        </is>
      </c>
      <c r="I1394" t="n">
        <v>1.4</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16382-2026</t>
        </is>
      </c>
      <c r="B1395" t="inlineStr">
        <is>
          <t>avverkningsanmälan</t>
        </is>
      </c>
      <c r="C1395" t="inlineStr">
        <is>
          <t>Föryngringsavverkning</t>
        </is>
      </c>
      <c r="D1395" s="1" t="n">
        <v>46111</v>
      </c>
      <c r="E1395" s="1" t="n">
        <v>46216</v>
      </c>
      <c r="F1395" t="inlineStr">
        <is>
          <t>BLEKINGE LÄN</t>
        </is>
      </c>
      <c r="G1395" t="inlineStr">
        <is>
          <t>KARLSKRONA</t>
        </is>
      </c>
      <c r="I1395" t="n">
        <v>3.2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16385-2026</t>
        </is>
      </c>
      <c r="B1396" t="inlineStr">
        <is>
          <t>avverkningsanmälan</t>
        </is>
      </c>
      <c r="C1396" t="inlineStr">
        <is>
          <t>Föryngringsavverkning</t>
        </is>
      </c>
      <c r="D1396" s="1" t="n">
        <v>46111</v>
      </c>
      <c r="E1396" s="1" t="n">
        <v>46216</v>
      </c>
      <c r="F1396" t="inlineStr">
        <is>
          <t>BLEKINGE LÄN</t>
        </is>
      </c>
      <c r="G1396" t="inlineStr">
        <is>
          <t>KARLSKRONA</t>
        </is>
      </c>
      <c r="I1396" t="n">
        <v>0.7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29914-2022</t>
        </is>
      </c>
      <c r="B1397" t="inlineStr">
        <is>
          <t>avverkningsanmälan</t>
        </is>
      </c>
      <c r="C1397" t="inlineStr">
        <is>
          <t>Föryngringsavverkning</t>
        </is>
      </c>
      <c r="D1397" s="1" t="n">
        <v>44756</v>
      </c>
      <c r="E1397" s="1" t="n">
        <v>46216</v>
      </c>
      <c r="F1397" t="inlineStr">
        <is>
          <t>BLEKINGE LÄN</t>
        </is>
      </c>
      <c r="G1397" t="inlineStr">
        <is>
          <t>KARLSKRONA</t>
        </is>
      </c>
      <c r="I1397" t="n">
        <v>1.6</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52195-2025</t>
        </is>
      </c>
      <c r="B1398" t="inlineStr">
        <is>
          <t>avverkningsanmälan</t>
        </is>
      </c>
      <c r="C1398" t="inlineStr">
        <is>
          <t>Föryngringsavverkning</t>
        </is>
      </c>
      <c r="D1398" s="1" t="n">
        <v>45953</v>
      </c>
      <c r="E1398" s="1" t="n">
        <v>46216</v>
      </c>
      <c r="F1398" t="inlineStr">
        <is>
          <t>BLEKINGE LÄN</t>
        </is>
      </c>
      <c r="G1398" t="inlineStr">
        <is>
          <t>KARLSHAMN</t>
        </is>
      </c>
      <c r="I1398" t="n">
        <v>1.2</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16492-2026</t>
        </is>
      </c>
      <c r="B1399" t="inlineStr">
        <is>
          <t>avverkningsanmälan</t>
        </is>
      </c>
      <c r="C1399" t="inlineStr">
        <is>
          <t>Föryngringsavverkning</t>
        </is>
      </c>
      <c r="D1399" s="1" t="n">
        <v>46112</v>
      </c>
      <c r="E1399" s="1" t="n">
        <v>46216</v>
      </c>
      <c r="F1399" t="inlineStr">
        <is>
          <t>BLEKINGE LÄN</t>
        </is>
      </c>
      <c r="G1399" t="inlineStr">
        <is>
          <t>RONNEBY</t>
        </is>
      </c>
      <c r="I1399" t="n">
        <v>1.7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16500-2026</t>
        </is>
      </c>
      <c r="B1400" t="inlineStr">
        <is>
          <t>avverkningsanmälan</t>
        </is>
      </c>
      <c r="C1400" t="inlineStr">
        <is>
          <t>Föryngringsavverkning</t>
        </is>
      </c>
      <c r="D1400" s="1" t="n">
        <v>46112</v>
      </c>
      <c r="E1400" s="1" t="n">
        <v>46216</v>
      </c>
      <c r="F1400" t="inlineStr">
        <is>
          <t>BLEKINGE LÄN</t>
        </is>
      </c>
      <c r="G1400" t="inlineStr">
        <is>
          <t>RONNEBY</t>
        </is>
      </c>
      <c r="I1400" t="n">
        <v>2.7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10327-2025</t>
        </is>
      </c>
      <c r="B1401" t="inlineStr">
        <is>
          <t>avverkningsanmälan</t>
        </is>
      </c>
      <c r="C1401" t="inlineStr">
        <is>
          <t>Föryngringsavverkning</t>
        </is>
      </c>
      <c r="D1401" s="1" t="n">
        <v>45720</v>
      </c>
      <c r="E1401" s="1" t="n">
        <v>46216</v>
      </c>
      <c r="F1401" t="inlineStr">
        <is>
          <t>BLEKINGE LÄN</t>
        </is>
      </c>
      <c r="G1401" t="inlineStr">
        <is>
          <t>OLOFSTRÖM</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16308-2026</t>
        </is>
      </c>
      <c r="B1402" t="inlineStr">
        <is>
          <t>avverkningsanmälan</t>
        </is>
      </c>
      <c r="C1402" t="inlineStr">
        <is>
          <t>Föryngringsavverkning</t>
        </is>
      </c>
      <c r="D1402" s="1" t="n">
        <v>46111</v>
      </c>
      <c r="E1402" s="1" t="n">
        <v>46216</v>
      </c>
      <c r="F1402" t="inlineStr">
        <is>
          <t>BLEKINGE LÄN</t>
        </is>
      </c>
      <c r="G1402" t="inlineStr">
        <is>
          <t>KARLSKRONA</t>
        </is>
      </c>
      <c r="I1402" t="n">
        <v>1.9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23679-2023</t>
        </is>
      </c>
      <c r="B1403" t="inlineStr">
        <is>
          <t>avverkningsanmälan</t>
        </is>
      </c>
      <c r="C1403" t="inlineStr">
        <is>
          <t>Föryngringsavverkning</t>
        </is>
      </c>
      <c r="D1403" s="1" t="n">
        <v>45077</v>
      </c>
      <c r="E1403" s="1" t="n">
        <v>46216</v>
      </c>
      <c r="F1403" t="inlineStr">
        <is>
          <t>BLEKINGE LÄN</t>
        </is>
      </c>
      <c r="G1403" t="inlineStr">
        <is>
          <t>KARLSKRONA</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16901-2026</t>
        </is>
      </c>
      <c r="B1404" t="inlineStr">
        <is>
          <t>avverkningsanmälan</t>
        </is>
      </c>
      <c r="C1404" t="inlineStr">
        <is>
          <t>Föryngringsavverkning</t>
        </is>
      </c>
      <c r="D1404" s="1" t="n">
        <v>46113</v>
      </c>
      <c r="E1404" s="1" t="n">
        <v>46216</v>
      </c>
      <c r="F1404" t="inlineStr">
        <is>
          <t>BLEKINGE LÄN</t>
        </is>
      </c>
      <c r="G1404" t="inlineStr">
        <is>
          <t>KARLSHAMN</t>
        </is>
      </c>
      <c r="I1404" t="n">
        <v>3.4</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2832-2023</t>
        </is>
      </c>
      <c r="B1405" t="inlineStr">
        <is>
          <t>avverkningsanmälan</t>
        </is>
      </c>
      <c r="C1405" t="inlineStr">
        <is>
          <t>Föryngringsavverkning</t>
        </is>
      </c>
      <c r="D1405" s="1" t="n">
        <v>44945</v>
      </c>
      <c r="E1405" s="1" t="n">
        <v>46216</v>
      </c>
      <c r="F1405" t="inlineStr">
        <is>
          <t>BLEKINGE LÄN</t>
        </is>
      </c>
      <c r="G1405" t="inlineStr">
        <is>
          <t>SÖLVESBORG</t>
        </is>
      </c>
      <c r="I1405" t="n">
        <v>1.1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2711-2023</t>
        </is>
      </c>
      <c r="B1406" t="inlineStr">
        <is>
          <t>avverkningsanmälan</t>
        </is>
      </c>
      <c r="C1406" t="inlineStr">
        <is>
          <t>Föryngringsavverkning</t>
        </is>
      </c>
      <c r="D1406" s="1" t="n">
        <v>44942</v>
      </c>
      <c r="E1406" s="1" t="n">
        <v>46216</v>
      </c>
      <c r="F1406" t="inlineStr">
        <is>
          <t>BLEKINGE LÄN</t>
        </is>
      </c>
      <c r="G1406" t="inlineStr">
        <is>
          <t>KARLSKRONA</t>
        </is>
      </c>
      <c r="I1406" t="n">
        <v>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51455-2024</t>
        </is>
      </c>
      <c r="B1407" t="inlineStr">
        <is>
          <t>avverkningsanmälan</t>
        </is>
      </c>
      <c r="C1407" t="inlineStr">
        <is>
          <t>Föryngringsavverkning</t>
        </is>
      </c>
      <c r="D1407" s="1" t="n">
        <v>45604</v>
      </c>
      <c r="E1407" s="1" t="n">
        <v>46216</v>
      </c>
      <c r="F1407" t="inlineStr">
        <is>
          <t>BLEKINGE LÄN</t>
        </is>
      </c>
      <c r="G1407" t="inlineStr">
        <is>
          <t>KARLSKRONA</t>
        </is>
      </c>
      <c r="I1407" t="n">
        <v>2.1</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29913-2023</t>
        </is>
      </c>
      <c r="B1408" t="inlineStr">
        <is>
          <t>avverkningsanmälan</t>
        </is>
      </c>
      <c r="C1408" t="inlineStr">
        <is>
          <t>Föryngringsavverkning</t>
        </is>
      </c>
      <c r="D1408" s="1" t="n">
        <v>45107</v>
      </c>
      <c r="E1408" s="1" t="n">
        <v>46216</v>
      </c>
      <c r="F1408" t="inlineStr">
        <is>
          <t>BLEKINGE LÄN</t>
        </is>
      </c>
      <c r="G1408" t="inlineStr">
        <is>
          <t>KARLSKRONA</t>
        </is>
      </c>
      <c r="I1408" t="n">
        <v>0.5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24969-2022</t>
        </is>
      </c>
      <c r="B1409" t="inlineStr">
        <is>
          <t>avverkningsanmälan</t>
        </is>
      </c>
      <c r="C1409" t="inlineStr">
        <is>
          <t>Föryngringsavverkning</t>
        </is>
      </c>
      <c r="D1409" s="1" t="n">
        <v>44728</v>
      </c>
      <c r="E1409" s="1" t="n">
        <v>46216</v>
      </c>
      <c r="F1409" t="inlineStr">
        <is>
          <t>BLEKINGE LÄN</t>
        </is>
      </c>
      <c r="G1409" t="inlineStr">
        <is>
          <t>KARLSKRONA</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16905-2026</t>
        </is>
      </c>
      <c r="B1410" t="inlineStr">
        <is>
          <t>avverkningsanmälan</t>
        </is>
      </c>
      <c r="C1410" t="inlineStr">
        <is>
          <t>Föryngringsavverkning</t>
        </is>
      </c>
      <c r="D1410" s="1" t="n">
        <v>46113</v>
      </c>
      <c r="E1410" s="1" t="n">
        <v>46216</v>
      </c>
      <c r="F1410" t="inlineStr">
        <is>
          <t>BLEKINGE LÄN</t>
        </is>
      </c>
      <c r="G1410" t="inlineStr">
        <is>
          <t>KARLSHAMN</t>
        </is>
      </c>
      <c r="I1410" t="n">
        <v>0.9</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16909-2026</t>
        </is>
      </c>
      <c r="B1411" t="inlineStr">
        <is>
          <t>avverkningsanmälan</t>
        </is>
      </c>
      <c r="C1411" t="inlineStr">
        <is>
          <t>Föryngringsavverkning</t>
        </is>
      </c>
      <c r="D1411" s="1" t="n">
        <v>46113</v>
      </c>
      <c r="E1411" s="1" t="n">
        <v>46216</v>
      </c>
      <c r="F1411" t="inlineStr">
        <is>
          <t>BLEKINGE LÄN</t>
        </is>
      </c>
      <c r="G1411" t="inlineStr">
        <is>
          <t>KARLSHAMN</t>
        </is>
      </c>
      <c r="I1411" t="n">
        <v>2.5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16699-2026</t>
        </is>
      </c>
      <c r="B1412" t="inlineStr">
        <is>
          <t>avverkningsanmälan</t>
        </is>
      </c>
      <c r="C1412" t="inlineStr">
        <is>
          <t>Föryngringsavverkning</t>
        </is>
      </c>
      <c r="D1412" s="1" t="n">
        <v>46113</v>
      </c>
      <c r="E1412" s="1" t="n">
        <v>46216</v>
      </c>
      <c r="F1412" t="inlineStr">
        <is>
          <t>BLEKINGE LÄN</t>
        </is>
      </c>
      <c r="G1412" t="inlineStr">
        <is>
          <t>KARLSKRONA</t>
        </is>
      </c>
      <c r="I1412" t="n">
        <v>1.1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16701-2026</t>
        </is>
      </c>
      <c r="B1413" t="inlineStr">
        <is>
          <t>avverkningsanmälan</t>
        </is>
      </c>
      <c r="C1413" t="inlineStr">
        <is>
          <t>Föryngringsavverkning</t>
        </is>
      </c>
      <c r="D1413" s="1" t="n">
        <v>46113</v>
      </c>
      <c r="E1413" s="1" t="n">
        <v>46216</v>
      </c>
      <c r="F1413" t="inlineStr">
        <is>
          <t>BLEKINGE LÄN</t>
        </is>
      </c>
      <c r="G1413" t="inlineStr">
        <is>
          <t>KARLSKRONA</t>
        </is>
      </c>
      <c r="I1413" t="n">
        <v>1.8</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47823-2024</t>
        </is>
      </c>
      <c r="B1414" t="inlineStr">
        <is>
          <t>avverkningsanmälan</t>
        </is>
      </c>
      <c r="C1414" t="inlineStr">
        <is>
          <t>Föryngringsavverkning</t>
        </is>
      </c>
      <c r="D1414" s="1" t="n">
        <v>45588</v>
      </c>
      <c r="E1414" s="1" t="n">
        <v>46216</v>
      </c>
      <c r="F1414" t="inlineStr">
        <is>
          <t>BLEKINGE LÄN</t>
        </is>
      </c>
      <c r="G1414" t="inlineStr">
        <is>
          <t>RONNEBY</t>
        </is>
      </c>
      <c r="H1414" t="inlineStr">
        <is>
          <t>Kommuner</t>
        </is>
      </c>
      <c r="I1414" t="n">
        <v>7</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16730-2026</t>
        </is>
      </c>
      <c r="B1415" t="inlineStr">
        <is>
          <t>avverkningsanmälan</t>
        </is>
      </c>
      <c r="C1415" t="inlineStr">
        <is>
          <t>Föryngringsavverkning</t>
        </is>
      </c>
      <c r="D1415" s="1" t="n">
        <v>46113</v>
      </c>
      <c r="E1415" s="1" t="n">
        <v>46216</v>
      </c>
      <c r="F1415" t="inlineStr">
        <is>
          <t>BLEKINGE LÄN</t>
        </is>
      </c>
      <c r="G1415" t="inlineStr">
        <is>
          <t>KARLSKRONA</t>
        </is>
      </c>
      <c r="I1415" t="n">
        <v>1.8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5885-2025</t>
        </is>
      </c>
      <c r="B1416" t="inlineStr">
        <is>
          <t>avverkningsanmälan</t>
        </is>
      </c>
      <c r="C1416" t="inlineStr">
        <is>
          <t>Föryngringsavverkning</t>
        </is>
      </c>
      <c r="D1416" s="1" t="n">
        <v>45695</v>
      </c>
      <c r="E1416" s="1" t="n">
        <v>46216</v>
      </c>
      <c r="F1416" t="inlineStr">
        <is>
          <t>BLEKINGE LÄN</t>
        </is>
      </c>
      <c r="G1416" t="inlineStr">
        <is>
          <t>KARLSKRONA</t>
        </is>
      </c>
      <c r="I1416" t="n">
        <v>0.4</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16720-2026</t>
        </is>
      </c>
      <c r="B1417" t="inlineStr">
        <is>
          <t>avverkningsanmälan</t>
        </is>
      </c>
      <c r="C1417" t="inlineStr">
        <is>
          <t>Föryngringsavverkning</t>
        </is>
      </c>
      <c r="D1417" s="1" t="n">
        <v>46113</v>
      </c>
      <c r="E1417" s="1" t="n">
        <v>46216</v>
      </c>
      <c r="F1417" t="inlineStr">
        <is>
          <t>BLEKINGE LÄN</t>
        </is>
      </c>
      <c r="G1417" t="inlineStr">
        <is>
          <t>KARLSKRONA</t>
        </is>
      </c>
      <c r="I1417" t="n">
        <v>1.7</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16702-2026</t>
        </is>
      </c>
      <c r="B1418" t="inlineStr">
        <is>
          <t>avverkningsanmälan</t>
        </is>
      </c>
      <c r="C1418" t="inlineStr">
        <is>
          <t>Föryngringsavverkning</t>
        </is>
      </c>
      <c r="D1418" s="1" t="n">
        <v>46113</v>
      </c>
      <c r="E1418" s="1" t="n">
        <v>46216</v>
      </c>
      <c r="F1418" t="inlineStr">
        <is>
          <t>BLEKINGE LÄN</t>
        </is>
      </c>
      <c r="G1418" t="inlineStr">
        <is>
          <t>KARLSKRONA</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16745-2026</t>
        </is>
      </c>
      <c r="B1419" t="inlineStr">
        <is>
          <t>avverkningsanmälan</t>
        </is>
      </c>
      <c r="C1419" t="inlineStr">
        <is>
          <t>Föryngringsavverkning</t>
        </is>
      </c>
      <c r="D1419" s="1" t="n">
        <v>46113</v>
      </c>
      <c r="E1419" s="1" t="n">
        <v>46216</v>
      </c>
      <c r="F1419" t="inlineStr">
        <is>
          <t>BLEKINGE LÄN</t>
        </is>
      </c>
      <c r="G1419" t="inlineStr">
        <is>
          <t>KARLSKRONA</t>
        </is>
      </c>
      <c r="I1419" t="n">
        <v>1.6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16747-2026</t>
        </is>
      </c>
      <c r="B1420" t="inlineStr">
        <is>
          <t>avverkningsanmälan</t>
        </is>
      </c>
      <c r="C1420" t="inlineStr">
        <is>
          <t>Föryngringsavverkning</t>
        </is>
      </c>
      <c r="D1420" s="1" t="n">
        <v>46113</v>
      </c>
      <c r="E1420" s="1" t="n">
        <v>46216</v>
      </c>
      <c r="F1420" t="inlineStr">
        <is>
          <t>BLEKINGE LÄN</t>
        </is>
      </c>
      <c r="G1420" t="inlineStr">
        <is>
          <t>KARLSKRONA</t>
        </is>
      </c>
      <c r="I1420" t="n">
        <v>3.3</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16753-2026</t>
        </is>
      </c>
      <c r="B1421" t="inlineStr">
        <is>
          <t>avverkningsanmälan</t>
        </is>
      </c>
      <c r="C1421" t="inlineStr">
        <is>
          <t>Avverkning för annat ändamål</t>
        </is>
      </c>
      <c r="D1421" s="1" t="n">
        <v>46113</v>
      </c>
      <c r="E1421" s="1" t="n">
        <v>46216</v>
      </c>
      <c r="F1421" t="inlineStr">
        <is>
          <t>BLEKINGE LÄN</t>
        </is>
      </c>
      <c r="G1421" t="inlineStr">
        <is>
          <t>KARLSKRONA</t>
        </is>
      </c>
      <c r="I1421" t="n">
        <v>0.8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2567-2023</t>
        </is>
      </c>
      <c r="B1422" t="inlineStr">
        <is>
          <t>avverkningsanmälan</t>
        </is>
      </c>
      <c r="C1422" t="inlineStr">
        <is>
          <t>Föryngringsavverkning</t>
        </is>
      </c>
      <c r="D1422" s="1" t="n">
        <v>44943</v>
      </c>
      <c r="E1422" s="1" t="n">
        <v>46216</v>
      </c>
      <c r="F1422" t="inlineStr">
        <is>
          <t>BLEKINGE LÄN</t>
        </is>
      </c>
      <c r="G1422" t="inlineStr">
        <is>
          <t>KARLSHAMN</t>
        </is>
      </c>
      <c r="I1422" t="n">
        <v>1.7</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26356-2024</t>
        </is>
      </c>
      <c r="B1423" t="inlineStr">
        <is>
          <t>avverkningsanmälan</t>
        </is>
      </c>
      <c r="C1423" t="inlineStr">
        <is>
          <t>Föryngringsavverkning</t>
        </is>
      </c>
      <c r="D1423" s="1" t="n">
        <v>45469</v>
      </c>
      <c r="E1423" s="1" t="n">
        <v>46216</v>
      </c>
      <c r="F1423" t="inlineStr">
        <is>
          <t>BLEKINGE LÄN</t>
        </is>
      </c>
      <c r="G1423" t="inlineStr">
        <is>
          <t>KARLSKRONA</t>
        </is>
      </c>
      <c r="I1423" t="n">
        <v>0.6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62666-2023</t>
        </is>
      </c>
      <c r="B1424" t="inlineStr">
        <is>
          <t>avverkningsanmälan</t>
        </is>
      </c>
      <c r="C1424" t="inlineStr">
        <is>
          <t>Föryngringsavverkning</t>
        </is>
      </c>
      <c r="D1424" s="1" t="n">
        <v>45271</v>
      </c>
      <c r="E1424" s="1" t="n">
        <v>46216</v>
      </c>
      <c r="F1424" t="inlineStr">
        <is>
          <t>BLEKINGE LÄN</t>
        </is>
      </c>
      <c r="G1424" t="inlineStr">
        <is>
          <t>OLOFSTRÖM</t>
        </is>
      </c>
      <c r="I1424" t="n">
        <v>2.7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62672-2023</t>
        </is>
      </c>
      <c r="B1425" t="inlineStr">
        <is>
          <t>avverkningsanmälan</t>
        </is>
      </c>
      <c r="C1425" t="inlineStr">
        <is>
          <t>Föryngringsavverkning</t>
        </is>
      </c>
      <c r="D1425" s="1" t="n">
        <v>45271</v>
      </c>
      <c r="E1425" s="1" t="n">
        <v>46216</v>
      </c>
      <c r="F1425" t="inlineStr">
        <is>
          <t>BLEKINGE LÄN</t>
        </is>
      </c>
      <c r="G1425" t="inlineStr">
        <is>
          <t>OLOFSTRÖM</t>
        </is>
      </c>
      <c r="I1425" t="n">
        <v>8.199999999999999</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62744-2023</t>
        </is>
      </c>
      <c r="B1426" t="inlineStr">
        <is>
          <t>avverkningsanmälan</t>
        </is>
      </c>
      <c r="C1426" t="inlineStr">
        <is>
          <t>Föryngringsavverkning</t>
        </is>
      </c>
      <c r="D1426" s="1" t="n">
        <v>45268</v>
      </c>
      <c r="E1426" s="1" t="n">
        <v>46216</v>
      </c>
      <c r="F1426" t="inlineStr">
        <is>
          <t>BLEKINGE LÄN</t>
        </is>
      </c>
      <c r="G1426" t="inlineStr">
        <is>
          <t>OLOFSTRÖM</t>
        </is>
      </c>
      <c r="H1426" t="inlineStr">
        <is>
          <t>Övriga Aktiebolag</t>
        </is>
      </c>
      <c r="I1426" t="n">
        <v>1.6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62758-2023</t>
        </is>
      </c>
      <c r="B1427" t="inlineStr">
        <is>
          <t>avverkningsanmälan</t>
        </is>
      </c>
      <c r="C1427" t="inlineStr">
        <is>
          <t>Föryngringsavverkning</t>
        </is>
      </c>
      <c r="D1427" s="1" t="n">
        <v>45268</v>
      </c>
      <c r="E1427" s="1" t="n">
        <v>46216</v>
      </c>
      <c r="F1427" t="inlineStr">
        <is>
          <t>BLEKINGE LÄN</t>
        </is>
      </c>
      <c r="G1427" t="inlineStr">
        <is>
          <t>OLOFSTRÖM</t>
        </is>
      </c>
      <c r="H1427" t="inlineStr">
        <is>
          <t>Övriga Aktiebolag</t>
        </is>
      </c>
      <c r="I1427" t="n">
        <v>2.5</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6649-2025</t>
        </is>
      </c>
      <c r="B1428" t="inlineStr">
        <is>
          <t>avverkningsanmälan</t>
        </is>
      </c>
      <c r="C1428" t="inlineStr">
        <is>
          <t>Föryngringsavverkning</t>
        </is>
      </c>
      <c r="D1428" s="1" t="n">
        <v>45700</v>
      </c>
      <c r="E1428" s="1" t="n">
        <v>46216</v>
      </c>
      <c r="F1428" t="inlineStr">
        <is>
          <t>BLEKINGE LÄN</t>
        </is>
      </c>
      <c r="G1428" t="inlineStr">
        <is>
          <t>OLOFSTRÖM</t>
        </is>
      </c>
      <c r="H1428" t="inlineStr">
        <is>
          <t>Kommuner</t>
        </is>
      </c>
      <c r="I1428" t="n">
        <v>0.8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682-2022</t>
        </is>
      </c>
      <c r="B1429" t="inlineStr">
        <is>
          <t>avverkningsanmälan</t>
        </is>
      </c>
      <c r="C1429" t="inlineStr">
        <is>
          <t>Föryngringsavverkning</t>
        </is>
      </c>
      <c r="D1429" s="1" t="n">
        <v>44568</v>
      </c>
      <c r="E1429" s="1" t="n">
        <v>46216</v>
      </c>
      <c r="F1429" t="inlineStr">
        <is>
          <t>BLEKINGE LÄN</t>
        </is>
      </c>
      <c r="G1429" t="inlineStr">
        <is>
          <t>KARLSHAMN</t>
        </is>
      </c>
      <c r="I1429" t="n">
        <v>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63881-2023</t>
        </is>
      </c>
      <c r="B1430" t="inlineStr">
        <is>
          <t>avverkningsanmälan</t>
        </is>
      </c>
      <c r="C1430" t="inlineStr">
        <is>
          <t>Föryngringsavverkning</t>
        </is>
      </c>
      <c r="D1430" s="1" t="n">
        <v>45278</v>
      </c>
      <c r="E1430" s="1" t="n">
        <v>46216</v>
      </c>
      <c r="F1430" t="inlineStr">
        <is>
          <t>BLEKINGE LÄN</t>
        </is>
      </c>
      <c r="G1430" t="inlineStr">
        <is>
          <t>RONNEBY</t>
        </is>
      </c>
      <c r="I1430" t="n">
        <v>2.4</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17232-2026</t>
        </is>
      </c>
      <c r="B1431" t="inlineStr">
        <is>
          <t>avverkningsanmälan</t>
        </is>
      </c>
      <c r="C1431" t="inlineStr">
        <is>
          <t>Föryngringsavverkning</t>
        </is>
      </c>
      <c r="D1431" s="1" t="n">
        <v>46119</v>
      </c>
      <c r="E1431" s="1" t="n">
        <v>46216</v>
      </c>
      <c r="F1431" t="inlineStr">
        <is>
          <t>BLEKINGE LÄN</t>
        </is>
      </c>
      <c r="G1431" t="inlineStr">
        <is>
          <t>OLOFSTRÖM</t>
        </is>
      </c>
      <c r="I1431" t="n">
        <v>0.8</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17398-2026</t>
        </is>
      </c>
      <c r="B1432" t="inlineStr">
        <is>
          <t>avverkningsanmälan</t>
        </is>
      </c>
      <c r="C1432" t="inlineStr">
        <is>
          <t>Föryngringsavverkning</t>
        </is>
      </c>
      <c r="D1432" s="1" t="n">
        <v>46119</v>
      </c>
      <c r="E1432" s="1" t="n">
        <v>46216</v>
      </c>
      <c r="F1432" t="inlineStr">
        <is>
          <t>BLEKINGE LÄN</t>
        </is>
      </c>
      <c r="G1432" t="inlineStr">
        <is>
          <t>RONNEBY</t>
        </is>
      </c>
      <c r="I1432" t="n">
        <v>1.1</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7658-2022</t>
        </is>
      </c>
      <c r="B1433" t="inlineStr">
        <is>
          <t>avverkningsanmälan</t>
        </is>
      </c>
      <c r="C1433" t="inlineStr">
        <is>
          <t>Föryngringsavverkning</t>
        </is>
      </c>
      <c r="D1433" s="1" t="n">
        <v>44607</v>
      </c>
      <c r="E1433" s="1" t="n">
        <v>46216</v>
      </c>
      <c r="F1433" t="inlineStr">
        <is>
          <t>BLEKINGE LÄN</t>
        </is>
      </c>
      <c r="G1433" t="inlineStr">
        <is>
          <t>KARLSHAMN</t>
        </is>
      </c>
      <c r="I1433" t="n">
        <v>1.3</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9384-2023</t>
        </is>
      </c>
      <c r="B1434" t="inlineStr">
        <is>
          <t>avverkningsanmälan</t>
        </is>
      </c>
      <c r="C1434" t="inlineStr">
        <is>
          <t>Föryngringsavverkning</t>
        </is>
      </c>
      <c r="D1434" s="1" t="n">
        <v>44981</v>
      </c>
      <c r="E1434" s="1" t="n">
        <v>46216</v>
      </c>
      <c r="F1434" t="inlineStr">
        <is>
          <t>BLEKINGE LÄN</t>
        </is>
      </c>
      <c r="G1434" t="inlineStr">
        <is>
          <t>KARLSKRONA</t>
        </is>
      </c>
      <c r="I1434" t="n">
        <v>2.8</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17459-2026</t>
        </is>
      </c>
      <c r="B1435" t="inlineStr">
        <is>
          <t>avverkningsanmälan</t>
        </is>
      </c>
      <c r="C1435" t="inlineStr">
        <is>
          <t>Föryngringsavverkning</t>
        </is>
      </c>
      <c r="D1435" s="1" t="n">
        <v>46120</v>
      </c>
      <c r="E1435" s="1" t="n">
        <v>46216</v>
      </c>
      <c r="F1435" t="inlineStr">
        <is>
          <t>BLEKINGE LÄN</t>
        </is>
      </c>
      <c r="G1435" t="inlineStr">
        <is>
          <t>OLOFSTRÖM</t>
        </is>
      </c>
      <c r="I1435" t="n">
        <v>0.7</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50808-2024</t>
        </is>
      </c>
      <c r="B1436" t="inlineStr">
        <is>
          <t>avverkningsanmälan</t>
        </is>
      </c>
      <c r="C1436" t="inlineStr">
        <is>
          <t>Föryngringsavverkning</t>
        </is>
      </c>
      <c r="D1436" s="1" t="n">
        <v>45602</v>
      </c>
      <c r="E1436" s="1" t="n">
        <v>46216</v>
      </c>
      <c r="F1436" t="inlineStr">
        <is>
          <t>BLEKINGE LÄN</t>
        </is>
      </c>
      <c r="G1436" t="inlineStr">
        <is>
          <t>RONNEBY</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16866-2025</t>
        </is>
      </c>
      <c r="B1437" t="inlineStr">
        <is>
          <t>avverkningsanmälan</t>
        </is>
      </c>
      <c r="C1437" t="inlineStr">
        <is>
          <t>Föryngringsavverkning</t>
        </is>
      </c>
      <c r="D1437" s="1" t="n">
        <v>45754</v>
      </c>
      <c r="E1437" s="1" t="n">
        <v>46216</v>
      </c>
      <c r="F1437" t="inlineStr">
        <is>
          <t>BLEKINGE LÄN</t>
        </is>
      </c>
      <c r="G1437" t="inlineStr">
        <is>
          <t>RONNEBY</t>
        </is>
      </c>
      <c r="I1437" t="n">
        <v>1.8</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10365-2023</t>
        </is>
      </c>
      <c r="B1438" t="inlineStr">
        <is>
          <t>avverkningsanmälan</t>
        </is>
      </c>
      <c r="C1438" t="inlineStr">
        <is>
          <t>Föryngringsavverkning</t>
        </is>
      </c>
      <c r="D1438" s="1" t="n">
        <v>44987</v>
      </c>
      <c r="E1438" s="1" t="n">
        <v>46216</v>
      </c>
      <c r="F1438" t="inlineStr">
        <is>
          <t>BLEKINGE LÄN</t>
        </is>
      </c>
      <c r="G1438" t="inlineStr">
        <is>
          <t>RONNEBY</t>
        </is>
      </c>
      <c r="I1438" t="n">
        <v>0.5</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52682-2024</t>
        </is>
      </c>
      <c r="B1439" t="inlineStr">
        <is>
          <t>avverkningsanmälan</t>
        </is>
      </c>
      <c r="C1439" t="inlineStr">
        <is>
          <t>Föryngringsavverkning</t>
        </is>
      </c>
      <c r="D1439" s="1" t="n">
        <v>45610</v>
      </c>
      <c r="E1439" s="1" t="n">
        <v>46216</v>
      </c>
      <c r="F1439" t="inlineStr">
        <is>
          <t>BLEKINGE LÄN</t>
        </is>
      </c>
      <c r="G1439" t="inlineStr">
        <is>
          <t>KARLSKRONA</t>
        </is>
      </c>
      <c r="I1439" t="n">
        <v>1</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17768-2026</t>
        </is>
      </c>
      <c r="B1440" t="inlineStr">
        <is>
          <t>avverkningsanmälan</t>
        </is>
      </c>
      <c r="C1440" t="inlineStr">
        <is>
          <t>Föryngringsavverkning</t>
        </is>
      </c>
      <c r="D1440" s="1" t="n">
        <v>46122</v>
      </c>
      <c r="E1440" s="1" t="n">
        <v>46216</v>
      </c>
      <c r="F1440" t="inlineStr">
        <is>
          <t>BLEKINGE LÄN</t>
        </is>
      </c>
      <c r="G1440" t="inlineStr">
        <is>
          <t>KARLSHAMN</t>
        </is>
      </c>
      <c r="I1440" t="n">
        <v>0.6</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31687-2023</t>
        </is>
      </c>
      <c r="B1441" t="inlineStr">
        <is>
          <t>avverkningsanmälan</t>
        </is>
      </c>
      <c r="C1441" t="inlineStr">
        <is>
          <t>Föryngringsavverkning</t>
        </is>
      </c>
      <c r="D1441" s="1" t="n">
        <v>45117</v>
      </c>
      <c r="E1441" s="1" t="n">
        <v>46216</v>
      </c>
      <c r="F1441" t="inlineStr">
        <is>
          <t>BLEKINGE LÄN</t>
        </is>
      </c>
      <c r="G1441" t="inlineStr">
        <is>
          <t>RONNEBY</t>
        </is>
      </c>
      <c r="I1441" t="n">
        <v>1.2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47844-2021</t>
        </is>
      </c>
      <c r="B1442" t="inlineStr">
        <is>
          <t>avverkningsanmälan</t>
        </is>
      </c>
      <c r="C1442" t="inlineStr">
        <is>
          <t>Föryngringsavverkning</t>
        </is>
      </c>
      <c r="D1442" s="1" t="n">
        <v>44448</v>
      </c>
      <c r="E1442" s="1" t="n">
        <v>46216</v>
      </c>
      <c r="F1442" t="inlineStr">
        <is>
          <t>BLEKINGE LÄN</t>
        </is>
      </c>
      <c r="G1442" t="inlineStr">
        <is>
          <t>KARLSHAMN</t>
        </is>
      </c>
      <c r="I1442" t="n">
        <v>0.9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5880-2022</t>
        </is>
      </c>
      <c r="B1443" t="inlineStr">
        <is>
          <t>avverkningsanmälan</t>
        </is>
      </c>
      <c r="C1443" t="inlineStr">
        <is>
          <t>Föryngringsavverkning</t>
        </is>
      </c>
      <c r="D1443" s="1" t="n">
        <v>44596</v>
      </c>
      <c r="E1443" s="1" t="n">
        <v>46216</v>
      </c>
      <c r="F1443" t="inlineStr">
        <is>
          <t>BLEKINGE LÄN</t>
        </is>
      </c>
      <c r="G1443" t="inlineStr">
        <is>
          <t>KARLSKRONA</t>
        </is>
      </c>
      <c r="H1443" t="inlineStr">
        <is>
          <t>Kommuner</t>
        </is>
      </c>
      <c r="I1443" t="n">
        <v>0.8</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67970-2021</t>
        </is>
      </c>
      <c r="B1444" t="inlineStr">
        <is>
          <t>avverkningsanmälan</t>
        </is>
      </c>
      <c r="C1444" t="inlineStr">
        <is>
          <t>Föryngringsavverkning</t>
        </is>
      </c>
      <c r="D1444" s="1" t="n">
        <v>44525</v>
      </c>
      <c r="E1444" s="1" t="n">
        <v>46216</v>
      </c>
      <c r="F1444" t="inlineStr">
        <is>
          <t>BLEKINGE LÄN</t>
        </is>
      </c>
      <c r="G1444" t="inlineStr">
        <is>
          <t>KARLSHAMN</t>
        </is>
      </c>
      <c r="I1444" t="n">
        <v>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28896-2024</t>
        </is>
      </c>
      <c r="B1445" t="inlineStr">
        <is>
          <t>avverkningsanmälan</t>
        </is>
      </c>
      <c r="C1445" t="inlineStr">
        <is>
          <t>Föryngringsavverkning</t>
        </is>
      </c>
      <c r="D1445" s="1" t="n">
        <v>45480</v>
      </c>
      <c r="E1445" s="1" t="n">
        <v>46216</v>
      </c>
      <c r="F1445" t="inlineStr">
        <is>
          <t>BLEKINGE LÄN</t>
        </is>
      </c>
      <c r="G1445" t="inlineStr">
        <is>
          <t>RONNEBY</t>
        </is>
      </c>
      <c r="I1445" t="n">
        <v>1.4</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1067-2024</t>
        </is>
      </c>
      <c r="B1446" t="inlineStr">
        <is>
          <t>avverkningsanmälan</t>
        </is>
      </c>
      <c r="C1446" t="inlineStr">
        <is>
          <t>Föryngringsavverkning</t>
        </is>
      </c>
      <c r="D1446" s="1" t="n">
        <v>45302</v>
      </c>
      <c r="E1446" s="1" t="n">
        <v>46216</v>
      </c>
      <c r="F1446" t="inlineStr">
        <is>
          <t>BLEKINGE LÄN</t>
        </is>
      </c>
      <c r="G1446" t="inlineStr">
        <is>
          <t>RONNEBY</t>
        </is>
      </c>
      <c r="I1446" t="n">
        <v>1.2</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18109-2026</t>
        </is>
      </c>
      <c r="B1447" t="inlineStr">
        <is>
          <t>avverkningsanmälan</t>
        </is>
      </c>
      <c r="C1447" t="inlineStr">
        <is>
          <t>Föryngringsavverkning</t>
        </is>
      </c>
      <c r="D1447" s="1" t="n">
        <v>46125</v>
      </c>
      <c r="E1447" s="1" t="n">
        <v>46216</v>
      </c>
      <c r="F1447" t="inlineStr">
        <is>
          <t>BLEKINGE LÄN</t>
        </is>
      </c>
      <c r="G1447" t="inlineStr">
        <is>
          <t>KARLSKRONA</t>
        </is>
      </c>
      <c r="I1447" t="n">
        <v>1.6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69498-2021</t>
        </is>
      </c>
      <c r="B1448" t="inlineStr">
        <is>
          <t>avverkningsanmälan</t>
        </is>
      </c>
      <c r="C1448" t="inlineStr">
        <is>
          <t>Föryngringsavverkning</t>
        </is>
      </c>
      <c r="D1448" s="1" t="n">
        <v>44531</v>
      </c>
      <c r="E1448" s="1" t="n">
        <v>46216</v>
      </c>
      <c r="F1448" t="inlineStr">
        <is>
          <t>BLEKINGE LÄN</t>
        </is>
      </c>
      <c r="G1448" t="inlineStr">
        <is>
          <t>OLOFSTRÖM</t>
        </is>
      </c>
      <c r="H1448" t="inlineStr">
        <is>
          <t>Kommuner</t>
        </is>
      </c>
      <c r="I1448" t="n">
        <v>6.9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69511-2021</t>
        </is>
      </c>
      <c r="B1449" t="inlineStr">
        <is>
          <t>avverkningsanmälan</t>
        </is>
      </c>
      <c r="C1449" t="inlineStr">
        <is>
          <t>Föryngringsavverkning</t>
        </is>
      </c>
      <c r="D1449" s="1" t="n">
        <v>44531</v>
      </c>
      <c r="E1449" s="1" t="n">
        <v>46216</v>
      </c>
      <c r="F1449" t="inlineStr">
        <is>
          <t>BLEKINGE LÄN</t>
        </is>
      </c>
      <c r="G1449" t="inlineStr">
        <is>
          <t>KARLSHAMN</t>
        </is>
      </c>
      <c r="I1449" t="n">
        <v>4.7</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4411-2024</t>
        </is>
      </c>
      <c r="B1450" t="inlineStr">
        <is>
          <t>avverkningsanmälan</t>
        </is>
      </c>
      <c r="C1450" t="inlineStr">
        <is>
          <t>Föryngringsavverkning</t>
        </is>
      </c>
      <c r="D1450" s="1" t="n">
        <v>45327</v>
      </c>
      <c r="E1450" s="1" t="n">
        <v>46216</v>
      </c>
      <c r="F1450" t="inlineStr">
        <is>
          <t>BLEKINGE LÄN</t>
        </is>
      </c>
      <c r="G1450" t="inlineStr">
        <is>
          <t>RONNEBY</t>
        </is>
      </c>
      <c r="I1450" t="n">
        <v>0.7</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18305-2026</t>
        </is>
      </c>
      <c r="B1451" t="inlineStr">
        <is>
          <t>avverkningsanmälan</t>
        </is>
      </c>
      <c r="C1451" t="inlineStr">
        <is>
          <t>Föryngringsavverkning</t>
        </is>
      </c>
      <c r="D1451" s="1" t="n">
        <v>46126</v>
      </c>
      <c r="E1451" s="1" t="n">
        <v>46216</v>
      </c>
      <c r="F1451" t="inlineStr">
        <is>
          <t>BLEKINGE LÄN</t>
        </is>
      </c>
      <c r="G1451" t="inlineStr">
        <is>
          <t>RONNEBY</t>
        </is>
      </c>
      <c r="I1451" t="n">
        <v>2.6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18329-2026</t>
        </is>
      </c>
      <c r="B1452" t="inlineStr">
        <is>
          <t>avverkningsanmälan</t>
        </is>
      </c>
      <c r="C1452" t="inlineStr">
        <is>
          <t>Föryngringsavverkning</t>
        </is>
      </c>
      <c r="D1452" s="1" t="n">
        <v>46126</v>
      </c>
      <c r="E1452" s="1" t="n">
        <v>46216</v>
      </c>
      <c r="F1452" t="inlineStr">
        <is>
          <t>BLEKINGE LÄN</t>
        </is>
      </c>
      <c r="G1452" t="inlineStr">
        <is>
          <t>RONNEBY</t>
        </is>
      </c>
      <c r="I1452" t="n">
        <v>4.2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52810-2024</t>
        </is>
      </c>
      <c r="B1453" t="inlineStr">
        <is>
          <t>avverkningsanmälan</t>
        </is>
      </c>
      <c r="C1453" t="inlineStr">
        <is>
          <t>Föryngringsavverkning</t>
        </is>
      </c>
      <c r="D1453" s="1" t="n">
        <v>45610</v>
      </c>
      <c r="E1453" s="1" t="n">
        <v>46216</v>
      </c>
      <c r="F1453" t="inlineStr">
        <is>
          <t>BLEKINGE LÄN</t>
        </is>
      </c>
      <c r="G1453" t="inlineStr">
        <is>
          <t>KARLSKRONA</t>
        </is>
      </c>
      <c r="I1453" t="n">
        <v>3.5</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25077-2022</t>
        </is>
      </c>
      <c r="B1454" t="inlineStr">
        <is>
          <t>avverkningsanmälan</t>
        </is>
      </c>
      <c r="C1454" t="inlineStr">
        <is>
          <t>Avverkning för annat ändamål</t>
        </is>
      </c>
      <c r="D1454" s="1" t="n">
        <v>44729</v>
      </c>
      <c r="E1454" s="1" t="n">
        <v>46216</v>
      </c>
      <c r="F1454" t="inlineStr">
        <is>
          <t>BLEKINGE LÄN</t>
        </is>
      </c>
      <c r="G1454" t="inlineStr">
        <is>
          <t>RONNEBY</t>
        </is>
      </c>
      <c r="I1454" t="n">
        <v>4.4</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18046-2026</t>
        </is>
      </c>
      <c r="B1455" t="inlineStr">
        <is>
          <t>avverkningsanmälan</t>
        </is>
      </c>
      <c r="C1455" t="inlineStr">
        <is>
          <t>Föryngringsavverkning</t>
        </is>
      </c>
      <c r="D1455" s="1" t="n">
        <v>46125</v>
      </c>
      <c r="E1455" s="1" t="n">
        <v>46216</v>
      </c>
      <c r="F1455" t="inlineStr">
        <is>
          <t>BLEKINGE LÄN</t>
        </is>
      </c>
      <c r="G1455" t="inlineStr">
        <is>
          <t>OLOFSTRÖM</t>
        </is>
      </c>
      <c r="I1455" t="n">
        <v>3.6</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27791-2022</t>
        </is>
      </c>
      <c r="B1456" t="inlineStr">
        <is>
          <t>avverkningsanmälan</t>
        </is>
      </c>
      <c r="C1456" t="inlineStr">
        <is>
          <t>Föryngringsavverkning</t>
        </is>
      </c>
      <c r="D1456" s="1" t="n">
        <v>44743</v>
      </c>
      <c r="E1456" s="1" t="n">
        <v>46216</v>
      </c>
      <c r="F1456" t="inlineStr">
        <is>
          <t>BLEKINGE LÄN</t>
        </is>
      </c>
      <c r="G1456" t="inlineStr">
        <is>
          <t>OLOFSTRÖM</t>
        </is>
      </c>
      <c r="I1456" t="n">
        <v>1</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53061-2022</t>
        </is>
      </c>
      <c r="B1457" t="inlineStr">
        <is>
          <t>avverkningsanmälan</t>
        </is>
      </c>
      <c r="C1457" t="inlineStr">
        <is>
          <t>Föryngringsavverkning</t>
        </is>
      </c>
      <c r="D1457" s="1" t="n">
        <v>44876</v>
      </c>
      <c r="E1457" s="1" t="n">
        <v>46216</v>
      </c>
      <c r="F1457" t="inlineStr">
        <is>
          <t>BLEKINGE LÄN</t>
        </is>
      </c>
      <c r="G1457" t="inlineStr">
        <is>
          <t>KARLSKRONA</t>
        </is>
      </c>
      <c r="I1457" t="n">
        <v>6.1</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39361-2024</t>
        </is>
      </c>
      <c r="B1458" t="inlineStr">
        <is>
          <t>avverkningsanmälan</t>
        </is>
      </c>
      <c r="C1458" t="inlineStr">
        <is>
          <t>Föryngringsavverkning</t>
        </is>
      </c>
      <c r="D1458" s="1" t="n">
        <v>45551</v>
      </c>
      <c r="E1458" s="1" t="n">
        <v>46216</v>
      </c>
      <c r="F1458" t="inlineStr">
        <is>
          <t>BLEKINGE LÄN</t>
        </is>
      </c>
      <c r="G1458" t="inlineStr">
        <is>
          <t>KARLSKRONA</t>
        </is>
      </c>
      <c r="I1458" t="n">
        <v>0.6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34283-2023</t>
        </is>
      </c>
      <c r="B1459" t="inlineStr">
        <is>
          <t>avverkningsanmälan</t>
        </is>
      </c>
      <c r="C1459" t="inlineStr">
        <is>
          <t>Föryngringsavverkning</t>
        </is>
      </c>
      <c r="D1459" s="1" t="n">
        <v>45127</v>
      </c>
      <c r="E1459" s="1" t="n">
        <v>46216</v>
      </c>
      <c r="F1459" t="inlineStr">
        <is>
          <t>BLEKINGE LÄN</t>
        </is>
      </c>
      <c r="G1459" t="inlineStr">
        <is>
          <t>KARLSKRONA</t>
        </is>
      </c>
      <c r="I1459" t="n">
        <v>1.3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18472-2026</t>
        </is>
      </c>
      <c r="B1460" t="inlineStr">
        <is>
          <t>avverkningsanmälan</t>
        </is>
      </c>
      <c r="C1460" t="inlineStr">
        <is>
          <t>Föryngringsavverkning</t>
        </is>
      </c>
      <c r="D1460" s="1" t="n">
        <v>46127</v>
      </c>
      <c r="E1460" s="1" t="n">
        <v>46216</v>
      </c>
      <c r="F1460" t="inlineStr">
        <is>
          <t>BLEKINGE LÄN</t>
        </is>
      </c>
      <c r="G1460" t="inlineStr">
        <is>
          <t>OLOFSTRÖM</t>
        </is>
      </c>
      <c r="I1460" t="n">
        <v>5.9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54943-2024</t>
        </is>
      </c>
      <c r="B1461" t="inlineStr">
        <is>
          <t>avverkningsanmälan</t>
        </is>
      </c>
      <c r="C1461" t="inlineStr">
        <is>
          <t>Föryngringsavverkning</t>
        </is>
      </c>
      <c r="D1461" s="1" t="n">
        <v>45619</v>
      </c>
      <c r="E1461" s="1" t="n">
        <v>46216</v>
      </c>
      <c r="F1461" t="inlineStr">
        <is>
          <t>BLEKINGE LÄN</t>
        </is>
      </c>
      <c r="G1461" t="inlineStr">
        <is>
          <t>RONNEBY</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32362-2024</t>
        </is>
      </c>
      <c r="B1462" t="inlineStr">
        <is>
          <t>avverkningsanmälan</t>
        </is>
      </c>
      <c r="C1462" t="inlineStr">
        <is>
          <t>Föryngringsavverkning</t>
        </is>
      </c>
      <c r="D1462" s="1" t="n">
        <v>45512</v>
      </c>
      <c r="E1462" s="1" t="n">
        <v>46216</v>
      </c>
      <c r="F1462" t="inlineStr">
        <is>
          <t>BLEKINGE LÄN</t>
        </is>
      </c>
      <c r="G1462" t="inlineStr">
        <is>
          <t>KARLSKRONA</t>
        </is>
      </c>
      <c r="I1462" t="n">
        <v>5.3</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39381-2023</t>
        </is>
      </c>
      <c r="B1463" t="inlineStr">
        <is>
          <t>avverkningsanmälan</t>
        </is>
      </c>
      <c r="C1463" t="inlineStr">
        <is>
          <t>Föryngringsavverkning</t>
        </is>
      </c>
      <c r="D1463" s="1" t="n">
        <v>45166</v>
      </c>
      <c r="E1463" s="1" t="n">
        <v>46216</v>
      </c>
      <c r="F1463" t="inlineStr">
        <is>
          <t>BLEKINGE LÄN</t>
        </is>
      </c>
      <c r="G1463" t="inlineStr">
        <is>
          <t>KARLSKRONA</t>
        </is>
      </c>
      <c r="I1463" t="n">
        <v>7.1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71708-2021</t>
        </is>
      </c>
      <c r="B1464" t="inlineStr">
        <is>
          <t>avverkningsanmälan</t>
        </is>
      </c>
      <c r="C1464" t="inlineStr">
        <is>
          <t>Föryngringsavverkning</t>
        </is>
      </c>
      <c r="D1464" s="1" t="n">
        <v>44543</v>
      </c>
      <c r="E1464" s="1" t="n">
        <v>46216</v>
      </c>
      <c r="F1464" t="inlineStr">
        <is>
          <t>BLEKINGE LÄN</t>
        </is>
      </c>
      <c r="G1464" t="inlineStr">
        <is>
          <t>KARLSKRONA</t>
        </is>
      </c>
      <c r="I1464" t="n">
        <v>9.4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51284-2023</t>
        </is>
      </c>
      <c r="B1465" t="inlineStr">
        <is>
          <t>avverkningsanmälan</t>
        </is>
      </c>
      <c r="C1465" t="inlineStr">
        <is>
          <t>Föryngringsavverkning</t>
        </is>
      </c>
      <c r="D1465" s="1" t="n">
        <v>45219</v>
      </c>
      <c r="E1465" s="1" t="n">
        <v>46216</v>
      </c>
      <c r="F1465" t="inlineStr">
        <is>
          <t>BLEKINGE LÄN</t>
        </is>
      </c>
      <c r="G1465" t="inlineStr">
        <is>
          <t>SÖLVESBORG</t>
        </is>
      </c>
      <c r="I1465" t="n">
        <v>1.4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21090-2022</t>
        </is>
      </c>
      <c r="B1466" t="inlineStr">
        <is>
          <t>avverkningsanmälan</t>
        </is>
      </c>
      <c r="C1466" t="inlineStr">
        <is>
          <t>Föryngringsavverkning</t>
        </is>
      </c>
      <c r="D1466" s="1" t="n">
        <v>44704</v>
      </c>
      <c r="E1466" s="1" t="n">
        <v>46216</v>
      </c>
      <c r="F1466" t="inlineStr">
        <is>
          <t>BLEKINGE LÄN</t>
        </is>
      </c>
      <c r="G1466" t="inlineStr">
        <is>
          <t>OLOFSTRÖM</t>
        </is>
      </c>
      <c r="I1466" t="n">
        <v>2.3</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63423-2023</t>
        </is>
      </c>
      <c r="B1467" t="inlineStr">
        <is>
          <t>avverkningsanmälan</t>
        </is>
      </c>
      <c r="C1467" t="inlineStr">
        <is>
          <t>Föryngringsavverkning</t>
        </is>
      </c>
      <c r="D1467" s="1" t="n">
        <v>45274</v>
      </c>
      <c r="E1467" s="1" t="n">
        <v>46216</v>
      </c>
      <c r="F1467" t="inlineStr">
        <is>
          <t>BLEKINGE LÄN</t>
        </is>
      </c>
      <c r="G1467" t="inlineStr">
        <is>
          <t>OLOFSTRÖM</t>
        </is>
      </c>
      <c r="I1467" t="n">
        <v>0.9</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9227-2025</t>
        </is>
      </c>
      <c r="B1468" t="inlineStr">
        <is>
          <t>avverkningsanmälan</t>
        </is>
      </c>
      <c r="C1468" t="inlineStr">
        <is>
          <t>Föryngringsavverkning</t>
        </is>
      </c>
      <c r="D1468" s="1" t="n">
        <v>45714</v>
      </c>
      <c r="E1468" s="1" t="n">
        <v>46216</v>
      </c>
      <c r="F1468" t="inlineStr">
        <is>
          <t>BLEKINGE LÄN</t>
        </is>
      </c>
      <c r="G1468" t="inlineStr">
        <is>
          <t>RONNEBY</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60960-2023</t>
        </is>
      </c>
      <c r="B1469" t="inlineStr">
        <is>
          <t>avverkningsanmälan</t>
        </is>
      </c>
      <c r="C1469" t="inlineStr">
        <is>
          <t>Föryngringsavverkning</t>
        </is>
      </c>
      <c r="D1469" s="1" t="n">
        <v>45261</v>
      </c>
      <c r="E1469" s="1" t="n">
        <v>46216</v>
      </c>
      <c r="F1469" t="inlineStr">
        <is>
          <t>BLEKINGE LÄN</t>
        </is>
      </c>
      <c r="G1469" t="inlineStr">
        <is>
          <t>KARLSKRONA</t>
        </is>
      </c>
      <c r="I1469" t="n">
        <v>1.5</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73654-2021</t>
        </is>
      </c>
      <c r="B1470" t="inlineStr">
        <is>
          <t>avverkningsanmälan</t>
        </is>
      </c>
      <c r="C1470" t="inlineStr">
        <is>
          <t>Föryngringsavverkning</t>
        </is>
      </c>
      <c r="D1470" s="1" t="n">
        <v>44552</v>
      </c>
      <c r="E1470" s="1" t="n">
        <v>46216</v>
      </c>
      <c r="F1470" t="inlineStr">
        <is>
          <t>BLEKINGE LÄN</t>
        </is>
      </c>
      <c r="G1470" t="inlineStr">
        <is>
          <t>OLOFSTRÖM</t>
        </is>
      </c>
      <c r="I1470" t="n">
        <v>1.4</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6296-2025</t>
        </is>
      </c>
      <c r="B1471" t="inlineStr">
        <is>
          <t>avverkningsanmälan</t>
        </is>
      </c>
      <c r="C1471" t="inlineStr">
        <is>
          <t>Föryngringsavverkning</t>
        </is>
      </c>
      <c r="D1471" s="1" t="n">
        <v>45698</v>
      </c>
      <c r="E1471" s="1" t="n">
        <v>46216</v>
      </c>
      <c r="F1471" t="inlineStr">
        <is>
          <t>BLEKINGE LÄN</t>
        </is>
      </c>
      <c r="G1471" t="inlineStr">
        <is>
          <t>OLOFSTRÖM</t>
        </is>
      </c>
      <c r="I1471" t="n">
        <v>2.5</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25034-2026</t>
        </is>
      </c>
      <c r="B1472" t="inlineStr">
        <is>
          <t>avverkningsanmälan</t>
        </is>
      </c>
      <c r="C1472" t="inlineStr">
        <is>
          <t>Föryngringsavverkning</t>
        </is>
      </c>
      <c r="D1472" s="1" t="n">
        <v>46174</v>
      </c>
      <c r="E1472" s="1" t="n">
        <v>46216</v>
      </c>
      <c r="F1472" t="inlineStr">
        <is>
          <t>BLEKINGE LÄN</t>
        </is>
      </c>
      <c r="G1472" t="inlineStr">
        <is>
          <t>KARLSHAMN</t>
        </is>
      </c>
      <c r="I1472" t="n">
        <v>1.8</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10576-2024</t>
        </is>
      </c>
      <c r="B1473" t="inlineStr">
        <is>
          <t>avverkningsanmälan</t>
        </is>
      </c>
      <c r="C1473" t="inlineStr">
        <is>
          <t>Föryngringsavverkning</t>
        </is>
      </c>
      <c r="D1473" s="1" t="n">
        <v>45366</v>
      </c>
      <c r="E1473" s="1" t="n">
        <v>46216</v>
      </c>
      <c r="F1473" t="inlineStr">
        <is>
          <t>BLEKINGE LÄN</t>
        </is>
      </c>
      <c r="G1473" t="inlineStr">
        <is>
          <t>KARLSKRONA</t>
        </is>
      </c>
      <c r="I1473" t="n">
        <v>3.7</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6242-2024</t>
        </is>
      </c>
      <c r="B1474" t="inlineStr">
        <is>
          <t>avverkningsanmälan</t>
        </is>
      </c>
      <c r="C1474" t="inlineStr">
        <is>
          <t>Föryngringsavverkning</t>
        </is>
      </c>
      <c r="D1474" s="1" t="n">
        <v>45337</v>
      </c>
      <c r="E1474" s="1" t="n">
        <v>46216</v>
      </c>
      <c r="F1474" t="inlineStr">
        <is>
          <t>BLEKINGE LÄN</t>
        </is>
      </c>
      <c r="G1474" t="inlineStr">
        <is>
          <t>RONNEBY</t>
        </is>
      </c>
      <c r="I1474" t="n">
        <v>0.7</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61740-2022</t>
        </is>
      </c>
      <c r="B1475" t="inlineStr">
        <is>
          <t>avverkningsanmälan</t>
        </is>
      </c>
      <c r="C1475" t="inlineStr">
        <is>
          <t>Föryngringsavverkning</t>
        </is>
      </c>
      <c r="D1475" s="1" t="n">
        <v>44917</v>
      </c>
      <c r="E1475" s="1" t="n">
        <v>46216</v>
      </c>
      <c r="F1475" t="inlineStr">
        <is>
          <t>BLEKINGE LÄN</t>
        </is>
      </c>
      <c r="G1475" t="inlineStr">
        <is>
          <t>RONNEBY</t>
        </is>
      </c>
      <c r="I1475" t="n">
        <v>3.8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47336-2023</t>
        </is>
      </c>
      <c r="B1476" t="inlineStr">
        <is>
          <t>avverkningsanmälan</t>
        </is>
      </c>
      <c r="C1476" t="inlineStr">
        <is>
          <t>Föryngringsavverkning</t>
        </is>
      </c>
      <c r="D1476" s="1" t="n">
        <v>45202</v>
      </c>
      <c r="E1476" s="1" t="n">
        <v>46216</v>
      </c>
      <c r="F1476" t="inlineStr">
        <is>
          <t>BLEKINGE LÄN</t>
        </is>
      </c>
      <c r="G1476" t="inlineStr">
        <is>
          <t>KARLSKRONA</t>
        </is>
      </c>
      <c r="I1476" t="n">
        <v>0.5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23158-2023</t>
        </is>
      </c>
      <c r="B1477" t="inlineStr">
        <is>
          <t>avverkningsanmälan</t>
        </is>
      </c>
      <c r="C1477" t="inlineStr">
        <is>
          <t>Föryngringsavverkning</t>
        </is>
      </c>
      <c r="D1477" s="1" t="n">
        <v>45075</v>
      </c>
      <c r="E1477" s="1" t="n">
        <v>46216</v>
      </c>
      <c r="F1477" t="inlineStr">
        <is>
          <t>BLEKINGE LÄN</t>
        </is>
      </c>
      <c r="G1477" t="inlineStr">
        <is>
          <t>KARLSKRONA</t>
        </is>
      </c>
      <c r="I1477" t="n">
        <v>0.8</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697-2023</t>
        </is>
      </c>
      <c r="B1478" t="inlineStr">
        <is>
          <t>avverkningsanmälan</t>
        </is>
      </c>
      <c r="C1478" t="inlineStr">
        <is>
          <t>Föryngringsavverkning</t>
        </is>
      </c>
      <c r="D1478" s="1" t="n">
        <v>44930</v>
      </c>
      <c r="E1478" s="1" t="n">
        <v>46216</v>
      </c>
      <c r="F1478" t="inlineStr">
        <is>
          <t>BLEKINGE LÄN</t>
        </is>
      </c>
      <c r="G1478" t="inlineStr">
        <is>
          <t>KARLSKRONA</t>
        </is>
      </c>
      <c r="I1478" t="n">
        <v>0.8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62669-2022</t>
        </is>
      </c>
      <c r="B1479" t="inlineStr">
        <is>
          <t>avverkningsanmälan</t>
        </is>
      </c>
      <c r="C1479" t="inlineStr">
        <is>
          <t>Föryngringsavverkning</t>
        </is>
      </c>
      <c r="D1479" s="1" t="n">
        <v>44925</v>
      </c>
      <c r="E1479" s="1" t="n">
        <v>46216</v>
      </c>
      <c r="F1479" t="inlineStr">
        <is>
          <t>BLEKINGE LÄN</t>
        </is>
      </c>
      <c r="G1479" t="inlineStr">
        <is>
          <t>RONNEBY</t>
        </is>
      </c>
      <c r="H1479" t="inlineStr">
        <is>
          <t>Övriga Aktiebolag</t>
        </is>
      </c>
      <c r="I1479" t="n">
        <v>1.4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19464-2026</t>
        </is>
      </c>
      <c r="B1480" t="inlineStr">
        <is>
          <t>avverkningsanmälan</t>
        </is>
      </c>
      <c r="C1480" t="inlineStr">
        <is>
          <t>Föryngringsavverkning</t>
        </is>
      </c>
      <c r="D1480" s="1" t="n">
        <v>46133</v>
      </c>
      <c r="E1480" s="1" t="n">
        <v>46216</v>
      </c>
      <c r="F1480" t="inlineStr">
        <is>
          <t>BLEKINGE LÄN</t>
        </is>
      </c>
      <c r="G1480" t="inlineStr">
        <is>
          <t>RONNEBY</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14648-2023</t>
        </is>
      </c>
      <c r="B1481" t="inlineStr">
        <is>
          <t>avverkningsanmälan</t>
        </is>
      </c>
      <c r="C1481" t="inlineStr">
        <is>
          <t>Föryngringsavverkning</t>
        </is>
      </c>
      <c r="D1481" s="1" t="n">
        <v>45013</v>
      </c>
      <c r="E1481" s="1" t="n">
        <v>46216</v>
      </c>
      <c r="F1481" t="inlineStr">
        <is>
          <t>BLEKINGE LÄN</t>
        </is>
      </c>
      <c r="G1481" t="inlineStr">
        <is>
          <t>KARLSKRONA</t>
        </is>
      </c>
      <c r="I1481" t="n">
        <v>3.4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1036-2022</t>
        </is>
      </c>
      <c r="B1482" t="inlineStr">
        <is>
          <t>avverkningsanmälan</t>
        </is>
      </c>
      <c r="C1482" t="inlineStr">
        <is>
          <t>Föryngringsavverkning</t>
        </is>
      </c>
      <c r="D1482" s="1" t="n">
        <v>44571</v>
      </c>
      <c r="E1482" s="1" t="n">
        <v>46216</v>
      </c>
      <c r="F1482" t="inlineStr">
        <is>
          <t>BLEKINGE LÄN</t>
        </is>
      </c>
      <c r="G1482" t="inlineStr">
        <is>
          <t>KARLSHAMN</t>
        </is>
      </c>
      <c r="I1482" t="n">
        <v>3.8</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39882-2023</t>
        </is>
      </c>
      <c r="B1483" t="inlineStr">
        <is>
          <t>avverkningsanmälan</t>
        </is>
      </c>
      <c r="C1483" t="inlineStr">
        <is>
          <t>Föryngringsavverkning</t>
        </is>
      </c>
      <c r="D1483" s="1" t="n">
        <v>45166</v>
      </c>
      <c r="E1483" s="1" t="n">
        <v>46216</v>
      </c>
      <c r="F1483" t="inlineStr">
        <is>
          <t>BLEKINGE LÄN</t>
        </is>
      </c>
      <c r="G1483" t="inlineStr">
        <is>
          <t>OLOFSTRÖM</t>
        </is>
      </c>
      <c r="I1483" t="n">
        <v>3.2</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32076-2022</t>
        </is>
      </c>
      <c r="B1484" t="inlineStr">
        <is>
          <t>avverkningsanmälan</t>
        </is>
      </c>
      <c r="C1484" t="inlineStr">
        <is>
          <t>Föryngringsavverkning</t>
        </is>
      </c>
      <c r="D1484" s="1" t="n">
        <v>44778</v>
      </c>
      <c r="E1484" s="1" t="n">
        <v>46216</v>
      </c>
      <c r="F1484" t="inlineStr">
        <is>
          <t>BLEKINGE LÄN</t>
        </is>
      </c>
      <c r="G1484" t="inlineStr">
        <is>
          <t>RONNEBY</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59840-2021</t>
        </is>
      </c>
      <c r="B1485" t="inlineStr">
        <is>
          <t>avverkningsanmälan</t>
        </is>
      </c>
      <c r="C1485" t="inlineStr">
        <is>
          <t>Föryngringsavverkning</t>
        </is>
      </c>
      <c r="D1485" s="1" t="n">
        <v>44494</v>
      </c>
      <c r="E1485" s="1" t="n">
        <v>46216</v>
      </c>
      <c r="F1485" t="inlineStr">
        <is>
          <t>BLEKINGE LÄN</t>
        </is>
      </c>
      <c r="G1485" t="inlineStr">
        <is>
          <t>RONNEBY</t>
        </is>
      </c>
      <c r="I1485" t="n">
        <v>6.6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24482-2023</t>
        </is>
      </c>
      <c r="B1486" t="inlineStr">
        <is>
          <t>avverkningsanmälan</t>
        </is>
      </c>
      <c r="C1486" t="inlineStr">
        <is>
          <t>Föryngringsavverkning</t>
        </is>
      </c>
      <c r="D1486" s="1" t="n">
        <v>45082</v>
      </c>
      <c r="E1486" s="1" t="n">
        <v>46216</v>
      </c>
      <c r="F1486" t="inlineStr">
        <is>
          <t>BLEKINGE LÄN</t>
        </is>
      </c>
      <c r="G1486" t="inlineStr">
        <is>
          <t>KARLSKRONA</t>
        </is>
      </c>
      <c r="I1486" t="n">
        <v>2.1</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7826-2023</t>
        </is>
      </c>
      <c r="B1487" t="inlineStr">
        <is>
          <t>avverkningsanmälan</t>
        </is>
      </c>
      <c r="C1487" t="inlineStr">
        <is>
          <t>Föryngringsavverkning</t>
        </is>
      </c>
      <c r="D1487" s="1" t="n">
        <v>44973</v>
      </c>
      <c r="E1487" s="1" t="n">
        <v>46216</v>
      </c>
      <c r="F1487" t="inlineStr">
        <is>
          <t>BLEKINGE LÄN</t>
        </is>
      </c>
      <c r="G1487" t="inlineStr">
        <is>
          <t>RONNEBY</t>
        </is>
      </c>
      <c r="H1487" t="inlineStr">
        <is>
          <t>Övriga Aktiebolag</t>
        </is>
      </c>
      <c r="I1487" t="n">
        <v>9.199999999999999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6510-2023</t>
        </is>
      </c>
      <c r="B1488" t="inlineStr">
        <is>
          <t>avverkningsanmälan</t>
        </is>
      </c>
      <c r="C1488" t="inlineStr">
        <is>
          <t>Föryngringsavverkning</t>
        </is>
      </c>
      <c r="D1488" s="1" t="n">
        <v>44966</v>
      </c>
      <c r="E1488" s="1" t="n">
        <v>46216</v>
      </c>
      <c r="F1488" t="inlineStr">
        <is>
          <t>BLEKINGE LÄN</t>
        </is>
      </c>
      <c r="G1488" t="inlineStr">
        <is>
          <t>RONNEBY</t>
        </is>
      </c>
      <c r="I1488" t="n">
        <v>1.3</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14136-2023</t>
        </is>
      </c>
      <c r="B1489" t="inlineStr">
        <is>
          <t>avverkningsanmälan</t>
        </is>
      </c>
      <c r="C1489" t="inlineStr">
        <is>
          <t>Föryngringsavverkning</t>
        </is>
      </c>
      <c r="D1489" s="1" t="n">
        <v>45009</v>
      </c>
      <c r="E1489" s="1" t="n">
        <v>46216</v>
      </c>
      <c r="F1489" t="inlineStr">
        <is>
          <t>BLEKINGE LÄN</t>
        </is>
      </c>
      <c r="G1489" t="inlineStr">
        <is>
          <t>KARLSHAMN</t>
        </is>
      </c>
      <c r="I1489" t="n">
        <v>3.2</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25434-2026</t>
        </is>
      </c>
      <c r="B1490" t="inlineStr">
        <is>
          <t>avverkningsanmälan</t>
        </is>
      </c>
      <c r="C1490" t="inlineStr">
        <is>
          <t>Föryngringsavverkning</t>
        </is>
      </c>
      <c r="D1490" s="1" t="n">
        <v>46177</v>
      </c>
      <c r="E1490" s="1" t="n">
        <v>46216</v>
      </c>
      <c r="F1490" t="inlineStr">
        <is>
          <t>BLEKINGE LÄN</t>
        </is>
      </c>
      <c r="G1490" t="inlineStr">
        <is>
          <t>KARLSKRONA</t>
        </is>
      </c>
      <c r="I1490" t="n">
        <v>3.2</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14853-2023</t>
        </is>
      </c>
      <c r="B1491" t="inlineStr">
        <is>
          <t>avverkningsanmälan</t>
        </is>
      </c>
      <c r="C1491" t="inlineStr">
        <is>
          <t>Föryngringsavverkning</t>
        </is>
      </c>
      <c r="D1491" s="1" t="n">
        <v>45014</v>
      </c>
      <c r="E1491" s="1" t="n">
        <v>46216</v>
      </c>
      <c r="F1491" t="inlineStr">
        <is>
          <t>BLEKINGE LÄN</t>
        </is>
      </c>
      <c r="G1491" t="inlineStr">
        <is>
          <t>KARLSKRONA</t>
        </is>
      </c>
      <c r="I1491" t="n">
        <v>1.1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58618-2021</t>
        </is>
      </c>
      <c r="B1492" t="inlineStr">
        <is>
          <t>avverkningsanmälan</t>
        </is>
      </c>
      <c r="C1492" t="inlineStr">
        <is>
          <t>Föryngringsavverkning</t>
        </is>
      </c>
      <c r="D1492" s="1" t="n">
        <v>44489</v>
      </c>
      <c r="E1492" s="1" t="n">
        <v>46216</v>
      </c>
      <c r="F1492" t="inlineStr">
        <is>
          <t>BLEKINGE LÄN</t>
        </is>
      </c>
      <c r="G1492" t="inlineStr">
        <is>
          <t>RONNEBY</t>
        </is>
      </c>
      <c r="I1492" t="n">
        <v>0.4</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24938-2023</t>
        </is>
      </c>
      <c r="B1493" t="inlineStr">
        <is>
          <t>avverkningsanmälan</t>
        </is>
      </c>
      <c r="C1493" t="inlineStr">
        <is>
          <t>Föryngringsavverkning</t>
        </is>
      </c>
      <c r="D1493" s="1" t="n">
        <v>45085</v>
      </c>
      <c r="E1493" s="1" t="n">
        <v>46216</v>
      </c>
      <c r="F1493" t="inlineStr">
        <is>
          <t>BLEKINGE LÄN</t>
        </is>
      </c>
      <c r="G1493" t="inlineStr">
        <is>
          <t>KARLSKRONA</t>
        </is>
      </c>
      <c r="I1493" t="n">
        <v>3.8</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49786-2022</t>
        </is>
      </c>
      <c r="B1494" t="inlineStr">
        <is>
          <t>avverkningsanmälan</t>
        </is>
      </c>
      <c r="C1494" t="inlineStr">
        <is>
          <t>Föryngringsavverkning</t>
        </is>
      </c>
      <c r="D1494" s="1" t="n">
        <v>44862</v>
      </c>
      <c r="E1494" s="1" t="n">
        <v>46216</v>
      </c>
      <c r="F1494" t="inlineStr">
        <is>
          <t>BLEKINGE LÄN</t>
        </is>
      </c>
      <c r="G1494" t="inlineStr">
        <is>
          <t>OLOFSTRÖM</t>
        </is>
      </c>
      <c r="I1494" t="n">
        <v>1.1</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53182-2022</t>
        </is>
      </c>
      <c r="B1495" t="inlineStr">
        <is>
          <t>avverkningsanmälan</t>
        </is>
      </c>
      <c r="C1495" t="inlineStr">
        <is>
          <t>Föryngringsavverkning</t>
        </is>
      </c>
      <c r="D1495" s="1" t="n">
        <v>44876</v>
      </c>
      <c r="E1495" s="1" t="n">
        <v>46216</v>
      </c>
      <c r="F1495" t="inlineStr">
        <is>
          <t>BLEKINGE LÄN</t>
        </is>
      </c>
      <c r="G1495" t="inlineStr">
        <is>
          <t>OLOFSTRÖM</t>
        </is>
      </c>
      <c r="I1495" t="n">
        <v>2.1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11825-2024</t>
        </is>
      </c>
      <c r="B1496" t="inlineStr">
        <is>
          <t>avverkningsanmälan</t>
        </is>
      </c>
      <c r="C1496" t="inlineStr">
        <is>
          <t>Föryngringsavverkning</t>
        </is>
      </c>
      <c r="D1496" s="1" t="n">
        <v>45376</v>
      </c>
      <c r="E1496" s="1" t="n">
        <v>46216</v>
      </c>
      <c r="F1496" t="inlineStr">
        <is>
          <t>BLEKINGE LÄN</t>
        </is>
      </c>
      <c r="G1496" t="inlineStr">
        <is>
          <t>KARLSHAMN</t>
        </is>
      </c>
      <c r="I1496" t="n">
        <v>3.9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17532-2023</t>
        </is>
      </c>
      <c r="B1497" t="inlineStr">
        <is>
          <t>avverkningsanmälan</t>
        </is>
      </c>
      <c r="C1497" t="inlineStr">
        <is>
          <t>Föryngringsavverkning</t>
        </is>
      </c>
      <c r="D1497" s="1" t="n">
        <v>45036</v>
      </c>
      <c r="E1497" s="1" t="n">
        <v>46216</v>
      </c>
      <c r="F1497" t="inlineStr">
        <is>
          <t>BLEKINGE LÄN</t>
        </is>
      </c>
      <c r="G1497" t="inlineStr">
        <is>
          <t>OLOFSTRÖM</t>
        </is>
      </c>
      <c r="I1497" t="n">
        <v>1.8</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30507-2022</t>
        </is>
      </c>
      <c r="B1498" t="inlineStr">
        <is>
          <t>avverkningsanmälan</t>
        </is>
      </c>
      <c r="C1498" t="inlineStr">
        <is>
          <t>Föryngringsavverkning</t>
        </is>
      </c>
      <c r="D1498" s="1" t="n">
        <v>44762</v>
      </c>
      <c r="E1498" s="1" t="n">
        <v>46216</v>
      </c>
      <c r="F1498" t="inlineStr">
        <is>
          <t>BLEKINGE LÄN</t>
        </is>
      </c>
      <c r="G1498" t="inlineStr">
        <is>
          <t>RONNEBY</t>
        </is>
      </c>
      <c r="H1498" t="inlineStr">
        <is>
          <t>Övriga Aktiebolag</t>
        </is>
      </c>
      <c r="I1498" t="n">
        <v>9.1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35832-2023</t>
        </is>
      </c>
      <c r="B1499" t="inlineStr">
        <is>
          <t>avverkningsanmälan</t>
        </is>
      </c>
      <c r="C1499" t="inlineStr">
        <is>
          <t>Föryngringsavverkning</t>
        </is>
      </c>
      <c r="D1499" s="1" t="n">
        <v>45148</v>
      </c>
      <c r="E1499" s="1" t="n">
        <v>46216</v>
      </c>
      <c r="F1499" t="inlineStr">
        <is>
          <t>BLEKINGE LÄN</t>
        </is>
      </c>
      <c r="G1499" t="inlineStr">
        <is>
          <t>KARLSHAMN</t>
        </is>
      </c>
      <c r="I1499" t="n">
        <v>2.7</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1747-2024</t>
        </is>
      </c>
      <c r="B1500" t="inlineStr">
        <is>
          <t>avverkningsanmälan</t>
        </is>
      </c>
      <c r="C1500" t="inlineStr">
        <is>
          <t>Föryngringsavverkning</t>
        </is>
      </c>
      <c r="D1500" s="1" t="n">
        <v>45307</v>
      </c>
      <c r="E1500" s="1" t="n">
        <v>46216</v>
      </c>
      <c r="F1500" t="inlineStr">
        <is>
          <t>BLEKINGE LÄN</t>
        </is>
      </c>
      <c r="G1500" t="inlineStr">
        <is>
          <t>KARLSHAMN</t>
        </is>
      </c>
      <c r="I1500" t="n">
        <v>0.7</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39130-2024</t>
        </is>
      </c>
      <c r="B1501" t="inlineStr">
        <is>
          <t>avverkningsanmälan</t>
        </is>
      </c>
      <c r="C1501" t="inlineStr">
        <is>
          <t>Föryngringsavverkning</t>
        </is>
      </c>
      <c r="D1501" s="1" t="n">
        <v>45548</v>
      </c>
      <c r="E1501" s="1" t="n">
        <v>46216</v>
      </c>
      <c r="F1501" t="inlineStr">
        <is>
          <t>BLEKINGE LÄN</t>
        </is>
      </c>
      <c r="G1501" t="inlineStr">
        <is>
          <t>SÖLVESBORG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29911-2023</t>
        </is>
      </c>
      <c r="B1502" t="inlineStr">
        <is>
          <t>avverkningsanmälan</t>
        </is>
      </c>
      <c r="C1502" t="inlineStr">
        <is>
          <t>Föryngringsavverkning</t>
        </is>
      </c>
      <c r="D1502" s="1" t="n">
        <v>45107</v>
      </c>
      <c r="E1502" s="1" t="n">
        <v>46216</v>
      </c>
      <c r="F1502" t="inlineStr">
        <is>
          <t>BLEKINGE LÄN</t>
        </is>
      </c>
      <c r="G1502" t="inlineStr">
        <is>
          <t>KARLSKRONA</t>
        </is>
      </c>
      <c r="I1502" t="n">
        <v>1.5</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25309-2026</t>
        </is>
      </c>
      <c r="B1503" t="inlineStr">
        <is>
          <t>avverkningsanmälan</t>
        </is>
      </c>
      <c r="C1503" t="inlineStr">
        <is>
          <t>Föryngringsavverkning</t>
        </is>
      </c>
      <c r="D1503" s="1" t="n">
        <v>46176</v>
      </c>
      <c r="E1503" s="1" t="n">
        <v>46216</v>
      </c>
      <c r="F1503" t="inlineStr">
        <is>
          <t>BLEKINGE LÄN</t>
        </is>
      </c>
      <c r="G1503" t="inlineStr">
        <is>
          <t>KARLSKRONA</t>
        </is>
      </c>
      <c r="I1503" t="n">
        <v>1.8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25312-2026</t>
        </is>
      </c>
      <c r="B1504" t="inlineStr">
        <is>
          <t>avverkningsanmälan</t>
        </is>
      </c>
      <c r="C1504" t="inlineStr">
        <is>
          <t>Föryngringsavverkning</t>
        </is>
      </c>
      <c r="D1504" s="1" t="n">
        <v>46176</v>
      </c>
      <c r="E1504" s="1" t="n">
        <v>46216</v>
      </c>
      <c r="F1504" t="inlineStr">
        <is>
          <t>BLEKINGE LÄN</t>
        </is>
      </c>
      <c r="G1504" t="inlineStr">
        <is>
          <t>KARLSKRONA</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25435-2026</t>
        </is>
      </c>
      <c r="B1505" t="inlineStr">
        <is>
          <t>avverkningsanmälan</t>
        </is>
      </c>
      <c r="C1505" t="inlineStr">
        <is>
          <t>Föryngringsavverkning</t>
        </is>
      </c>
      <c r="D1505" s="1" t="n">
        <v>46177</v>
      </c>
      <c r="E1505" s="1" t="n">
        <v>46216</v>
      </c>
      <c r="F1505" t="inlineStr">
        <is>
          <t>BLEKINGE LÄN</t>
        </is>
      </c>
      <c r="G1505" t="inlineStr">
        <is>
          <t>KARLSKRONA</t>
        </is>
      </c>
      <c r="I1505" t="n">
        <v>1.9</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42437-2025</t>
        </is>
      </c>
      <c r="B1506" t="inlineStr">
        <is>
          <t>avverkningsanmälan</t>
        </is>
      </c>
      <c r="C1506" t="inlineStr">
        <is>
          <t>Föryngringsavverkning</t>
        </is>
      </c>
      <c r="D1506" s="1" t="n">
        <v>45905</v>
      </c>
      <c r="E1506" s="1" t="n">
        <v>46216</v>
      </c>
      <c r="F1506" t="inlineStr">
        <is>
          <t>BLEKINGE LÄN</t>
        </is>
      </c>
      <c r="G1506" t="inlineStr">
        <is>
          <t>KARLSKRONA</t>
        </is>
      </c>
      <c r="H1506" t="inlineStr">
        <is>
          <t>Kommuner</t>
        </is>
      </c>
      <c r="I1506" t="n">
        <v>4.4</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20285-2023</t>
        </is>
      </c>
      <c r="B1507" t="inlineStr">
        <is>
          <t>avverkningsanmälan</t>
        </is>
      </c>
      <c r="C1507" t="inlineStr">
        <is>
          <t>Föryngringsavverkning</t>
        </is>
      </c>
      <c r="D1507" s="1" t="n">
        <v>45056</v>
      </c>
      <c r="E1507" s="1" t="n">
        <v>46216</v>
      </c>
      <c r="F1507" t="inlineStr">
        <is>
          <t>BLEKINGE LÄN</t>
        </is>
      </c>
      <c r="G1507" t="inlineStr">
        <is>
          <t>KARLSHAMN</t>
        </is>
      </c>
      <c r="I1507" t="n">
        <v>1.2</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8946-2022</t>
        </is>
      </c>
      <c r="B1508" t="inlineStr">
        <is>
          <t>avverkningsanmälan</t>
        </is>
      </c>
      <c r="C1508" t="inlineStr">
        <is>
          <t>Avverkning för annat ändamål</t>
        </is>
      </c>
      <c r="D1508" s="1" t="n">
        <v>44614</v>
      </c>
      <c r="E1508" s="1" t="n">
        <v>46216</v>
      </c>
      <c r="F1508" t="inlineStr">
        <is>
          <t>BLEKINGE LÄN</t>
        </is>
      </c>
      <c r="G1508" t="inlineStr">
        <is>
          <t>KARLSKRONA</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54591-2024</t>
        </is>
      </c>
      <c r="B1509" t="inlineStr">
        <is>
          <t>avverkningsanmälan</t>
        </is>
      </c>
      <c r="C1509" t="inlineStr">
        <is>
          <t>Föryngringsavverkning</t>
        </is>
      </c>
      <c r="D1509" s="1" t="n">
        <v>45617</v>
      </c>
      <c r="E1509" s="1" t="n">
        <v>46216</v>
      </c>
      <c r="F1509" t="inlineStr">
        <is>
          <t>BLEKINGE LÄN</t>
        </is>
      </c>
      <c r="G1509" t="inlineStr">
        <is>
          <t>KARLSHAMN</t>
        </is>
      </c>
      <c r="I1509" t="n">
        <v>1.1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26548-2022</t>
        </is>
      </c>
      <c r="B1510" t="inlineStr">
        <is>
          <t>avverkningsanmälan</t>
        </is>
      </c>
      <c r="C1510" t="inlineStr">
        <is>
          <t>Föryngringsavverkning</t>
        </is>
      </c>
      <c r="D1510" s="1" t="n">
        <v>44739</v>
      </c>
      <c r="E1510" s="1" t="n">
        <v>46216</v>
      </c>
      <c r="F1510" t="inlineStr">
        <is>
          <t>BLEKINGE LÄN</t>
        </is>
      </c>
      <c r="G1510" t="inlineStr">
        <is>
          <t>RONNEBY</t>
        </is>
      </c>
      <c r="I1510" t="n">
        <v>0.6</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29430-2022</t>
        </is>
      </c>
      <c r="B1511" t="inlineStr">
        <is>
          <t>avverkningsanmälan</t>
        </is>
      </c>
      <c r="C1511" t="inlineStr">
        <is>
          <t>Föryngringsavverkning</t>
        </is>
      </c>
      <c r="D1511" s="1" t="n">
        <v>44753</v>
      </c>
      <c r="E1511" s="1" t="n">
        <v>46216</v>
      </c>
      <c r="F1511" t="inlineStr">
        <is>
          <t>BLEKINGE LÄN</t>
        </is>
      </c>
      <c r="G1511" t="inlineStr">
        <is>
          <t>RONNEBY</t>
        </is>
      </c>
      <c r="I1511" t="n">
        <v>1.6</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13781-2023</t>
        </is>
      </c>
      <c r="B1512" t="inlineStr">
        <is>
          <t>avverkningsanmälan</t>
        </is>
      </c>
      <c r="C1512" t="inlineStr">
        <is>
          <t>Föryngringsavverkning</t>
        </is>
      </c>
      <c r="D1512" s="1" t="n">
        <v>45007</v>
      </c>
      <c r="E1512" s="1" t="n">
        <v>46216</v>
      </c>
      <c r="F1512" t="inlineStr">
        <is>
          <t>BLEKINGE LÄN</t>
        </is>
      </c>
      <c r="G1512" t="inlineStr">
        <is>
          <t>KARLSKRONA</t>
        </is>
      </c>
      <c r="I1512" t="n">
        <v>1.9</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13786-2023</t>
        </is>
      </c>
      <c r="B1513" t="inlineStr">
        <is>
          <t>avverkningsanmälan</t>
        </is>
      </c>
      <c r="C1513" t="inlineStr">
        <is>
          <t>Föryngringsavverkning</t>
        </is>
      </c>
      <c r="D1513" s="1" t="n">
        <v>45007</v>
      </c>
      <c r="E1513" s="1" t="n">
        <v>46216</v>
      </c>
      <c r="F1513" t="inlineStr">
        <is>
          <t>BLEKINGE LÄN</t>
        </is>
      </c>
      <c r="G1513" t="inlineStr">
        <is>
          <t>KARLSKRONA</t>
        </is>
      </c>
      <c r="I1513" t="n">
        <v>1.7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51960-2024</t>
        </is>
      </c>
      <c r="B1514" t="inlineStr">
        <is>
          <t>avverkningsanmälan</t>
        </is>
      </c>
      <c r="C1514" t="inlineStr">
        <is>
          <t>Föryngringsavverkning</t>
        </is>
      </c>
      <c r="D1514" s="1" t="n">
        <v>45607</v>
      </c>
      <c r="E1514" s="1" t="n">
        <v>46216</v>
      </c>
      <c r="F1514" t="inlineStr">
        <is>
          <t>BLEKINGE LÄN</t>
        </is>
      </c>
      <c r="G1514" t="inlineStr">
        <is>
          <t>KARLSHAMN</t>
        </is>
      </c>
      <c r="I1514" t="n">
        <v>1.1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57936-2024</t>
        </is>
      </c>
      <c r="B1515" t="inlineStr">
        <is>
          <t>avverkningsanmälan</t>
        </is>
      </c>
      <c r="C1515" t="inlineStr">
        <is>
          <t>Föryngringsavverkning</t>
        </is>
      </c>
      <c r="D1515" s="1" t="n">
        <v>45631</v>
      </c>
      <c r="E1515" s="1" t="n">
        <v>46216</v>
      </c>
      <c r="F1515" t="inlineStr">
        <is>
          <t>BLEKINGE LÄN</t>
        </is>
      </c>
      <c r="G1515" t="inlineStr">
        <is>
          <t>KARLSHAMN</t>
        </is>
      </c>
      <c r="I1515" t="n">
        <v>0.6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38515-2025</t>
        </is>
      </c>
      <c r="B1516" t="inlineStr">
        <is>
          <t>avverkningsanmälan</t>
        </is>
      </c>
      <c r="C1516" t="inlineStr">
        <is>
          <t>Föryngringsavverkning</t>
        </is>
      </c>
      <c r="D1516" s="1" t="n">
        <v>45884</v>
      </c>
      <c r="E1516" s="1" t="n">
        <v>46216</v>
      </c>
      <c r="F1516" t="inlineStr">
        <is>
          <t>BLEKINGE LÄN</t>
        </is>
      </c>
      <c r="G1516" t="inlineStr">
        <is>
          <t>KARLSHAMN</t>
        </is>
      </c>
      <c r="I1516" t="n">
        <v>5.5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7984-2022</t>
        </is>
      </c>
      <c r="B1517" t="inlineStr">
        <is>
          <t>avverkningsanmälan</t>
        </is>
      </c>
      <c r="C1517" t="inlineStr">
        <is>
          <t>Föryngringsavverkning</t>
        </is>
      </c>
      <c r="D1517" s="1" t="n">
        <v>44609</v>
      </c>
      <c r="E1517" s="1" t="n">
        <v>46216</v>
      </c>
      <c r="F1517" t="inlineStr">
        <is>
          <t>BLEKINGE LÄN</t>
        </is>
      </c>
      <c r="G1517" t="inlineStr">
        <is>
          <t>KARLSHAMN</t>
        </is>
      </c>
      <c r="I1517" t="n">
        <v>3.8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14659-2025</t>
        </is>
      </c>
      <c r="B1518" t="inlineStr">
        <is>
          <t>avverkningsanmälan</t>
        </is>
      </c>
      <c r="C1518" t="inlineStr">
        <is>
          <t>Föryngringsavverkning</t>
        </is>
      </c>
      <c r="D1518" s="1" t="n">
        <v>45742</v>
      </c>
      <c r="E1518" s="1" t="n">
        <v>46216</v>
      </c>
      <c r="F1518" t="inlineStr">
        <is>
          <t>BLEKINGE LÄN</t>
        </is>
      </c>
      <c r="G1518" t="inlineStr">
        <is>
          <t>OLOFSTRÖM</t>
        </is>
      </c>
      <c r="I1518" t="n">
        <v>2.8</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14816-2025</t>
        </is>
      </c>
      <c r="B1519" t="inlineStr">
        <is>
          <t>avverkningsanmälan</t>
        </is>
      </c>
      <c r="C1519" t="inlineStr">
        <is>
          <t>Föryngringsavverkning</t>
        </is>
      </c>
      <c r="D1519" s="1" t="n">
        <v>45743</v>
      </c>
      <c r="E1519" s="1" t="n">
        <v>46216</v>
      </c>
      <c r="F1519" t="inlineStr">
        <is>
          <t>BLEKINGE LÄN</t>
        </is>
      </c>
      <c r="G1519" t="inlineStr">
        <is>
          <t>KARLSHAMN</t>
        </is>
      </c>
      <c r="I1519" t="n">
        <v>2.5</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50015-2023</t>
        </is>
      </c>
      <c r="B1520" t="inlineStr">
        <is>
          <t>avverkningsanmälan</t>
        </is>
      </c>
      <c r="C1520" t="inlineStr">
        <is>
          <t>Föryngringsavverkning</t>
        </is>
      </c>
      <c r="D1520" s="1" t="n">
        <v>45215</v>
      </c>
      <c r="E1520" s="1" t="n">
        <v>46216</v>
      </c>
      <c r="F1520" t="inlineStr">
        <is>
          <t>BLEKINGE LÄN</t>
        </is>
      </c>
      <c r="G1520" t="inlineStr">
        <is>
          <t>KARLSKRONA</t>
        </is>
      </c>
      <c r="I1520" t="n">
        <v>7.7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34932-2025</t>
        </is>
      </c>
      <c r="B1521" t="inlineStr">
        <is>
          <t>avverkningsanmälan</t>
        </is>
      </c>
      <c r="C1521" t="inlineStr">
        <is>
          <t>Föryngringsavverkning</t>
        </is>
      </c>
      <c r="D1521" s="1" t="n">
        <v>45849</v>
      </c>
      <c r="E1521" s="1" t="n">
        <v>46216</v>
      </c>
      <c r="F1521" t="inlineStr">
        <is>
          <t>BLEKINGE LÄN</t>
        </is>
      </c>
      <c r="G1521" t="inlineStr">
        <is>
          <t>OLOFSTRÖM</t>
        </is>
      </c>
      <c r="I1521" t="n">
        <v>2.1</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44173-2025</t>
        </is>
      </c>
      <c r="B1522" t="inlineStr">
        <is>
          <t>avverkningsanmälan</t>
        </is>
      </c>
      <c r="C1522" t="inlineStr">
        <is>
          <t>Föryngringsavverkning</t>
        </is>
      </c>
      <c r="D1522" s="1" t="n">
        <v>45915</v>
      </c>
      <c r="E1522" s="1" t="n">
        <v>46216</v>
      </c>
      <c r="F1522" t="inlineStr">
        <is>
          <t>BLEKINGE LÄN</t>
        </is>
      </c>
      <c r="G1522" t="inlineStr">
        <is>
          <t>KARLSKRONA</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19899-2023</t>
        </is>
      </c>
      <c r="B1523" t="inlineStr">
        <is>
          <t>avverkningsanmälan</t>
        </is>
      </c>
      <c r="C1523" t="inlineStr">
        <is>
          <t>Föryngringsavverkning</t>
        </is>
      </c>
      <c r="D1523" s="1" t="n">
        <v>45054</v>
      </c>
      <c r="E1523" s="1" t="n">
        <v>46216</v>
      </c>
      <c r="F1523" t="inlineStr">
        <is>
          <t>BLEKINGE LÄN</t>
        </is>
      </c>
      <c r="G1523" t="inlineStr">
        <is>
          <t>KARLSHAMN</t>
        </is>
      </c>
      <c r="I1523" t="n">
        <v>1.2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47791-2024</t>
        </is>
      </c>
      <c r="B1524" t="inlineStr">
        <is>
          <t>avverkningsanmälan</t>
        </is>
      </c>
      <c r="C1524" t="inlineStr">
        <is>
          <t>Föryngringsavverkning</t>
        </is>
      </c>
      <c r="D1524" s="1" t="n">
        <v>45588</v>
      </c>
      <c r="E1524" s="1" t="n">
        <v>46216</v>
      </c>
      <c r="F1524" t="inlineStr">
        <is>
          <t>BLEKINGE LÄN</t>
        </is>
      </c>
      <c r="G1524" t="inlineStr">
        <is>
          <t>KARLSHAMN</t>
        </is>
      </c>
      <c r="I1524" t="n">
        <v>3.7</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43595-2025</t>
        </is>
      </c>
      <c r="B1525" t="inlineStr">
        <is>
          <t>avverkningsanmälan</t>
        </is>
      </c>
      <c r="C1525" t="inlineStr">
        <is>
          <t>Föryngringsavverkning</t>
        </is>
      </c>
      <c r="D1525" s="1" t="n">
        <v>45911</v>
      </c>
      <c r="E1525" s="1" t="n">
        <v>46216</v>
      </c>
      <c r="F1525" t="inlineStr">
        <is>
          <t>BLEKINGE LÄN</t>
        </is>
      </c>
      <c r="G1525" t="inlineStr">
        <is>
          <t>KARLSKRONA</t>
        </is>
      </c>
      <c r="I1525" t="n">
        <v>1.7</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38217-2022</t>
        </is>
      </c>
      <c r="B1526" t="inlineStr">
        <is>
          <t>avverkningsanmälan</t>
        </is>
      </c>
      <c r="C1526" t="inlineStr">
        <is>
          <t>Föryngringsavverkning</t>
        </is>
      </c>
      <c r="D1526" s="1" t="n">
        <v>44812</v>
      </c>
      <c r="E1526" s="1" t="n">
        <v>46216</v>
      </c>
      <c r="F1526" t="inlineStr">
        <is>
          <t>BLEKINGE LÄN</t>
        </is>
      </c>
      <c r="G1526" t="inlineStr">
        <is>
          <t>KARLSHAMN</t>
        </is>
      </c>
      <c r="I1526" t="n">
        <v>0.5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66447-2021</t>
        </is>
      </c>
      <c r="B1527" t="inlineStr">
        <is>
          <t>avverkningsanmälan</t>
        </is>
      </c>
      <c r="C1527" t="inlineStr">
        <is>
          <t>Föryngringsavverkning</t>
        </is>
      </c>
      <c r="D1527" s="1" t="n">
        <v>44518</v>
      </c>
      <c r="E1527" s="1" t="n">
        <v>46216</v>
      </c>
      <c r="F1527" t="inlineStr">
        <is>
          <t>BLEKINGE LÄN</t>
        </is>
      </c>
      <c r="G1527" t="inlineStr">
        <is>
          <t>SÖLVESBORG</t>
        </is>
      </c>
      <c r="I1527" t="n">
        <v>2.6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46921-2024</t>
        </is>
      </c>
      <c r="B1528" t="inlineStr">
        <is>
          <t>avverkningsanmälan</t>
        </is>
      </c>
      <c r="C1528" t="inlineStr">
        <is>
          <t>Föryngringsavverkning</t>
        </is>
      </c>
      <c r="D1528" s="1" t="n">
        <v>45583</v>
      </c>
      <c r="E1528" s="1" t="n">
        <v>46216</v>
      </c>
      <c r="F1528" t="inlineStr">
        <is>
          <t>BLEKINGE LÄN</t>
        </is>
      </c>
      <c r="G1528" t="inlineStr">
        <is>
          <t>OLOFSTRÖM</t>
        </is>
      </c>
      <c r="I1528" t="n">
        <v>0.8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50792-2022</t>
        </is>
      </c>
      <c r="B1529" t="inlineStr">
        <is>
          <t>avverkningsanmälan</t>
        </is>
      </c>
      <c r="C1529" t="inlineStr">
        <is>
          <t>Föryngringsavverkning</t>
        </is>
      </c>
      <c r="D1529" s="1" t="n">
        <v>44862</v>
      </c>
      <c r="E1529" s="1" t="n">
        <v>46216</v>
      </c>
      <c r="F1529" t="inlineStr">
        <is>
          <t>BLEKINGE LÄN</t>
        </is>
      </c>
      <c r="G1529" t="inlineStr">
        <is>
          <t>RONNEBY</t>
        </is>
      </c>
      <c r="I1529" t="n">
        <v>4.2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62734-2023</t>
        </is>
      </c>
      <c r="B1530" t="inlineStr">
        <is>
          <t>avverkningsanmälan</t>
        </is>
      </c>
      <c r="C1530" t="inlineStr">
        <is>
          <t>Föryngringsavverkning</t>
        </is>
      </c>
      <c r="D1530" s="1" t="n">
        <v>45268</v>
      </c>
      <c r="E1530" s="1" t="n">
        <v>46216</v>
      </c>
      <c r="F1530" t="inlineStr">
        <is>
          <t>BLEKINGE LÄN</t>
        </is>
      </c>
      <c r="G1530" t="inlineStr">
        <is>
          <t>OLOFSTRÖM</t>
        </is>
      </c>
      <c r="H1530" t="inlineStr">
        <is>
          <t>Övriga Aktiebolag</t>
        </is>
      </c>
      <c r="I1530" t="n">
        <v>8.4</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44951-2025</t>
        </is>
      </c>
      <c r="B1531" t="inlineStr">
        <is>
          <t>avverkningsanmälan</t>
        </is>
      </c>
      <c r="C1531" t="inlineStr">
        <is>
          <t>Föryngringsavverkning</t>
        </is>
      </c>
      <c r="D1531" s="1" t="n">
        <v>45918</v>
      </c>
      <c r="E1531" s="1" t="n">
        <v>46216</v>
      </c>
      <c r="F1531" t="inlineStr">
        <is>
          <t>BLEKINGE LÄN</t>
        </is>
      </c>
      <c r="G1531" t="inlineStr">
        <is>
          <t>KARLSHAMN</t>
        </is>
      </c>
      <c r="I1531" t="n">
        <v>2.2</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26867-2024</t>
        </is>
      </c>
      <c r="B1532" t="inlineStr">
        <is>
          <t>avverkningsanmälan</t>
        </is>
      </c>
      <c r="C1532" t="inlineStr">
        <is>
          <t>Föryngringsavverkning</t>
        </is>
      </c>
      <c r="D1532" s="1" t="n">
        <v>45470</v>
      </c>
      <c r="E1532" s="1" t="n">
        <v>46216</v>
      </c>
      <c r="F1532" t="inlineStr">
        <is>
          <t>BLEKINGE LÄN</t>
        </is>
      </c>
      <c r="G1532" t="inlineStr">
        <is>
          <t>RONNEBY</t>
        </is>
      </c>
      <c r="I1532" t="n">
        <v>2.5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39360-2024</t>
        </is>
      </c>
      <c r="B1533" t="inlineStr">
        <is>
          <t>avverkningsanmälan</t>
        </is>
      </c>
      <c r="C1533" t="inlineStr">
        <is>
          <t>Föryngringsavverkning</t>
        </is>
      </c>
      <c r="D1533" s="1" t="n">
        <v>45551</v>
      </c>
      <c r="E1533" s="1" t="n">
        <v>46216</v>
      </c>
      <c r="F1533" t="inlineStr">
        <is>
          <t>BLEKINGE LÄN</t>
        </is>
      </c>
      <c r="G1533" t="inlineStr">
        <is>
          <t>KARLSKRONA</t>
        </is>
      </c>
      <c r="I1533" t="n">
        <v>2.8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19142-2022</t>
        </is>
      </c>
      <c r="B1534" t="inlineStr">
        <is>
          <t>avverkningsanmälan</t>
        </is>
      </c>
      <c r="C1534" t="inlineStr">
        <is>
          <t>Föryngringsavverkning</t>
        </is>
      </c>
      <c r="D1534" s="1" t="n">
        <v>44691</v>
      </c>
      <c r="E1534" s="1" t="n">
        <v>46216</v>
      </c>
      <c r="F1534" t="inlineStr">
        <is>
          <t>BLEKINGE LÄN</t>
        </is>
      </c>
      <c r="G1534" t="inlineStr">
        <is>
          <t>KARLSKRONA</t>
        </is>
      </c>
      <c r="I1534" t="n">
        <v>1.7</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7848-2026</t>
        </is>
      </c>
      <c r="B1535" t="inlineStr">
        <is>
          <t>avverkningsanmälan</t>
        </is>
      </c>
      <c r="C1535" t="inlineStr">
        <is>
          <t>Föryngringsavverkning</t>
        </is>
      </c>
      <c r="D1535" s="1" t="n">
        <v>46062</v>
      </c>
      <c r="E1535" s="1" t="n">
        <v>46216</v>
      </c>
      <c r="F1535" t="inlineStr">
        <is>
          <t>BLEKINGE LÄN</t>
        </is>
      </c>
      <c r="G1535" t="inlineStr">
        <is>
          <t>RONNEBY</t>
        </is>
      </c>
      <c r="I1535" t="n">
        <v>3.1</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38405-2025</t>
        </is>
      </c>
      <c r="B1536" t="inlineStr">
        <is>
          <t>avverkningsanmälan</t>
        </is>
      </c>
      <c r="C1536" t="inlineStr">
        <is>
          <t>Föryngringsavverkning</t>
        </is>
      </c>
      <c r="D1536" s="1" t="n">
        <v>45883</v>
      </c>
      <c r="E1536" s="1" t="n">
        <v>46216</v>
      </c>
      <c r="F1536" t="inlineStr">
        <is>
          <t>BLEKINGE LÄN</t>
        </is>
      </c>
      <c r="G1536" t="inlineStr">
        <is>
          <t>OLOFSTRÖM</t>
        </is>
      </c>
      <c r="I1536" t="n">
        <v>0.7</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56435-2024</t>
        </is>
      </c>
      <c r="B1537" t="inlineStr">
        <is>
          <t>avverkningsanmälan</t>
        </is>
      </c>
      <c r="C1537" t="inlineStr">
        <is>
          <t>Föryngringsavverkning</t>
        </is>
      </c>
      <c r="D1537" s="1" t="n">
        <v>45625</v>
      </c>
      <c r="E1537" s="1" t="n">
        <v>46216</v>
      </c>
      <c r="F1537" t="inlineStr">
        <is>
          <t>BLEKINGE LÄN</t>
        </is>
      </c>
      <c r="G1537" t="inlineStr">
        <is>
          <t>RONNEBY</t>
        </is>
      </c>
      <c r="I1537" t="n">
        <v>2.7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36270-2023</t>
        </is>
      </c>
      <c r="B1538" t="inlineStr">
        <is>
          <t>avverkningsanmälan</t>
        </is>
      </c>
      <c r="C1538" t="inlineStr">
        <is>
          <t>Föryngringsavverkning</t>
        </is>
      </c>
      <c r="D1538" s="1" t="n">
        <v>45151</v>
      </c>
      <c r="E1538" s="1" t="n">
        <v>46216</v>
      </c>
      <c r="F1538" t="inlineStr">
        <is>
          <t>BLEKINGE LÄN</t>
        </is>
      </c>
      <c r="G1538" t="inlineStr">
        <is>
          <t>KARLSHAMN</t>
        </is>
      </c>
      <c r="I1538" t="n">
        <v>3.9</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48843-2025</t>
        </is>
      </c>
      <c r="B1539" t="inlineStr">
        <is>
          <t>avverkningsanmälan</t>
        </is>
      </c>
      <c r="C1539" t="inlineStr">
        <is>
          <t>Föryngringsavverkning</t>
        </is>
      </c>
      <c r="D1539" s="1" t="n">
        <v>45937</v>
      </c>
      <c r="E1539" s="1" t="n">
        <v>46216</v>
      </c>
      <c r="F1539" t="inlineStr">
        <is>
          <t>BLEKINGE LÄN</t>
        </is>
      </c>
      <c r="G1539" t="inlineStr">
        <is>
          <t>KARLSHAMN</t>
        </is>
      </c>
      <c r="I1539" t="n">
        <v>5.6</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21589-2025</t>
        </is>
      </c>
      <c r="B1540" t="inlineStr">
        <is>
          <t>avverkningsanmälan</t>
        </is>
      </c>
      <c r="C1540" t="inlineStr">
        <is>
          <t>Föryngringsavverkning</t>
        </is>
      </c>
      <c r="D1540" s="1" t="n">
        <v>45783</v>
      </c>
      <c r="E1540" s="1" t="n">
        <v>46216</v>
      </c>
      <c r="F1540" t="inlineStr">
        <is>
          <t>BLEKINGE LÄN</t>
        </is>
      </c>
      <c r="G1540" t="inlineStr">
        <is>
          <t>KARLSKRONA</t>
        </is>
      </c>
      <c r="I1540" t="n">
        <v>11.5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33862-2023</t>
        </is>
      </c>
      <c r="B1541" t="inlineStr">
        <is>
          <t>avverkningsanmälan</t>
        </is>
      </c>
      <c r="C1541" t="inlineStr">
        <is>
          <t>Föryngringsavverkning</t>
        </is>
      </c>
      <c r="D1541" s="1" t="n">
        <v>45133</v>
      </c>
      <c r="E1541" s="1" t="n">
        <v>46216</v>
      </c>
      <c r="F1541" t="inlineStr">
        <is>
          <t>BLEKINGE LÄN</t>
        </is>
      </c>
      <c r="G1541" t="inlineStr">
        <is>
          <t>OLOFSTRÖM</t>
        </is>
      </c>
      <c r="I1541" t="n">
        <v>1.4</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56512-2025</t>
        </is>
      </c>
      <c r="B1542" t="inlineStr">
        <is>
          <t>avverkningsanmälan</t>
        </is>
      </c>
      <c r="C1542" t="inlineStr">
        <is>
          <t>Föryngringsavverkning</t>
        </is>
      </c>
      <c r="D1542" s="1" t="n">
        <v>45975</v>
      </c>
      <c r="E1542" s="1" t="n">
        <v>46216</v>
      </c>
      <c r="F1542" t="inlineStr">
        <is>
          <t>BLEKINGE LÄN</t>
        </is>
      </c>
      <c r="G1542" t="inlineStr">
        <is>
          <t>KARLSHAMN</t>
        </is>
      </c>
      <c r="I1542" t="n">
        <v>0.8</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25948-2026</t>
        </is>
      </c>
      <c r="B1543" t="inlineStr">
        <is>
          <t>avverkningsanmälan</t>
        </is>
      </c>
      <c r="C1543" t="inlineStr">
        <is>
          <t>Föryngringsavverkning</t>
        </is>
      </c>
      <c r="D1543" s="1" t="n">
        <v>46181</v>
      </c>
      <c r="E1543" s="1" t="n">
        <v>46216</v>
      </c>
      <c r="F1543" t="inlineStr">
        <is>
          <t>BLEKINGE LÄN</t>
        </is>
      </c>
      <c r="G1543" t="inlineStr">
        <is>
          <t>RONNEBY</t>
        </is>
      </c>
      <c r="I1543" t="n">
        <v>2.5</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58402-2025</t>
        </is>
      </c>
      <c r="B1544" t="inlineStr">
        <is>
          <t>avverkningsanmälan</t>
        </is>
      </c>
      <c r="C1544" t="inlineStr">
        <is>
          <t>Föryngringsavverkning</t>
        </is>
      </c>
      <c r="D1544" s="1" t="n">
        <v>45985</v>
      </c>
      <c r="E1544" s="1" t="n">
        <v>46216</v>
      </c>
      <c r="F1544" t="inlineStr">
        <is>
          <t>BLEKINGE LÄN</t>
        </is>
      </c>
      <c r="G1544" t="inlineStr">
        <is>
          <t>KARLSKRONA</t>
        </is>
      </c>
      <c r="I1544" t="n">
        <v>2.2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24931-2023</t>
        </is>
      </c>
      <c r="B1545" t="inlineStr">
        <is>
          <t>avverkningsanmälan</t>
        </is>
      </c>
      <c r="C1545" t="inlineStr">
        <is>
          <t>Föryngringsavverkning</t>
        </is>
      </c>
      <c r="D1545" s="1" t="n">
        <v>45085</v>
      </c>
      <c r="E1545" s="1" t="n">
        <v>46216</v>
      </c>
      <c r="F1545" t="inlineStr">
        <is>
          <t>BLEKINGE LÄN</t>
        </is>
      </c>
      <c r="G1545" t="inlineStr">
        <is>
          <t>KARLSKRONA</t>
        </is>
      </c>
      <c r="I1545" t="n">
        <v>10.9</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25216-2023</t>
        </is>
      </c>
      <c r="B1546" t="inlineStr">
        <is>
          <t>avverkningsanmälan</t>
        </is>
      </c>
      <c r="C1546" t="inlineStr">
        <is>
          <t>Föryngringsavverkning</t>
        </is>
      </c>
      <c r="D1546" s="1" t="n">
        <v>45086</v>
      </c>
      <c r="E1546" s="1" t="n">
        <v>46216</v>
      </c>
      <c r="F1546" t="inlineStr">
        <is>
          <t>BLEKINGE LÄN</t>
        </is>
      </c>
      <c r="G1546" t="inlineStr">
        <is>
          <t>RONNEBY</t>
        </is>
      </c>
      <c r="I1546" t="n">
        <v>2.1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35858-2022</t>
        </is>
      </c>
      <c r="B1547" t="inlineStr">
        <is>
          <t>avverkningsanmälan</t>
        </is>
      </c>
      <c r="C1547" t="inlineStr">
        <is>
          <t>Föryngringsavverkning</t>
        </is>
      </c>
      <c r="D1547" s="1" t="n">
        <v>44799</v>
      </c>
      <c r="E1547" s="1" t="n">
        <v>46216</v>
      </c>
      <c r="F1547" t="inlineStr">
        <is>
          <t>BLEKINGE LÄN</t>
        </is>
      </c>
      <c r="G1547" t="inlineStr">
        <is>
          <t>KARLSKRONA</t>
        </is>
      </c>
      <c r="I1547" t="n">
        <v>2.7</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2388-2024</t>
        </is>
      </c>
      <c r="B1548" t="inlineStr">
        <is>
          <t>avverkningsanmälan</t>
        </is>
      </c>
      <c r="C1548" t="inlineStr">
        <is>
          <t>Föryngringsavverkning</t>
        </is>
      </c>
      <c r="D1548" s="1" t="n">
        <v>45310</v>
      </c>
      <c r="E1548" s="1" t="n">
        <v>46216</v>
      </c>
      <c r="F1548" t="inlineStr">
        <is>
          <t>BLEKINGE LÄN</t>
        </is>
      </c>
      <c r="G1548" t="inlineStr">
        <is>
          <t>RONNEBY</t>
        </is>
      </c>
      <c r="I1548" t="n">
        <v>0</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45052-2025</t>
        </is>
      </c>
      <c r="B1549" t="inlineStr">
        <is>
          <t>avverkningsanmälan</t>
        </is>
      </c>
      <c r="C1549" t="inlineStr">
        <is>
          <t>Föryngringsavverkning</t>
        </is>
      </c>
      <c r="D1549" s="1" t="n">
        <v>45919</v>
      </c>
      <c r="E1549" s="1" t="n">
        <v>46216</v>
      </c>
      <c r="F1549" t="inlineStr">
        <is>
          <t>BLEKINGE LÄN</t>
        </is>
      </c>
      <c r="G1549" t="inlineStr">
        <is>
          <t>KARLSHAMN</t>
        </is>
      </c>
      <c r="I1549" t="n">
        <v>2.3</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12698-2022</t>
        </is>
      </c>
      <c r="B1550" t="inlineStr">
        <is>
          <t>avverkningsanmälan</t>
        </is>
      </c>
      <c r="C1550" t="inlineStr">
        <is>
          <t>Föryngringsavverkning</t>
        </is>
      </c>
      <c r="D1550" s="1" t="n">
        <v>44641</v>
      </c>
      <c r="E1550" s="1" t="n">
        <v>46216</v>
      </c>
      <c r="F1550" t="inlineStr">
        <is>
          <t>BLEKINGE LÄN</t>
        </is>
      </c>
      <c r="G1550" t="inlineStr">
        <is>
          <t>KARLSKRONA</t>
        </is>
      </c>
      <c r="I1550" t="n">
        <v>2</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17904-2023</t>
        </is>
      </c>
      <c r="B1551" t="inlineStr">
        <is>
          <t>avverkningsanmälan</t>
        </is>
      </c>
      <c r="C1551" t="inlineStr">
        <is>
          <t>Föryngringsavverkning</t>
        </is>
      </c>
      <c r="D1551" s="1" t="n">
        <v>45040</v>
      </c>
      <c r="E1551" s="1" t="n">
        <v>46216</v>
      </c>
      <c r="F1551" t="inlineStr">
        <is>
          <t>BLEKINGE LÄN</t>
        </is>
      </c>
      <c r="G1551" t="inlineStr">
        <is>
          <t>RONNEBY</t>
        </is>
      </c>
      <c r="I1551" t="n">
        <v>11.5</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2899-2025</t>
        </is>
      </c>
      <c r="B1552" t="inlineStr">
        <is>
          <t>avverkningsanmälan</t>
        </is>
      </c>
      <c r="C1552" t="inlineStr">
        <is>
          <t>Föryngringsavverkning</t>
        </is>
      </c>
      <c r="D1552" s="1" t="n">
        <v>45677</v>
      </c>
      <c r="E1552" s="1" t="n">
        <v>46216</v>
      </c>
      <c r="F1552" t="inlineStr">
        <is>
          <t>BLEKINGE LÄN</t>
        </is>
      </c>
      <c r="G1552" t="inlineStr">
        <is>
          <t>RONNEBY</t>
        </is>
      </c>
      <c r="I1552" t="n">
        <v>4.9</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11257-2023</t>
        </is>
      </c>
      <c r="B1553" t="inlineStr">
        <is>
          <t>avverkningsanmälan</t>
        </is>
      </c>
      <c r="C1553" t="inlineStr">
        <is>
          <t>Föryngringsavverkning</t>
        </is>
      </c>
      <c r="D1553" s="1" t="n">
        <v>44992</v>
      </c>
      <c r="E1553" s="1" t="n">
        <v>46216</v>
      </c>
      <c r="F1553" t="inlineStr">
        <is>
          <t>BLEKINGE LÄN</t>
        </is>
      </c>
      <c r="G1553" t="inlineStr">
        <is>
          <t>RONNEBY</t>
        </is>
      </c>
      <c r="H1553" t="inlineStr">
        <is>
          <t>Övriga Aktiebolag</t>
        </is>
      </c>
      <c r="I1553" t="n">
        <v>7.2</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20351-2026</t>
        </is>
      </c>
      <c r="B1554" t="inlineStr">
        <is>
          <t>avverkningsanmälan</t>
        </is>
      </c>
      <c r="C1554" t="inlineStr">
        <is>
          <t>Föryngringsavverkning</t>
        </is>
      </c>
      <c r="D1554" s="1" t="n">
        <v>46139</v>
      </c>
      <c r="E1554" s="1" t="n">
        <v>46216</v>
      </c>
      <c r="F1554" t="inlineStr">
        <is>
          <t>BLEKINGE LÄN</t>
        </is>
      </c>
      <c r="G1554" t="inlineStr">
        <is>
          <t>RONNEBY</t>
        </is>
      </c>
      <c r="I1554" t="n">
        <v>1.2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17599-2025</t>
        </is>
      </c>
      <c r="B1555" t="inlineStr">
        <is>
          <t>avverkningsanmälan</t>
        </is>
      </c>
      <c r="C1555" t="inlineStr">
        <is>
          <t>Föryngringsavverkning</t>
        </is>
      </c>
      <c r="D1555" s="1" t="n">
        <v>45757</v>
      </c>
      <c r="E1555" s="1" t="n">
        <v>46216</v>
      </c>
      <c r="F1555" t="inlineStr">
        <is>
          <t>BLEKINGE LÄN</t>
        </is>
      </c>
      <c r="G1555" t="inlineStr">
        <is>
          <t>RONNEBY</t>
        </is>
      </c>
      <c r="I1555" t="n">
        <v>0.7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23592-2023</t>
        </is>
      </c>
      <c r="B1556" t="inlineStr">
        <is>
          <t>avverkningsanmälan</t>
        </is>
      </c>
      <c r="C1556" t="inlineStr">
        <is>
          <t>Föryngringsavverkning</t>
        </is>
      </c>
      <c r="D1556" s="1" t="n">
        <v>45077</v>
      </c>
      <c r="E1556" s="1" t="n">
        <v>46216</v>
      </c>
      <c r="F1556" t="inlineStr">
        <is>
          <t>BLEKINGE LÄN</t>
        </is>
      </c>
      <c r="G1556" t="inlineStr">
        <is>
          <t>KARLSKRONA</t>
        </is>
      </c>
      <c r="I1556" t="n">
        <v>0.5</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26889-2025</t>
        </is>
      </c>
      <c r="B1557" t="inlineStr">
        <is>
          <t>avverkningsanmälan</t>
        </is>
      </c>
      <c r="C1557" t="inlineStr">
        <is>
          <t>Föryngringsavverkning</t>
        </is>
      </c>
      <c r="D1557" s="1" t="n">
        <v>45811</v>
      </c>
      <c r="E1557" s="1" t="n">
        <v>46216</v>
      </c>
      <c r="F1557" t="inlineStr">
        <is>
          <t>BLEKINGE LÄN</t>
        </is>
      </c>
      <c r="G1557" t="inlineStr">
        <is>
          <t>RONNEBY</t>
        </is>
      </c>
      <c r="I1557" t="n">
        <v>1.1</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11071-2023</t>
        </is>
      </c>
      <c r="B1558" t="inlineStr">
        <is>
          <t>avverkningsanmälan</t>
        </is>
      </c>
      <c r="C1558" t="inlineStr">
        <is>
          <t>Föryngringsavverkning</t>
        </is>
      </c>
      <c r="D1558" s="1" t="n">
        <v>44992</v>
      </c>
      <c r="E1558" s="1" t="n">
        <v>46216</v>
      </c>
      <c r="F1558" t="inlineStr">
        <is>
          <t>BLEKINGE LÄN</t>
        </is>
      </c>
      <c r="G1558" t="inlineStr">
        <is>
          <t>OLOFSTRÖM</t>
        </is>
      </c>
      <c r="I1558" t="n">
        <v>3</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41875-2022</t>
        </is>
      </c>
      <c r="B1559" t="inlineStr">
        <is>
          <t>avverkningsanmälan</t>
        </is>
      </c>
      <c r="C1559" t="inlineStr">
        <is>
          <t>Föryngringsavverkning</t>
        </is>
      </c>
      <c r="D1559" s="1" t="n">
        <v>44829</v>
      </c>
      <c r="E1559" s="1" t="n">
        <v>46216</v>
      </c>
      <c r="F1559" t="inlineStr">
        <is>
          <t>BLEKINGE LÄN</t>
        </is>
      </c>
      <c r="G1559" t="inlineStr">
        <is>
          <t>RONNEBY</t>
        </is>
      </c>
      <c r="I1559" t="n">
        <v>7.1</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36731-2024</t>
        </is>
      </c>
      <c r="B1560" t="inlineStr">
        <is>
          <t>avverkningsanmälan</t>
        </is>
      </c>
      <c r="C1560" t="inlineStr">
        <is>
          <t>Föryngringsavverkning</t>
        </is>
      </c>
      <c r="D1560" s="1" t="n">
        <v>45537</v>
      </c>
      <c r="E1560" s="1" t="n">
        <v>46216</v>
      </c>
      <c r="F1560" t="inlineStr">
        <is>
          <t>BLEKINGE LÄN</t>
        </is>
      </c>
      <c r="G1560" t="inlineStr">
        <is>
          <t>KARLSKRONA</t>
        </is>
      </c>
      <c r="I1560" t="n">
        <v>0.7</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36811-2024</t>
        </is>
      </c>
      <c r="B1561" t="inlineStr">
        <is>
          <t>avverkningsanmälan</t>
        </is>
      </c>
      <c r="C1561" t="inlineStr">
        <is>
          <t>Föryngringsavverkning</t>
        </is>
      </c>
      <c r="D1561" s="1" t="n">
        <v>45538</v>
      </c>
      <c r="E1561" s="1" t="n">
        <v>46216</v>
      </c>
      <c r="F1561" t="inlineStr">
        <is>
          <t>BLEKINGE LÄN</t>
        </is>
      </c>
      <c r="G1561" t="inlineStr">
        <is>
          <t>KARLSKRONA</t>
        </is>
      </c>
      <c r="I1561" t="n">
        <v>2.7</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20448-2025</t>
        </is>
      </c>
      <c r="B1562" t="inlineStr">
        <is>
          <t>avverkningsanmälan</t>
        </is>
      </c>
      <c r="C1562" t="inlineStr">
        <is>
          <t>Föryngringsavverkning</t>
        </is>
      </c>
      <c r="D1562" s="1" t="n">
        <v>45775</v>
      </c>
      <c r="E1562" s="1" t="n">
        <v>46216</v>
      </c>
      <c r="F1562" t="inlineStr">
        <is>
          <t>BLEKINGE LÄN</t>
        </is>
      </c>
      <c r="G1562" t="inlineStr">
        <is>
          <t>OLOFSTRÖM</t>
        </is>
      </c>
      <c r="I1562" t="n">
        <v>1.3</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4902-2023</t>
        </is>
      </c>
      <c r="B1563" t="inlineStr">
        <is>
          <t>avverkningsanmälan</t>
        </is>
      </c>
      <c r="C1563" t="inlineStr">
        <is>
          <t>Föryngringsavverkning</t>
        </is>
      </c>
      <c r="D1563" s="1" t="n">
        <v>44956</v>
      </c>
      <c r="E1563" s="1" t="n">
        <v>46216</v>
      </c>
      <c r="F1563" t="inlineStr">
        <is>
          <t>BLEKINGE LÄN</t>
        </is>
      </c>
      <c r="G1563" t="inlineStr">
        <is>
          <t>RONNEBY</t>
        </is>
      </c>
      <c r="I1563" t="n">
        <v>0.7</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40714-2023</t>
        </is>
      </c>
      <c r="B1564" t="inlineStr">
        <is>
          <t>avverkningsanmälan</t>
        </is>
      </c>
      <c r="C1564" t="inlineStr">
        <is>
          <t>Föryngringsavverkning</t>
        </is>
      </c>
      <c r="D1564" s="1" t="n">
        <v>45170</v>
      </c>
      <c r="E1564" s="1" t="n">
        <v>46216</v>
      </c>
      <c r="F1564" t="inlineStr">
        <is>
          <t>BLEKINGE LÄN</t>
        </is>
      </c>
      <c r="G1564" t="inlineStr">
        <is>
          <t>KARLSKRONA</t>
        </is>
      </c>
      <c r="I1564" t="n">
        <v>1.1</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46712-2021</t>
        </is>
      </c>
      <c r="B1565" t="inlineStr">
        <is>
          <t>avverkningsanmälan</t>
        </is>
      </c>
      <c r="C1565" t="inlineStr">
        <is>
          <t>Föryngringsavverkning</t>
        </is>
      </c>
      <c r="D1565" s="1" t="n">
        <v>44445</v>
      </c>
      <c r="E1565" s="1" t="n">
        <v>46216</v>
      </c>
      <c r="F1565" t="inlineStr">
        <is>
          <t>BLEKINGE LÄN</t>
        </is>
      </c>
      <c r="G1565" t="inlineStr">
        <is>
          <t>KARLSKRONA</t>
        </is>
      </c>
      <c r="I1565" t="n">
        <v>2.4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33766-2024</t>
        </is>
      </c>
      <c r="B1566" t="inlineStr">
        <is>
          <t>avverkningsanmälan</t>
        </is>
      </c>
      <c r="C1566" t="inlineStr">
        <is>
          <t>Föryngringsavverkning</t>
        </is>
      </c>
      <c r="D1566" s="1" t="n">
        <v>45520</v>
      </c>
      <c r="E1566" s="1" t="n">
        <v>46216</v>
      </c>
      <c r="F1566" t="inlineStr">
        <is>
          <t>BLEKINGE LÄN</t>
        </is>
      </c>
      <c r="G1566" t="inlineStr">
        <is>
          <t>SÖLVESBORG</t>
        </is>
      </c>
      <c r="I1566" t="n">
        <v>1.5</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38518-2025</t>
        </is>
      </c>
      <c r="B1567" t="inlineStr">
        <is>
          <t>avverkningsanmälan</t>
        </is>
      </c>
      <c r="C1567" t="inlineStr">
        <is>
          <t>Föryngringsavverkning</t>
        </is>
      </c>
      <c r="D1567" s="1" t="n">
        <v>45884</v>
      </c>
      <c r="E1567" s="1" t="n">
        <v>46216</v>
      </c>
      <c r="F1567" t="inlineStr">
        <is>
          <t>BLEKINGE LÄN</t>
        </is>
      </c>
      <c r="G1567" t="inlineStr">
        <is>
          <t>KARLSHAMN</t>
        </is>
      </c>
      <c r="I1567" t="n">
        <v>0.9</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21810-2023</t>
        </is>
      </c>
      <c r="B1568" t="inlineStr">
        <is>
          <t>avverkningsanmälan</t>
        </is>
      </c>
      <c r="C1568" t="inlineStr">
        <is>
          <t>Föryngringsavverkning</t>
        </is>
      </c>
      <c r="D1568" s="1" t="n">
        <v>45068</v>
      </c>
      <c r="E1568" s="1" t="n">
        <v>46216</v>
      </c>
      <c r="F1568" t="inlineStr">
        <is>
          <t>BLEKINGE LÄN</t>
        </is>
      </c>
      <c r="G1568" t="inlineStr">
        <is>
          <t>KARLSHAMN</t>
        </is>
      </c>
      <c r="H1568" t="inlineStr">
        <is>
          <t>Kommuner</t>
        </is>
      </c>
      <c r="I1568" t="n">
        <v>0.6</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41660-2024</t>
        </is>
      </c>
      <c r="B1569" t="inlineStr">
        <is>
          <t>avverkningsanmälan</t>
        </is>
      </c>
      <c r="C1569" t="inlineStr">
        <is>
          <t>Föryngringsavverkning</t>
        </is>
      </c>
      <c r="D1569" s="1" t="n">
        <v>45560</v>
      </c>
      <c r="E1569" s="1" t="n">
        <v>46216</v>
      </c>
      <c r="F1569" t="inlineStr">
        <is>
          <t>BLEKINGE LÄN</t>
        </is>
      </c>
      <c r="G1569" t="inlineStr">
        <is>
          <t>RONNEBY</t>
        </is>
      </c>
      <c r="H1569" t="inlineStr">
        <is>
          <t>Övriga Aktiebolag</t>
        </is>
      </c>
      <c r="I1569" t="n">
        <v>1.8</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4127-2025</t>
        </is>
      </c>
      <c r="B1570" t="inlineStr">
        <is>
          <t>avverkningsanmälan</t>
        </is>
      </c>
      <c r="C1570" t="inlineStr">
        <is>
          <t>Föryngringsavverkning</t>
        </is>
      </c>
      <c r="D1570" s="1" t="n">
        <v>45685</v>
      </c>
      <c r="E1570" s="1" t="n">
        <v>46216</v>
      </c>
      <c r="F1570" t="inlineStr">
        <is>
          <t>BLEKINGE LÄN</t>
        </is>
      </c>
      <c r="G1570" t="inlineStr">
        <is>
          <t>KARLSKRONA</t>
        </is>
      </c>
      <c r="I1570" t="n">
        <v>1.5</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39391-2023</t>
        </is>
      </c>
      <c r="B1571" t="inlineStr">
        <is>
          <t>avverkningsanmälan</t>
        </is>
      </c>
      <c r="C1571" t="inlineStr">
        <is>
          <t>Föryngringsavverkning</t>
        </is>
      </c>
      <c r="D1571" s="1" t="n">
        <v>45166</v>
      </c>
      <c r="E1571" s="1" t="n">
        <v>46216</v>
      </c>
      <c r="F1571" t="inlineStr">
        <is>
          <t>BLEKINGE LÄN</t>
        </is>
      </c>
      <c r="G1571" t="inlineStr">
        <is>
          <t>KARLSKRONA</t>
        </is>
      </c>
      <c r="I1571" t="n">
        <v>11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39468-2023</t>
        </is>
      </c>
      <c r="B1572" t="inlineStr">
        <is>
          <t>avverkningsanmälan</t>
        </is>
      </c>
      <c r="C1572" t="inlineStr">
        <is>
          <t>Föryngringsavverkning</t>
        </is>
      </c>
      <c r="D1572" s="1" t="n">
        <v>45166</v>
      </c>
      <c r="E1572" s="1" t="n">
        <v>46216</v>
      </c>
      <c r="F1572" t="inlineStr">
        <is>
          <t>BLEKINGE LÄN</t>
        </is>
      </c>
      <c r="G1572" t="inlineStr">
        <is>
          <t>RONNEBY</t>
        </is>
      </c>
      <c r="I1572" t="n">
        <v>0.8</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58627-2023</t>
        </is>
      </c>
      <c r="B1573" t="inlineStr">
        <is>
          <t>avverkningsanmälan</t>
        </is>
      </c>
      <c r="C1573" t="inlineStr">
        <is>
          <t>Föryngringsavverkning</t>
        </is>
      </c>
      <c r="D1573" s="1" t="n">
        <v>45251</v>
      </c>
      <c r="E1573" s="1" t="n">
        <v>46216</v>
      </c>
      <c r="F1573" t="inlineStr">
        <is>
          <t>BLEKINGE LÄN</t>
        </is>
      </c>
      <c r="G1573" t="inlineStr">
        <is>
          <t>KARLSKRONA</t>
        </is>
      </c>
      <c r="I1573" t="n">
        <v>0.4</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11630-2022</t>
        </is>
      </c>
      <c r="B1574" t="inlineStr">
        <is>
          <t>avverkningsanmälan</t>
        </is>
      </c>
      <c r="C1574" t="inlineStr">
        <is>
          <t>Föryngringsavverkning</t>
        </is>
      </c>
      <c r="D1574" s="1" t="n">
        <v>44631</v>
      </c>
      <c r="E1574" s="1" t="n">
        <v>46216</v>
      </c>
      <c r="F1574" t="inlineStr">
        <is>
          <t>BLEKINGE LÄN</t>
        </is>
      </c>
      <c r="G1574" t="inlineStr">
        <is>
          <t>KARLSKRONA</t>
        </is>
      </c>
      <c r="I1574" t="n">
        <v>0.9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38317-2025</t>
        </is>
      </c>
      <c r="B1575" t="inlineStr">
        <is>
          <t>avverkningsanmälan</t>
        </is>
      </c>
      <c r="C1575" t="inlineStr">
        <is>
          <t>Föryngringsavverkning</t>
        </is>
      </c>
      <c r="D1575" s="1" t="n">
        <v>45883</v>
      </c>
      <c r="E1575" s="1" t="n">
        <v>46216</v>
      </c>
      <c r="F1575" t="inlineStr">
        <is>
          <t>BLEKINGE LÄN</t>
        </is>
      </c>
      <c r="G1575" t="inlineStr">
        <is>
          <t>SÖLVESBORG</t>
        </is>
      </c>
      <c r="I1575" t="n">
        <v>2</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54532-2022</t>
        </is>
      </c>
      <c r="B1576" t="inlineStr">
        <is>
          <t>avverkningsanmälan</t>
        </is>
      </c>
      <c r="C1576" t="inlineStr">
        <is>
          <t>Föryngringsavverkning</t>
        </is>
      </c>
      <c r="D1576" s="1" t="n">
        <v>44882</v>
      </c>
      <c r="E1576" s="1" t="n">
        <v>46216</v>
      </c>
      <c r="F1576" t="inlineStr">
        <is>
          <t>BLEKINGE LÄN</t>
        </is>
      </c>
      <c r="G1576" t="inlineStr">
        <is>
          <t>RONNEBY</t>
        </is>
      </c>
      <c r="I1576" t="n">
        <v>1.7</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1494-2025</t>
        </is>
      </c>
      <c r="B1577" t="inlineStr">
        <is>
          <t>avverkningsanmälan</t>
        </is>
      </c>
      <c r="C1577" t="inlineStr">
        <is>
          <t>Föryngringsavverkning</t>
        </is>
      </c>
      <c r="D1577" s="1" t="n">
        <v>45670</v>
      </c>
      <c r="E1577" s="1" t="n">
        <v>46216</v>
      </c>
      <c r="F1577" t="inlineStr">
        <is>
          <t>BLEKINGE LÄN</t>
        </is>
      </c>
      <c r="G1577" t="inlineStr">
        <is>
          <t>RONNEBY</t>
        </is>
      </c>
      <c r="I1577" t="n">
        <v>12.6</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39901-2024</t>
        </is>
      </c>
      <c r="B1578" t="inlineStr">
        <is>
          <t>avverkningsanmälan</t>
        </is>
      </c>
      <c r="C1578" t="inlineStr">
        <is>
          <t>Föryngringsavverkning</t>
        </is>
      </c>
      <c r="D1578" s="1" t="n">
        <v>45553</v>
      </c>
      <c r="E1578" s="1" t="n">
        <v>46216</v>
      </c>
      <c r="F1578" t="inlineStr">
        <is>
          <t>BLEKINGE LÄN</t>
        </is>
      </c>
      <c r="G1578" t="inlineStr">
        <is>
          <t>KARLSHAMN</t>
        </is>
      </c>
      <c r="I1578" t="n">
        <v>1.3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47971-2025</t>
        </is>
      </c>
      <c r="B1579" t="inlineStr">
        <is>
          <t>avverkningsanmälan</t>
        </is>
      </c>
      <c r="C1579" t="inlineStr">
        <is>
          <t>Föryngringsavverkning</t>
        </is>
      </c>
      <c r="D1579" s="1" t="n">
        <v>45932</v>
      </c>
      <c r="E1579" s="1" t="n">
        <v>46216</v>
      </c>
      <c r="F1579" t="inlineStr">
        <is>
          <t>BLEKINGE LÄN</t>
        </is>
      </c>
      <c r="G1579" t="inlineStr">
        <is>
          <t>RONNEBY</t>
        </is>
      </c>
      <c r="H1579" t="inlineStr">
        <is>
          <t>Övriga Aktiebolag</t>
        </is>
      </c>
      <c r="I1579" t="n">
        <v>2.5</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25455-2024</t>
        </is>
      </c>
      <c r="B1580" t="inlineStr">
        <is>
          <t>avverkningsanmälan</t>
        </is>
      </c>
      <c r="C1580" t="inlineStr">
        <is>
          <t>Föryngringsavverkning</t>
        </is>
      </c>
      <c r="D1580" s="1" t="n">
        <v>45463</v>
      </c>
      <c r="E1580" s="1" t="n">
        <v>46216</v>
      </c>
      <c r="F1580" t="inlineStr">
        <is>
          <t>BLEKINGE LÄN</t>
        </is>
      </c>
      <c r="G1580" t="inlineStr">
        <is>
          <t>KARLSKRONA</t>
        </is>
      </c>
      <c r="I1580" t="n">
        <v>2.5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25458-2024</t>
        </is>
      </c>
      <c r="B1581" t="inlineStr">
        <is>
          <t>avverkningsanmälan</t>
        </is>
      </c>
      <c r="C1581" t="inlineStr">
        <is>
          <t>Föryngringsavverkning</t>
        </is>
      </c>
      <c r="D1581" s="1" t="n">
        <v>45463</v>
      </c>
      <c r="E1581" s="1" t="n">
        <v>46216</v>
      </c>
      <c r="F1581" t="inlineStr">
        <is>
          <t>BLEKINGE LÄN</t>
        </is>
      </c>
      <c r="G1581" t="inlineStr">
        <is>
          <t>KARLSKRONA</t>
        </is>
      </c>
      <c r="I1581" t="n">
        <v>2.3</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36202-2024</t>
        </is>
      </c>
      <c r="B1582" t="inlineStr">
        <is>
          <t>avverkningsanmälan</t>
        </is>
      </c>
      <c r="C1582" t="inlineStr">
        <is>
          <t>Föryngringsavverkning</t>
        </is>
      </c>
      <c r="D1582" s="1" t="n">
        <v>45534</v>
      </c>
      <c r="E1582" s="1" t="n">
        <v>46216</v>
      </c>
      <c r="F1582" t="inlineStr">
        <is>
          <t>BLEKINGE LÄN</t>
        </is>
      </c>
      <c r="G1582" t="inlineStr">
        <is>
          <t>RONNEBY</t>
        </is>
      </c>
      <c r="I1582" t="n">
        <v>0.9</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47160-2025</t>
        </is>
      </c>
      <c r="B1583" t="inlineStr">
        <is>
          <t>avverkningsanmälan</t>
        </is>
      </c>
      <c r="C1583" t="inlineStr">
        <is>
          <t>Föryngringsavverkning</t>
        </is>
      </c>
      <c r="D1583" s="1" t="n">
        <v>45929</v>
      </c>
      <c r="E1583" s="1" t="n">
        <v>46216</v>
      </c>
      <c r="F1583" t="inlineStr">
        <is>
          <t>BLEKINGE LÄN</t>
        </is>
      </c>
      <c r="G1583" t="inlineStr">
        <is>
          <t>RONNEBY</t>
        </is>
      </c>
      <c r="I1583" t="n">
        <v>2.8</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15464-2024</t>
        </is>
      </c>
      <c r="B1584" t="inlineStr">
        <is>
          <t>avverkningsanmälan</t>
        </is>
      </c>
      <c r="C1584" t="inlineStr">
        <is>
          <t>Föryngringsavverkning</t>
        </is>
      </c>
      <c r="D1584" s="1" t="n">
        <v>45401</v>
      </c>
      <c r="E1584" s="1" t="n">
        <v>46216</v>
      </c>
      <c r="F1584" t="inlineStr">
        <is>
          <t>BLEKINGE LÄN</t>
        </is>
      </c>
      <c r="G1584" t="inlineStr">
        <is>
          <t>OLOFSTRÖM</t>
        </is>
      </c>
      <c r="I1584" t="n">
        <v>3.8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45482-2024</t>
        </is>
      </c>
      <c r="B1585" t="inlineStr">
        <is>
          <t>avverkningsanmälan</t>
        </is>
      </c>
      <c r="C1585" t="inlineStr">
        <is>
          <t>Föryngringsavverkning</t>
        </is>
      </c>
      <c r="D1585" s="1" t="n">
        <v>45576</v>
      </c>
      <c r="E1585" s="1" t="n">
        <v>46216</v>
      </c>
      <c r="F1585" t="inlineStr">
        <is>
          <t>BLEKINGE LÄN</t>
        </is>
      </c>
      <c r="G1585" t="inlineStr">
        <is>
          <t>KARLSKRONA</t>
        </is>
      </c>
      <c r="I1585" t="n">
        <v>2.7</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20527-2023</t>
        </is>
      </c>
      <c r="B1586" t="inlineStr">
        <is>
          <t>avverkningsanmälan</t>
        </is>
      </c>
      <c r="C1586" t="inlineStr">
        <is>
          <t>Föryngringsavverkning</t>
        </is>
      </c>
      <c r="D1586" s="1" t="n">
        <v>45057</v>
      </c>
      <c r="E1586" s="1" t="n">
        <v>46216</v>
      </c>
      <c r="F1586" t="inlineStr">
        <is>
          <t>BLEKINGE LÄN</t>
        </is>
      </c>
      <c r="G1586" t="inlineStr">
        <is>
          <t>KARLSKRONA</t>
        </is>
      </c>
      <c r="I1586" t="n">
        <v>1.2</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21833-2025</t>
        </is>
      </c>
      <c r="B1587" t="inlineStr">
        <is>
          <t>avverkningsanmälan</t>
        </is>
      </c>
      <c r="C1587" t="inlineStr">
        <is>
          <t>Föryngringsavverkning</t>
        </is>
      </c>
      <c r="D1587" s="1" t="n">
        <v>45784</v>
      </c>
      <c r="E1587" s="1" t="n">
        <v>46216</v>
      </c>
      <c r="F1587" t="inlineStr">
        <is>
          <t>BLEKINGE LÄN</t>
        </is>
      </c>
      <c r="G1587" t="inlineStr">
        <is>
          <t>KARLSKRONA</t>
        </is>
      </c>
      <c r="I1587" t="n">
        <v>2.7</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8486-2025</t>
        </is>
      </c>
      <c r="B1588" t="inlineStr">
        <is>
          <t>avverkningsanmälan</t>
        </is>
      </c>
      <c r="C1588" t="inlineStr">
        <is>
          <t>Föryngringsavverkning</t>
        </is>
      </c>
      <c r="D1588" s="1" t="n">
        <v>45709</v>
      </c>
      <c r="E1588" s="1" t="n">
        <v>46216</v>
      </c>
      <c r="F1588" t="inlineStr">
        <is>
          <t>BLEKINGE LÄN</t>
        </is>
      </c>
      <c r="G1588" t="inlineStr">
        <is>
          <t>OLOFSTRÖM</t>
        </is>
      </c>
      <c r="I1588" t="n">
        <v>3.9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29583-2022</t>
        </is>
      </c>
      <c r="B1589" t="inlineStr">
        <is>
          <t>avverkningsanmälan</t>
        </is>
      </c>
      <c r="C1589" t="inlineStr">
        <is>
          <t>Föryngringsavverkning</t>
        </is>
      </c>
      <c r="D1589" s="1" t="n">
        <v>44754</v>
      </c>
      <c r="E1589" s="1" t="n">
        <v>46216</v>
      </c>
      <c r="F1589" t="inlineStr">
        <is>
          <t>BLEKINGE LÄN</t>
        </is>
      </c>
      <c r="G1589" t="inlineStr">
        <is>
          <t>KARLSKRONA</t>
        </is>
      </c>
      <c r="I1589" t="n">
        <v>0.9</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39838-2025</t>
        </is>
      </c>
      <c r="B1590" t="inlineStr">
        <is>
          <t>avverkningsanmälan</t>
        </is>
      </c>
      <c r="C1590" t="inlineStr">
        <is>
          <t>Föryngringsavverkning</t>
        </is>
      </c>
      <c r="D1590" s="1" t="n">
        <v>45891</v>
      </c>
      <c r="E1590" s="1" t="n">
        <v>46216</v>
      </c>
      <c r="F1590" t="inlineStr">
        <is>
          <t>BLEKINGE LÄN</t>
        </is>
      </c>
      <c r="G1590" t="inlineStr">
        <is>
          <t>RONNEBY</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39844-2025</t>
        </is>
      </c>
      <c r="B1591" t="inlineStr">
        <is>
          <t>avverkningsanmälan</t>
        </is>
      </c>
      <c r="C1591" t="inlineStr">
        <is>
          <t>Föryngringsavverkning</t>
        </is>
      </c>
      <c r="D1591" s="1" t="n">
        <v>45891</v>
      </c>
      <c r="E1591" s="1" t="n">
        <v>46216</v>
      </c>
      <c r="F1591" t="inlineStr">
        <is>
          <t>BLEKINGE LÄN</t>
        </is>
      </c>
      <c r="G1591" t="inlineStr">
        <is>
          <t>RONNEBY</t>
        </is>
      </c>
      <c r="I1591" t="n">
        <v>1.3</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26496-2023</t>
        </is>
      </c>
      <c r="B1592" t="inlineStr">
        <is>
          <t>avverkningsanmälan</t>
        </is>
      </c>
      <c r="C1592" t="inlineStr">
        <is>
          <t>Föryngringsavverkning</t>
        </is>
      </c>
      <c r="D1592" s="1" t="n">
        <v>45092</v>
      </c>
      <c r="E1592" s="1" t="n">
        <v>46216</v>
      </c>
      <c r="F1592" t="inlineStr">
        <is>
          <t>BLEKINGE LÄN</t>
        </is>
      </c>
      <c r="G1592" t="inlineStr">
        <is>
          <t>KARLSKRONA</t>
        </is>
      </c>
      <c r="I1592" t="n">
        <v>23</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56592-2022</t>
        </is>
      </c>
      <c r="B1593" t="inlineStr">
        <is>
          <t>avverkningsanmälan</t>
        </is>
      </c>
      <c r="C1593" t="inlineStr">
        <is>
          <t>Föryngringsavverkning</t>
        </is>
      </c>
      <c r="D1593" s="1" t="n">
        <v>44893</v>
      </c>
      <c r="E1593" s="1" t="n">
        <v>46216</v>
      </c>
      <c r="F1593" t="inlineStr">
        <is>
          <t>BLEKINGE LÄN</t>
        </is>
      </c>
      <c r="G1593" t="inlineStr">
        <is>
          <t>RONNEBY</t>
        </is>
      </c>
      <c r="I1593" t="n">
        <v>7.5</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25956-2026</t>
        </is>
      </c>
      <c r="B1594" t="inlineStr">
        <is>
          <t>avverkningsanmälan</t>
        </is>
      </c>
      <c r="C1594" t="inlineStr">
        <is>
          <t>Föryngringsavverkning</t>
        </is>
      </c>
      <c r="D1594" s="1" t="n">
        <v>46181</v>
      </c>
      <c r="E1594" s="1" t="n">
        <v>46216</v>
      </c>
      <c r="F1594" t="inlineStr">
        <is>
          <t>BLEKINGE LÄN</t>
        </is>
      </c>
      <c r="G1594" t="inlineStr">
        <is>
          <t>RONNEBY</t>
        </is>
      </c>
      <c r="I1594" t="n">
        <v>2.5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52637-2024</t>
        </is>
      </c>
      <c r="B1595" t="inlineStr">
        <is>
          <t>avverkningsanmälan</t>
        </is>
      </c>
      <c r="C1595" t="inlineStr">
        <is>
          <t>Föryngringsavverkning</t>
        </is>
      </c>
      <c r="D1595" s="1" t="n">
        <v>45610</v>
      </c>
      <c r="E1595" s="1" t="n">
        <v>46216</v>
      </c>
      <c r="F1595" t="inlineStr">
        <is>
          <t>BLEKINGE LÄN</t>
        </is>
      </c>
      <c r="G1595" t="inlineStr">
        <is>
          <t>RONNEBY</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2524-2025</t>
        </is>
      </c>
      <c r="B1596" t="inlineStr">
        <is>
          <t>avverkningsanmälan</t>
        </is>
      </c>
      <c r="C1596" t="inlineStr">
        <is>
          <t>Föryngringsavverkning</t>
        </is>
      </c>
      <c r="D1596" s="1" t="n">
        <v>45673</v>
      </c>
      <c r="E1596" s="1" t="n">
        <v>46216</v>
      </c>
      <c r="F1596" t="inlineStr">
        <is>
          <t>BLEKINGE LÄN</t>
        </is>
      </c>
      <c r="G1596" t="inlineStr">
        <is>
          <t>RONNEBY</t>
        </is>
      </c>
      <c r="I1596" t="n">
        <v>2.4</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40041-2025</t>
        </is>
      </c>
      <c r="B1597" t="inlineStr">
        <is>
          <t>avverkningsanmälan</t>
        </is>
      </c>
      <c r="C1597" t="inlineStr">
        <is>
          <t>Föryngringsavverkning</t>
        </is>
      </c>
      <c r="D1597" s="1" t="n">
        <v>45894</v>
      </c>
      <c r="E1597" s="1" t="n">
        <v>46216</v>
      </c>
      <c r="F1597" t="inlineStr">
        <is>
          <t>BLEKINGE LÄN</t>
        </is>
      </c>
      <c r="G1597" t="inlineStr">
        <is>
          <t>KARLSKRONA</t>
        </is>
      </c>
      <c r="I1597" t="n">
        <v>1.7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9775-2025</t>
        </is>
      </c>
      <c r="B1598" t="inlineStr">
        <is>
          <t>avverkningsanmälan</t>
        </is>
      </c>
      <c r="C1598" t="inlineStr">
        <is>
          <t>Föryngringsavverkning</t>
        </is>
      </c>
      <c r="D1598" s="1" t="n">
        <v>45716</v>
      </c>
      <c r="E1598" s="1" t="n">
        <v>46216</v>
      </c>
      <c r="F1598" t="inlineStr">
        <is>
          <t>BLEKINGE LÄN</t>
        </is>
      </c>
      <c r="G1598" t="inlineStr">
        <is>
          <t>KARLSHAMN</t>
        </is>
      </c>
      <c r="I1598" t="n">
        <v>1.7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21112-2024</t>
        </is>
      </c>
      <c r="B1599" t="inlineStr">
        <is>
          <t>avverkningsanmälan</t>
        </is>
      </c>
      <c r="C1599" t="inlineStr">
        <is>
          <t>Föryngringsavverkning</t>
        </is>
      </c>
      <c r="D1599" s="1" t="n">
        <v>45440</v>
      </c>
      <c r="E1599" s="1" t="n">
        <v>46216</v>
      </c>
      <c r="F1599" t="inlineStr">
        <is>
          <t>BLEKINGE LÄN</t>
        </is>
      </c>
      <c r="G1599" t="inlineStr">
        <is>
          <t>RONNEBY</t>
        </is>
      </c>
      <c r="I1599" t="n">
        <v>1.6</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52067-2022</t>
        </is>
      </c>
      <c r="B1600" t="inlineStr">
        <is>
          <t>avverkningsanmälan</t>
        </is>
      </c>
      <c r="C1600" t="inlineStr">
        <is>
          <t>Föryngringsavverkning</t>
        </is>
      </c>
      <c r="D1600" s="1" t="n">
        <v>44873</v>
      </c>
      <c r="E1600" s="1" t="n">
        <v>46216</v>
      </c>
      <c r="F1600" t="inlineStr">
        <is>
          <t>BLEKINGE LÄN</t>
        </is>
      </c>
      <c r="G1600" t="inlineStr">
        <is>
          <t>OLOFSTRÖM</t>
        </is>
      </c>
      <c r="I1600" t="n">
        <v>0.5</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7716-2023</t>
        </is>
      </c>
      <c r="B1601" t="inlineStr">
        <is>
          <t>avverkningsanmälan</t>
        </is>
      </c>
      <c r="C1601" t="inlineStr">
        <is>
          <t>Föryngringsavverkning</t>
        </is>
      </c>
      <c r="D1601" s="1" t="n">
        <v>44972</v>
      </c>
      <c r="E1601" s="1" t="n">
        <v>46216</v>
      </c>
      <c r="F1601" t="inlineStr">
        <is>
          <t>BLEKINGE LÄN</t>
        </is>
      </c>
      <c r="G1601" t="inlineStr">
        <is>
          <t>RONNEBY</t>
        </is>
      </c>
      <c r="I1601" t="n">
        <v>1</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54536-2022</t>
        </is>
      </c>
      <c r="B1602" t="inlineStr">
        <is>
          <t>avverkningsanmälan</t>
        </is>
      </c>
      <c r="C1602" t="inlineStr">
        <is>
          <t>Föryngringsavverkning</t>
        </is>
      </c>
      <c r="D1602" s="1" t="n">
        <v>44882</v>
      </c>
      <c r="E1602" s="1" t="n">
        <v>46216</v>
      </c>
      <c r="F1602" t="inlineStr">
        <is>
          <t>BLEKINGE LÄN</t>
        </is>
      </c>
      <c r="G1602" t="inlineStr">
        <is>
          <t>RONNEBY</t>
        </is>
      </c>
      <c r="I1602" t="n">
        <v>2.1</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37777-2025</t>
        </is>
      </c>
      <c r="B1603" t="inlineStr">
        <is>
          <t>avverkningsanmälan</t>
        </is>
      </c>
      <c r="C1603" t="inlineStr">
        <is>
          <t>Föryngringsavverkning</t>
        </is>
      </c>
      <c r="D1603" s="1" t="n">
        <v>45880</v>
      </c>
      <c r="E1603" s="1" t="n">
        <v>46216</v>
      </c>
      <c r="F1603" t="inlineStr">
        <is>
          <t>BLEKINGE LÄN</t>
        </is>
      </c>
      <c r="G1603" t="inlineStr">
        <is>
          <t>KARLSKRONA</t>
        </is>
      </c>
      <c r="I1603" t="n">
        <v>6.3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49389-2024</t>
        </is>
      </c>
      <c r="B1604" t="inlineStr">
        <is>
          <t>avverkningsanmälan</t>
        </is>
      </c>
      <c r="C1604" t="inlineStr">
        <is>
          <t>Föryngringsavverkning</t>
        </is>
      </c>
      <c r="D1604" s="1" t="n">
        <v>45595</v>
      </c>
      <c r="E1604" s="1" t="n">
        <v>46216</v>
      </c>
      <c r="F1604" t="inlineStr">
        <is>
          <t>BLEKINGE LÄN</t>
        </is>
      </c>
      <c r="G1604" t="inlineStr">
        <is>
          <t>OLOFSTRÖM</t>
        </is>
      </c>
      <c r="I1604" t="n">
        <v>1.1</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57910-2023</t>
        </is>
      </c>
      <c r="B1605" t="inlineStr">
        <is>
          <t>avverkningsanmälan</t>
        </is>
      </c>
      <c r="C1605" t="inlineStr">
        <is>
          <t>Föryngringsavverkning</t>
        </is>
      </c>
      <c r="D1605" s="1" t="n">
        <v>45247</v>
      </c>
      <c r="E1605" s="1" t="n">
        <v>46216</v>
      </c>
      <c r="F1605" t="inlineStr">
        <is>
          <t>BLEKINGE LÄN</t>
        </is>
      </c>
      <c r="G1605" t="inlineStr">
        <is>
          <t>OLOFSTRÖM</t>
        </is>
      </c>
      <c r="I1605" t="n">
        <v>2.7</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25652-2026</t>
        </is>
      </c>
      <c r="B1606" t="inlineStr">
        <is>
          <t>avverkningsanmälan</t>
        </is>
      </c>
      <c r="C1606" t="inlineStr">
        <is>
          <t>Föryngringsavverkning</t>
        </is>
      </c>
      <c r="D1606" s="1" t="n">
        <v>46177</v>
      </c>
      <c r="E1606" s="1" t="n">
        <v>46216</v>
      </c>
      <c r="F1606" t="inlineStr">
        <is>
          <t>BLEKINGE LÄN</t>
        </is>
      </c>
      <c r="G1606" t="inlineStr">
        <is>
          <t>KARLSKRONA</t>
        </is>
      </c>
      <c r="I1606" t="n">
        <v>2.2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57915-2023</t>
        </is>
      </c>
      <c r="B1607" t="inlineStr">
        <is>
          <t>avverkningsanmälan</t>
        </is>
      </c>
      <c r="C1607" t="inlineStr">
        <is>
          <t>Föryngringsavverkning</t>
        </is>
      </c>
      <c r="D1607" s="1" t="n">
        <v>45247</v>
      </c>
      <c r="E1607" s="1" t="n">
        <v>46216</v>
      </c>
      <c r="F1607" t="inlineStr">
        <is>
          <t>BLEKINGE LÄN</t>
        </is>
      </c>
      <c r="G1607" t="inlineStr">
        <is>
          <t>OLOFSTRÖM</t>
        </is>
      </c>
      <c r="I1607" t="n">
        <v>3.9</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45711-2025</t>
        </is>
      </c>
      <c r="B1608" t="inlineStr">
        <is>
          <t>avverkningsanmälan</t>
        </is>
      </c>
      <c r="C1608" t="inlineStr">
        <is>
          <t>Föryngringsavverkning</t>
        </is>
      </c>
      <c r="D1608" s="1" t="n">
        <v>45923</v>
      </c>
      <c r="E1608" s="1" t="n">
        <v>46216</v>
      </c>
      <c r="F1608" t="inlineStr">
        <is>
          <t>BLEKINGE LÄN</t>
        </is>
      </c>
      <c r="G1608" t="inlineStr">
        <is>
          <t>KARLSKRONA</t>
        </is>
      </c>
      <c r="I1608" t="n">
        <v>2.2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14224-2025</t>
        </is>
      </c>
      <c r="B1609" t="inlineStr">
        <is>
          <t>avverkningsanmälan</t>
        </is>
      </c>
      <c r="C1609" t="inlineStr">
        <is>
          <t>Föryngringsavverkning</t>
        </is>
      </c>
      <c r="D1609" s="1" t="n">
        <v>45740</v>
      </c>
      <c r="E1609" s="1" t="n">
        <v>46216</v>
      </c>
      <c r="F1609" t="inlineStr">
        <is>
          <t>BLEKINGE LÄN</t>
        </is>
      </c>
      <c r="G1609" t="inlineStr">
        <is>
          <t>KARLSHAMN</t>
        </is>
      </c>
      <c r="I1609" t="n">
        <v>1.6</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14099-2023</t>
        </is>
      </c>
      <c r="B1610" t="inlineStr">
        <is>
          <t>avverkningsanmälan</t>
        </is>
      </c>
      <c r="C1610" t="inlineStr">
        <is>
          <t>Föryngringsavverkning</t>
        </is>
      </c>
      <c r="D1610" s="1" t="n">
        <v>45009</v>
      </c>
      <c r="E1610" s="1" t="n">
        <v>46216</v>
      </c>
      <c r="F1610" t="inlineStr">
        <is>
          <t>BLEKINGE LÄN</t>
        </is>
      </c>
      <c r="G1610" t="inlineStr">
        <is>
          <t>RONNEBY</t>
        </is>
      </c>
      <c r="I1610" t="n">
        <v>0.8</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14131-2023</t>
        </is>
      </c>
      <c r="B1611" t="inlineStr">
        <is>
          <t>avverkningsanmälan</t>
        </is>
      </c>
      <c r="C1611" t="inlineStr">
        <is>
          <t>Föryngringsavverkning</t>
        </is>
      </c>
      <c r="D1611" s="1" t="n">
        <v>45009</v>
      </c>
      <c r="E1611" s="1" t="n">
        <v>46216</v>
      </c>
      <c r="F1611" t="inlineStr">
        <is>
          <t>BLEKINGE LÄN</t>
        </is>
      </c>
      <c r="G1611" t="inlineStr">
        <is>
          <t>KARLSKRONA</t>
        </is>
      </c>
      <c r="I1611" t="n">
        <v>2</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23819-2024</t>
        </is>
      </c>
      <c r="B1612" t="inlineStr">
        <is>
          <t>avverkningsanmälan</t>
        </is>
      </c>
      <c r="C1612" t="inlineStr">
        <is>
          <t>Föryngringsavverkning</t>
        </is>
      </c>
      <c r="D1612" s="1" t="n">
        <v>45455</v>
      </c>
      <c r="E1612" s="1" t="n">
        <v>46216</v>
      </c>
      <c r="F1612" t="inlineStr">
        <is>
          <t>BLEKINGE LÄN</t>
        </is>
      </c>
      <c r="G1612" t="inlineStr">
        <is>
          <t>KARLSKRONA</t>
        </is>
      </c>
      <c r="I1612" t="n">
        <v>6.9</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26087-2026</t>
        </is>
      </c>
      <c r="B1613" t="inlineStr">
        <is>
          <t>avverkningsanmälan</t>
        </is>
      </c>
      <c r="C1613" t="inlineStr">
        <is>
          <t>Föryngringsavverkning</t>
        </is>
      </c>
      <c r="D1613" s="1" t="n">
        <v>46181</v>
      </c>
      <c r="E1613" s="1" t="n">
        <v>46216</v>
      </c>
      <c r="F1613" t="inlineStr">
        <is>
          <t>BLEKINGE LÄN</t>
        </is>
      </c>
      <c r="G1613" t="inlineStr">
        <is>
          <t>KARLSHAMN</t>
        </is>
      </c>
      <c r="I1613" t="n">
        <v>1.6</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20353-2026</t>
        </is>
      </c>
      <c r="B1614" t="inlineStr">
        <is>
          <t>avverkningsanmälan</t>
        </is>
      </c>
      <c r="C1614" t="inlineStr">
        <is>
          <t>Föryngringsavverkning</t>
        </is>
      </c>
      <c r="D1614" s="1" t="n">
        <v>46139</v>
      </c>
      <c r="E1614" s="1" t="n">
        <v>46216</v>
      </c>
      <c r="F1614" t="inlineStr">
        <is>
          <t>BLEKINGE LÄN</t>
        </is>
      </c>
      <c r="G1614" t="inlineStr">
        <is>
          <t>RONNEBY</t>
        </is>
      </c>
      <c r="I1614" t="n">
        <v>0.9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28328-2025</t>
        </is>
      </c>
      <c r="B1615" t="inlineStr">
        <is>
          <t>avverkningsanmälan</t>
        </is>
      </c>
      <c r="C1615" t="inlineStr">
        <is>
          <t>Föryngringsavverkning</t>
        </is>
      </c>
      <c r="D1615" s="1" t="n">
        <v>45818</v>
      </c>
      <c r="E1615" s="1" t="n">
        <v>46216</v>
      </c>
      <c r="F1615" t="inlineStr">
        <is>
          <t>BLEKINGE LÄN</t>
        </is>
      </c>
      <c r="G1615" t="inlineStr">
        <is>
          <t>OLOFSTRÖM</t>
        </is>
      </c>
      <c r="I1615" t="n">
        <v>3.4</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26092-2026</t>
        </is>
      </c>
      <c r="B1616" t="inlineStr">
        <is>
          <t>avverkningsanmälan</t>
        </is>
      </c>
      <c r="C1616" t="inlineStr">
        <is>
          <t>Föryngringsavverkning</t>
        </is>
      </c>
      <c r="D1616" s="1" t="n">
        <v>46181</v>
      </c>
      <c r="E1616" s="1" t="n">
        <v>46216</v>
      </c>
      <c r="F1616" t="inlineStr">
        <is>
          <t>BLEKINGE LÄN</t>
        </is>
      </c>
      <c r="G1616" t="inlineStr">
        <is>
          <t>KARLSKRONA</t>
        </is>
      </c>
      <c r="I1616" t="n">
        <v>1.3</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21206-2023</t>
        </is>
      </c>
      <c r="B1617" t="inlineStr">
        <is>
          <t>avverkningsanmälan</t>
        </is>
      </c>
      <c r="C1617" t="inlineStr">
        <is>
          <t>Föryngringsavverkning</t>
        </is>
      </c>
      <c r="D1617" s="1" t="n">
        <v>45062</v>
      </c>
      <c r="E1617" s="1" t="n">
        <v>46216</v>
      </c>
      <c r="F1617" t="inlineStr">
        <is>
          <t>BLEKINGE LÄN</t>
        </is>
      </c>
      <c r="G1617" t="inlineStr">
        <is>
          <t>RONNEBY</t>
        </is>
      </c>
      <c r="H1617" t="inlineStr">
        <is>
          <t>Kommuner</t>
        </is>
      </c>
      <c r="I1617" t="n">
        <v>0.5</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25988-2026</t>
        </is>
      </c>
      <c r="B1618" t="inlineStr">
        <is>
          <t>avverkningsanmälan</t>
        </is>
      </c>
      <c r="C1618" t="inlineStr">
        <is>
          <t>Föryngringsavverkning</t>
        </is>
      </c>
      <c r="D1618" s="1" t="n">
        <v>46181</v>
      </c>
      <c r="E1618" s="1" t="n">
        <v>46216</v>
      </c>
      <c r="F1618" t="inlineStr">
        <is>
          <t>BLEKINGE LÄN</t>
        </is>
      </c>
      <c r="G1618" t="inlineStr">
        <is>
          <t>KARLSHAMN</t>
        </is>
      </c>
      <c r="I1618" t="n">
        <v>3.5</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55113-2025</t>
        </is>
      </c>
      <c r="B1619" t="inlineStr">
        <is>
          <t>avverkningsanmälan</t>
        </is>
      </c>
      <c r="C1619" t="inlineStr">
        <is>
          <t>Föryngringsavverkning</t>
        </is>
      </c>
      <c r="D1619" s="1" t="n">
        <v>45968</v>
      </c>
      <c r="E1619" s="1" t="n">
        <v>46216</v>
      </c>
      <c r="F1619" t="inlineStr">
        <is>
          <t>BLEKINGE LÄN</t>
        </is>
      </c>
      <c r="G1619" t="inlineStr">
        <is>
          <t>KARLSKRONA</t>
        </is>
      </c>
      <c r="I1619" t="n">
        <v>2.5</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55434-2023</t>
        </is>
      </c>
      <c r="B1620" t="inlineStr">
        <is>
          <t>avverkningsanmälan</t>
        </is>
      </c>
      <c r="C1620" t="inlineStr">
        <is>
          <t>Föryngringsavverkning</t>
        </is>
      </c>
      <c r="D1620" s="1" t="n">
        <v>45238</v>
      </c>
      <c r="E1620" s="1" t="n">
        <v>46216</v>
      </c>
      <c r="F1620" t="inlineStr">
        <is>
          <t>BLEKINGE LÄN</t>
        </is>
      </c>
      <c r="G1620" t="inlineStr">
        <is>
          <t>KARLSKRONA</t>
        </is>
      </c>
      <c r="I1620" t="n">
        <v>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3429-2023</t>
        </is>
      </c>
      <c r="B1621" t="inlineStr">
        <is>
          <t>avverkningsanmälan</t>
        </is>
      </c>
      <c r="C1621" t="inlineStr">
        <is>
          <t>Föryngringsavverkning</t>
        </is>
      </c>
      <c r="D1621" s="1" t="n">
        <v>44949</v>
      </c>
      <c r="E1621" s="1" t="n">
        <v>46216</v>
      </c>
      <c r="F1621" t="inlineStr">
        <is>
          <t>BLEKINGE LÄN</t>
        </is>
      </c>
      <c r="G1621" t="inlineStr">
        <is>
          <t>OLOFSTRÖM</t>
        </is>
      </c>
      <c r="I1621" t="n">
        <v>4.6</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26108-2026</t>
        </is>
      </c>
      <c r="B1622" t="inlineStr">
        <is>
          <t>avverkningsanmälan</t>
        </is>
      </c>
      <c r="C1622" t="inlineStr">
        <is>
          <t>Föryngringsavverkning</t>
        </is>
      </c>
      <c r="D1622" s="1" t="n">
        <v>46181</v>
      </c>
      <c r="E1622" s="1" t="n">
        <v>46216</v>
      </c>
      <c r="F1622" t="inlineStr">
        <is>
          <t>BLEKINGE LÄN</t>
        </is>
      </c>
      <c r="G1622" t="inlineStr">
        <is>
          <t>KARLSKRONA</t>
        </is>
      </c>
      <c r="I1622" t="n">
        <v>2.6</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64490-2021</t>
        </is>
      </c>
      <c r="B1623" t="inlineStr">
        <is>
          <t>avverkningsanmälan</t>
        </is>
      </c>
      <c r="C1623" t="inlineStr">
        <is>
          <t>Föryngringsavverkning</t>
        </is>
      </c>
      <c r="D1623" s="1" t="n">
        <v>44511</v>
      </c>
      <c r="E1623" s="1" t="n">
        <v>46216</v>
      </c>
      <c r="F1623" t="inlineStr">
        <is>
          <t>BLEKINGE LÄN</t>
        </is>
      </c>
      <c r="G1623" t="inlineStr">
        <is>
          <t>KARLSKRONA</t>
        </is>
      </c>
      <c r="I1623" t="n">
        <v>4.2</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26111-2026</t>
        </is>
      </c>
      <c r="B1624" t="inlineStr">
        <is>
          <t>avverkningsanmälan</t>
        </is>
      </c>
      <c r="C1624" t="inlineStr">
        <is>
          <t>Föryngringsavverkning</t>
        </is>
      </c>
      <c r="D1624" s="1" t="n">
        <v>46181</v>
      </c>
      <c r="E1624" s="1" t="n">
        <v>46216</v>
      </c>
      <c r="F1624" t="inlineStr">
        <is>
          <t>BLEKINGE LÄN</t>
        </is>
      </c>
      <c r="G1624" t="inlineStr">
        <is>
          <t>RONNEBY</t>
        </is>
      </c>
      <c r="I1624" t="n">
        <v>0.9</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44580-2025</t>
        </is>
      </c>
      <c r="B1625" t="inlineStr">
        <is>
          <t>avverkningsanmälan</t>
        </is>
      </c>
      <c r="C1625" t="inlineStr">
        <is>
          <t>Föryngringsavverkning</t>
        </is>
      </c>
      <c r="D1625" s="1" t="n">
        <v>45917</v>
      </c>
      <c r="E1625" s="1" t="n">
        <v>46216</v>
      </c>
      <c r="F1625" t="inlineStr">
        <is>
          <t>BLEKINGE LÄN</t>
        </is>
      </c>
      <c r="G1625" t="inlineStr">
        <is>
          <t>KARLSKRONA</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2692-2022</t>
        </is>
      </c>
      <c r="B1626" t="inlineStr">
        <is>
          <t>avverkningsanmälan</t>
        </is>
      </c>
      <c r="C1626" t="inlineStr">
        <is>
          <t>Föryngringsavverkning</t>
        </is>
      </c>
      <c r="D1626" s="1" t="n">
        <v>44580</v>
      </c>
      <c r="E1626" s="1" t="n">
        <v>46216</v>
      </c>
      <c r="F1626" t="inlineStr">
        <is>
          <t>BLEKINGE LÄN</t>
        </is>
      </c>
      <c r="G1626" t="inlineStr">
        <is>
          <t>KARLSKRONA</t>
        </is>
      </c>
      <c r="I1626" t="n">
        <v>1.5</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52689-2023</t>
        </is>
      </c>
      <c r="B1627" t="inlineStr">
        <is>
          <t>avverkningsanmälan</t>
        </is>
      </c>
      <c r="C1627" t="inlineStr">
        <is>
          <t>Föryngringsavverkning</t>
        </is>
      </c>
      <c r="D1627" s="1" t="n">
        <v>45225</v>
      </c>
      <c r="E1627" s="1" t="n">
        <v>46216</v>
      </c>
      <c r="F1627" t="inlineStr">
        <is>
          <t>BLEKINGE LÄN</t>
        </is>
      </c>
      <c r="G1627" t="inlineStr">
        <is>
          <t>OLOFSTRÖM</t>
        </is>
      </c>
      <c r="I1627" t="n">
        <v>0.7</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34470-2025</t>
        </is>
      </c>
      <c r="B1628" t="inlineStr">
        <is>
          <t>avverkningsanmälan</t>
        </is>
      </c>
      <c r="C1628" t="inlineStr">
        <is>
          <t>Föryngringsavverkning</t>
        </is>
      </c>
      <c r="D1628" s="1" t="n">
        <v>45846</v>
      </c>
      <c r="E1628" s="1" t="n">
        <v>46216</v>
      </c>
      <c r="F1628" t="inlineStr">
        <is>
          <t>BLEKINGE LÄN</t>
        </is>
      </c>
      <c r="G1628" t="inlineStr">
        <is>
          <t>KARLSHAMN</t>
        </is>
      </c>
      <c r="I1628" t="n">
        <v>2.8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69976-2021</t>
        </is>
      </c>
      <c r="B1629" t="inlineStr">
        <is>
          <t>avverkningsanmälan</t>
        </is>
      </c>
      <c r="C1629" t="inlineStr">
        <is>
          <t>Föryngringsavverkning</t>
        </is>
      </c>
      <c r="D1629" s="1" t="n">
        <v>44533</v>
      </c>
      <c r="E1629" s="1" t="n">
        <v>46216</v>
      </c>
      <c r="F1629" t="inlineStr">
        <is>
          <t>BLEKINGE LÄN</t>
        </is>
      </c>
      <c r="G1629" t="inlineStr">
        <is>
          <t>KARLSHAMN</t>
        </is>
      </c>
      <c r="I1629" t="n">
        <v>1.5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28962-2025</t>
        </is>
      </c>
      <c r="B1630" t="inlineStr">
        <is>
          <t>avverkningsanmälan</t>
        </is>
      </c>
      <c r="C1630" t="inlineStr">
        <is>
          <t>Föryngringsavverkning</t>
        </is>
      </c>
      <c r="D1630" s="1" t="n">
        <v>45821</v>
      </c>
      <c r="E1630" s="1" t="n">
        <v>46216</v>
      </c>
      <c r="F1630" t="inlineStr">
        <is>
          <t>BLEKINGE LÄN</t>
        </is>
      </c>
      <c r="G1630" t="inlineStr">
        <is>
          <t>RONNEBY</t>
        </is>
      </c>
      <c r="I1630" t="n">
        <v>1.7</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3011-2024</t>
        </is>
      </c>
      <c r="B1631" t="inlineStr">
        <is>
          <t>avverkningsanmälan</t>
        </is>
      </c>
      <c r="C1631" t="inlineStr">
        <is>
          <t>Föryngringsavverkning</t>
        </is>
      </c>
      <c r="D1631" s="1" t="n">
        <v>45315</v>
      </c>
      <c r="E1631" s="1" t="n">
        <v>46216</v>
      </c>
      <c r="F1631" t="inlineStr">
        <is>
          <t>BLEKINGE LÄN</t>
        </is>
      </c>
      <c r="G1631" t="inlineStr">
        <is>
          <t>KARLSKRONA</t>
        </is>
      </c>
      <c r="I1631" t="n">
        <v>1.4</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3035-2024</t>
        </is>
      </c>
      <c r="B1632" t="inlineStr">
        <is>
          <t>avverkningsanmälan</t>
        </is>
      </c>
      <c r="C1632" t="inlineStr">
        <is>
          <t>Föryngringsavverkning</t>
        </is>
      </c>
      <c r="D1632" s="1" t="n">
        <v>45316</v>
      </c>
      <c r="E1632" s="1" t="n">
        <v>46216</v>
      </c>
      <c r="F1632" t="inlineStr">
        <is>
          <t>BLEKINGE LÄN</t>
        </is>
      </c>
      <c r="G1632" t="inlineStr">
        <is>
          <t>RONNEBY</t>
        </is>
      </c>
      <c r="I1632" t="n">
        <v>6.2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54248-2025</t>
        </is>
      </c>
      <c r="B1633" t="inlineStr">
        <is>
          <t>avverkningsanmälan</t>
        </is>
      </c>
      <c r="C1633" t="inlineStr">
        <is>
          <t>Avverkning för annat ändamål</t>
        </is>
      </c>
      <c r="D1633" s="1" t="n">
        <v>45964</v>
      </c>
      <c r="E1633" s="1" t="n">
        <v>46216</v>
      </c>
      <c r="F1633" t="inlineStr">
        <is>
          <t>BLEKINGE LÄN</t>
        </is>
      </c>
      <c r="G1633" t="inlineStr">
        <is>
          <t>RONNEBY</t>
        </is>
      </c>
      <c r="H1633" t="inlineStr">
        <is>
          <t>Kommuner</t>
        </is>
      </c>
      <c r="I1633" t="n">
        <v>4.8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63392-2023</t>
        </is>
      </c>
      <c r="B1634" t="inlineStr">
        <is>
          <t>avverkningsanmälan</t>
        </is>
      </c>
      <c r="C1634" t="inlineStr">
        <is>
          <t>Föryngringsavverkning</t>
        </is>
      </c>
      <c r="D1634" s="1" t="n">
        <v>45274</v>
      </c>
      <c r="E1634" s="1" t="n">
        <v>46216</v>
      </c>
      <c r="F1634" t="inlineStr">
        <is>
          <t>BLEKINGE LÄN</t>
        </is>
      </c>
      <c r="G1634" t="inlineStr">
        <is>
          <t>OLOFSTRÖM</t>
        </is>
      </c>
      <c r="I1634" t="n">
        <v>0.4</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63393-2023</t>
        </is>
      </c>
      <c r="B1635" t="inlineStr">
        <is>
          <t>avverkningsanmälan</t>
        </is>
      </c>
      <c r="C1635" t="inlineStr">
        <is>
          <t>Föryngringsavverkning</t>
        </is>
      </c>
      <c r="D1635" s="1" t="n">
        <v>45274</v>
      </c>
      <c r="E1635" s="1" t="n">
        <v>46216</v>
      </c>
      <c r="F1635" t="inlineStr">
        <is>
          <t>BLEKINGE LÄN</t>
        </is>
      </c>
      <c r="G1635" t="inlineStr">
        <is>
          <t>OLOFSTRÖM</t>
        </is>
      </c>
      <c r="I1635" t="n">
        <v>2.3</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621-2025</t>
        </is>
      </c>
      <c r="B1636" t="inlineStr">
        <is>
          <t>avverkningsanmälan</t>
        </is>
      </c>
      <c r="C1636" t="inlineStr">
        <is>
          <t>Föryngringsavverkning</t>
        </is>
      </c>
      <c r="D1636" s="1" t="n">
        <v>45664</v>
      </c>
      <c r="E1636" s="1" t="n">
        <v>46216</v>
      </c>
      <c r="F1636" t="inlineStr">
        <is>
          <t>BLEKINGE LÄN</t>
        </is>
      </c>
      <c r="G1636" t="inlineStr">
        <is>
          <t>KARLSKRONA</t>
        </is>
      </c>
      <c r="I1636" t="n">
        <v>1.6</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47195-2021</t>
        </is>
      </c>
      <c r="B1637" t="inlineStr">
        <is>
          <t>avverkningsanmälan</t>
        </is>
      </c>
      <c r="C1637" t="inlineStr">
        <is>
          <t>Avverkning för annat ändamål</t>
        </is>
      </c>
      <c r="D1637" s="1" t="n">
        <v>44447</v>
      </c>
      <c r="E1637" s="1" t="n">
        <v>46216</v>
      </c>
      <c r="F1637" t="inlineStr">
        <is>
          <t>BLEKINGE LÄN</t>
        </is>
      </c>
      <c r="G1637" t="inlineStr">
        <is>
          <t>OLOFSTRÖM</t>
        </is>
      </c>
      <c r="I1637" t="n">
        <v>0.9</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22814-2025</t>
        </is>
      </c>
      <c r="B1638" t="inlineStr">
        <is>
          <t>avverkningsanmälan</t>
        </is>
      </c>
      <c r="C1638" t="inlineStr">
        <is>
          <t>Föryngringsavverkning</t>
        </is>
      </c>
      <c r="D1638" s="1" t="n">
        <v>45789</v>
      </c>
      <c r="E1638" s="1" t="n">
        <v>46216</v>
      </c>
      <c r="F1638" t="inlineStr">
        <is>
          <t>BLEKINGE LÄN</t>
        </is>
      </c>
      <c r="G1638" t="inlineStr">
        <is>
          <t>KARLSHAMN</t>
        </is>
      </c>
      <c r="I1638" t="n">
        <v>4.1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6819-2024</t>
        </is>
      </c>
      <c r="B1639" t="inlineStr">
        <is>
          <t>avverkningsanmälan</t>
        </is>
      </c>
      <c r="C1639" t="inlineStr">
        <is>
          <t>Föryngringsavverkning</t>
        </is>
      </c>
      <c r="D1639" s="1" t="n">
        <v>45342</v>
      </c>
      <c r="E1639" s="1" t="n">
        <v>46216</v>
      </c>
      <c r="F1639" t="inlineStr">
        <is>
          <t>BLEKINGE LÄN</t>
        </is>
      </c>
      <c r="G1639" t="inlineStr">
        <is>
          <t>RONNEBY</t>
        </is>
      </c>
      <c r="I1639" t="n">
        <v>15.2</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25650-2026</t>
        </is>
      </c>
      <c r="B1640" t="inlineStr">
        <is>
          <t>avverkningsanmälan</t>
        </is>
      </c>
      <c r="C1640" t="inlineStr">
        <is>
          <t>Föryngringsavverkning</t>
        </is>
      </c>
      <c r="D1640" s="1" t="n">
        <v>46177</v>
      </c>
      <c r="E1640" s="1" t="n">
        <v>46216</v>
      </c>
      <c r="F1640" t="inlineStr">
        <is>
          <t>BLEKINGE LÄN</t>
        </is>
      </c>
      <c r="G1640" t="inlineStr">
        <is>
          <t>KARLSKRONA</t>
        </is>
      </c>
      <c r="I1640" t="n">
        <v>1.9</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18719-2023</t>
        </is>
      </c>
      <c r="B1641" t="inlineStr">
        <is>
          <t>avverkningsanmälan</t>
        </is>
      </c>
      <c r="C1641" t="inlineStr">
        <is>
          <t>Föryngringsavverkning</t>
        </is>
      </c>
      <c r="D1641" s="1" t="n">
        <v>45043</v>
      </c>
      <c r="E1641" s="1" t="n">
        <v>46216</v>
      </c>
      <c r="F1641" t="inlineStr">
        <is>
          <t>BLEKINGE LÄN</t>
        </is>
      </c>
      <c r="G1641" t="inlineStr">
        <is>
          <t>KARLSKRONA</t>
        </is>
      </c>
      <c r="I1641" t="n">
        <v>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46361-2023</t>
        </is>
      </c>
      <c r="B1642" t="inlineStr">
        <is>
          <t>avverkningsanmälan</t>
        </is>
      </c>
      <c r="C1642" t="inlineStr">
        <is>
          <t>Föryngringsavverkning</t>
        </is>
      </c>
      <c r="D1642" s="1" t="n">
        <v>45197</v>
      </c>
      <c r="E1642" s="1" t="n">
        <v>46216</v>
      </c>
      <c r="F1642" t="inlineStr">
        <is>
          <t>BLEKINGE LÄN</t>
        </is>
      </c>
      <c r="G1642" t="inlineStr">
        <is>
          <t>OLOFSTRÖM</t>
        </is>
      </c>
      <c r="I1642" t="n">
        <v>3.5</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53459-2021</t>
        </is>
      </c>
      <c r="B1643" t="inlineStr">
        <is>
          <t>avverkningsanmälan</t>
        </is>
      </c>
      <c r="C1643" t="inlineStr">
        <is>
          <t>Föryngringsavverkning</t>
        </is>
      </c>
      <c r="D1643" s="1" t="n">
        <v>44468</v>
      </c>
      <c r="E1643" s="1" t="n">
        <v>46216</v>
      </c>
      <c r="F1643" t="inlineStr">
        <is>
          <t>BLEKINGE LÄN</t>
        </is>
      </c>
      <c r="G1643" t="inlineStr">
        <is>
          <t>OLOFSTRÖM</t>
        </is>
      </c>
      <c r="I1643" t="n">
        <v>1.9</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52884-2025</t>
        </is>
      </c>
      <c r="B1644" t="inlineStr">
        <is>
          <t>avverkningsanmälan</t>
        </is>
      </c>
      <c r="C1644" t="inlineStr">
        <is>
          <t>Föryngringsavverkning</t>
        </is>
      </c>
      <c r="D1644" s="1" t="n">
        <v>45954</v>
      </c>
      <c r="E1644" s="1" t="n">
        <v>46216</v>
      </c>
      <c r="F1644" t="inlineStr">
        <is>
          <t>BLEKINGE LÄN</t>
        </is>
      </c>
      <c r="G1644" t="inlineStr">
        <is>
          <t>RONNEBY</t>
        </is>
      </c>
      <c r="I1644" t="n">
        <v>2.2</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49309-2022</t>
        </is>
      </c>
      <c r="B1645" t="inlineStr">
        <is>
          <t>avverkningsanmälan</t>
        </is>
      </c>
      <c r="C1645" t="inlineStr">
        <is>
          <t>Föryngringsavverkning</t>
        </is>
      </c>
      <c r="D1645" s="1" t="n">
        <v>44858</v>
      </c>
      <c r="E1645" s="1" t="n">
        <v>46216</v>
      </c>
      <c r="F1645" t="inlineStr">
        <is>
          <t>BLEKINGE LÄN</t>
        </is>
      </c>
      <c r="G1645" t="inlineStr">
        <is>
          <t>OLOFSTRÖM</t>
        </is>
      </c>
      <c r="I1645" t="n">
        <v>20.5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57818-2025</t>
        </is>
      </c>
      <c r="B1646" t="inlineStr">
        <is>
          <t>avverkningsanmälan</t>
        </is>
      </c>
      <c r="C1646" t="inlineStr">
        <is>
          <t>Föryngringsavverkning</t>
        </is>
      </c>
      <c r="D1646" s="1" t="n">
        <v>45981</v>
      </c>
      <c r="E1646" s="1" t="n">
        <v>46216</v>
      </c>
      <c r="F1646" t="inlineStr">
        <is>
          <t>BLEKINGE LÄN</t>
        </is>
      </c>
      <c r="G1646" t="inlineStr">
        <is>
          <t>KARLSKRONA</t>
        </is>
      </c>
      <c r="I1646" t="n">
        <v>2</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22507-2022</t>
        </is>
      </c>
      <c r="B1647" t="inlineStr">
        <is>
          <t>avverkningsanmälan</t>
        </is>
      </c>
      <c r="C1647" t="inlineStr">
        <is>
          <t>Föryngringsavverkning</t>
        </is>
      </c>
      <c r="D1647" s="1" t="n">
        <v>44713</v>
      </c>
      <c r="E1647" s="1" t="n">
        <v>46216</v>
      </c>
      <c r="F1647" t="inlineStr">
        <is>
          <t>BLEKINGE LÄN</t>
        </is>
      </c>
      <c r="G1647" t="inlineStr">
        <is>
          <t>RONNEBY</t>
        </is>
      </c>
      <c r="I1647" t="n">
        <v>4.9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38482-2025</t>
        </is>
      </c>
      <c r="B1648" t="inlineStr">
        <is>
          <t>avverkningsanmälan</t>
        </is>
      </c>
      <c r="C1648" t="inlineStr">
        <is>
          <t>Föryngringsavverkning</t>
        </is>
      </c>
      <c r="D1648" s="1" t="n">
        <v>45884</v>
      </c>
      <c r="E1648" s="1" t="n">
        <v>46216</v>
      </c>
      <c r="F1648" t="inlineStr">
        <is>
          <t>BLEKINGE LÄN</t>
        </is>
      </c>
      <c r="G1648" t="inlineStr">
        <is>
          <t>KARLSKRONA</t>
        </is>
      </c>
      <c r="I1648" t="n">
        <v>1.4</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57525-2025</t>
        </is>
      </c>
      <c r="B1649" t="inlineStr">
        <is>
          <t>avverkningsanmälan</t>
        </is>
      </c>
      <c r="C1649" t="inlineStr">
        <is>
          <t>Föryngringsavverkning</t>
        </is>
      </c>
      <c r="D1649" s="1" t="n">
        <v>45980</v>
      </c>
      <c r="E1649" s="1" t="n">
        <v>46216</v>
      </c>
      <c r="F1649" t="inlineStr">
        <is>
          <t>BLEKINGE LÄN</t>
        </is>
      </c>
      <c r="G1649" t="inlineStr">
        <is>
          <t>KARLSKRONA</t>
        </is>
      </c>
      <c r="I1649" t="n">
        <v>1.7</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30275-2025</t>
        </is>
      </c>
      <c r="B1650" t="inlineStr">
        <is>
          <t>avverkningsanmälan</t>
        </is>
      </c>
      <c r="C1650" t="inlineStr">
        <is>
          <t>Föryngringsavverkning</t>
        </is>
      </c>
      <c r="D1650" s="1" t="n">
        <v>45827</v>
      </c>
      <c r="E1650" s="1" t="n">
        <v>46216</v>
      </c>
      <c r="F1650" t="inlineStr">
        <is>
          <t>BLEKINGE LÄN</t>
        </is>
      </c>
      <c r="G1650" t="inlineStr">
        <is>
          <t>KARLSKRONA</t>
        </is>
      </c>
      <c r="I1650" t="n">
        <v>2</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39426-2025</t>
        </is>
      </c>
      <c r="B1651" t="inlineStr">
        <is>
          <t>avverkningsanmälan</t>
        </is>
      </c>
      <c r="C1651" t="inlineStr">
        <is>
          <t>Föryngringsavverkning</t>
        </is>
      </c>
      <c r="D1651" s="1" t="n">
        <v>45889</v>
      </c>
      <c r="E1651" s="1" t="n">
        <v>46216</v>
      </c>
      <c r="F1651" t="inlineStr">
        <is>
          <t>BLEKINGE LÄN</t>
        </is>
      </c>
      <c r="G1651" t="inlineStr">
        <is>
          <t>RONNEBY</t>
        </is>
      </c>
      <c r="H1651" t="inlineStr">
        <is>
          <t>Övriga Aktiebolag</t>
        </is>
      </c>
      <c r="I1651" t="n">
        <v>4.1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9906-2025</t>
        </is>
      </c>
      <c r="B1652" t="inlineStr">
        <is>
          <t>avverkningsanmälan</t>
        </is>
      </c>
      <c r="C1652" t="inlineStr">
        <is>
          <t>Föryngringsavverkning</t>
        </is>
      </c>
      <c r="D1652" s="1" t="n">
        <v>45717</v>
      </c>
      <c r="E1652" s="1" t="n">
        <v>46216</v>
      </c>
      <c r="F1652" t="inlineStr">
        <is>
          <t>BLEKINGE LÄN</t>
        </is>
      </c>
      <c r="G1652" t="inlineStr">
        <is>
          <t>KARLSHAMN</t>
        </is>
      </c>
      <c r="I1652" t="n">
        <v>3.3</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26115-2026</t>
        </is>
      </c>
      <c r="B1653" t="inlineStr">
        <is>
          <t>avverkningsanmälan</t>
        </is>
      </c>
      <c r="C1653" t="inlineStr">
        <is>
          <t>Föryngringsavverkning</t>
        </is>
      </c>
      <c r="D1653" s="1" t="n">
        <v>46181</v>
      </c>
      <c r="E1653" s="1" t="n">
        <v>46216</v>
      </c>
      <c r="F1653" t="inlineStr">
        <is>
          <t>BLEKINGE LÄN</t>
        </is>
      </c>
      <c r="G1653" t="inlineStr">
        <is>
          <t>KARLSHAMN</t>
        </is>
      </c>
      <c r="I1653" t="n">
        <v>2.3</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34673-2025</t>
        </is>
      </c>
      <c r="B1654" t="inlineStr">
        <is>
          <t>avverkningsanmälan</t>
        </is>
      </c>
      <c r="C1654" t="inlineStr">
        <is>
          <t>Föryngringsavverkning</t>
        </is>
      </c>
      <c r="D1654" s="1" t="n">
        <v>45848</v>
      </c>
      <c r="E1654" s="1" t="n">
        <v>46216</v>
      </c>
      <c r="F1654" t="inlineStr">
        <is>
          <t>BLEKINGE LÄN</t>
        </is>
      </c>
      <c r="G1654" t="inlineStr">
        <is>
          <t>KARLSHAMN</t>
        </is>
      </c>
      <c r="I1654" t="n">
        <v>2.6</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21832-2025</t>
        </is>
      </c>
      <c r="B1655" t="inlineStr">
        <is>
          <t>avverkningsanmälan</t>
        </is>
      </c>
      <c r="C1655" t="inlineStr">
        <is>
          <t>Föryngringsavverkning</t>
        </is>
      </c>
      <c r="D1655" s="1" t="n">
        <v>45784</v>
      </c>
      <c r="E1655" s="1" t="n">
        <v>46216</v>
      </c>
      <c r="F1655" t="inlineStr">
        <is>
          <t>BLEKINGE LÄN</t>
        </is>
      </c>
      <c r="G1655" t="inlineStr">
        <is>
          <t>KARLSKRONA</t>
        </is>
      </c>
      <c r="I1655" t="n">
        <v>2.1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21953-2025</t>
        </is>
      </c>
      <c r="B1656" t="inlineStr">
        <is>
          <t>avverkningsanmälan</t>
        </is>
      </c>
      <c r="C1656" t="inlineStr">
        <is>
          <t>Föryngringsavverkning</t>
        </is>
      </c>
      <c r="D1656" s="1" t="n">
        <v>45784</v>
      </c>
      <c r="E1656" s="1" t="n">
        <v>46216</v>
      </c>
      <c r="F1656" t="inlineStr">
        <is>
          <t>BLEKINGE LÄN</t>
        </is>
      </c>
      <c r="G1656" t="inlineStr">
        <is>
          <t>KARLSKRONA</t>
        </is>
      </c>
      <c r="I1656" t="n">
        <v>2.2</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18678-2024</t>
        </is>
      </c>
      <c r="B1657" t="inlineStr">
        <is>
          <t>avverkningsanmälan</t>
        </is>
      </c>
      <c r="C1657" t="inlineStr">
        <is>
          <t>Föryngringsavverkning</t>
        </is>
      </c>
      <c r="D1657" s="1" t="n">
        <v>45426</v>
      </c>
      <c r="E1657" s="1" t="n">
        <v>46216</v>
      </c>
      <c r="F1657" t="inlineStr">
        <is>
          <t>BLEKINGE LÄN</t>
        </is>
      </c>
      <c r="G1657" t="inlineStr">
        <is>
          <t>RONNEBY</t>
        </is>
      </c>
      <c r="I1657" t="n">
        <v>0.9</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47781-2024</t>
        </is>
      </c>
      <c r="B1658" t="inlineStr">
        <is>
          <t>avverkningsanmälan</t>
        </is>
      </c>
      <c r="C1658" t="inlineStr">
        <is>
          <t>Föryngringsavverkning</t>
        </is>
      </c>
      <c r="D1658" s="1" t="n">
        <v>45588</v>
      </c>
      <c r="E1658" s="1" t="n">
        <v>46216</v>
      </c>
      <c r="F1658" t="inlineStr">
        <is>
          <t>BLEKINGE LÄN</t>
        </is>
      </c>
      <c r="G1658" t="inlineStr">
        <is>
          <t>RONNEBY</t>
        </is>
      </c>
      <c r="H1658" t="inlineStr">
        <is>
          <t>Kommuner</t>
        </is>
      </c>
      <c r="I1658" t="n">
        <v>3.1</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45409-2023</t>
        </is>
      </c>
      <c r="B1659" t="inlineStr">
        <is>
          <t>avverkningsanmälan</t>
        </is>
      </c>
      <c r="C1659" t="inlineStr">
        <is>
          <t>Föryngringsavverkning</t>
        </is>
      </c>
      <c r="D1659" s="1" t="n">
        <v>45194</v>
      </c>
      <c r="E1659" s="1" t="n">
        <v>46216</v>
      </c>
      <c r="F1659" t="inlineStr">
        <is>
          <t>BLEKINGE LÄN</t>
        </is>
      </c>
      <c r="G1659" t="inlineStr">
        <is>
          <t>RONNEBY</t>
        </is>
      </c>
      <c r="I1659" t="n">
        <v>2.7</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26099-2026</t>
        </is>
      </c>
      <c r="B1660" t="inlineStr">
        <is>
          <t>avverkningsanmälan</t>
        </is>
      </c>
      <c r="C1660" t="inlineStr">
        <is>
          <t>Föryngringsavverkning</t>
        </is>
      </c>
      <c r="D1660" s="1" t="n">
        <v>46181</v>
      </c>
      <c r="E1660" s="1" t="n">
        <v>46216</v>
      </c>
      <c r="F1660" t="inlineStr">
        <is>
          <t>BLEKINGE LÄN</t>
        </is>
      </c>
      <c r="G1660" t="inlineStr">
        <is>
          <t>KARLSKRONA</t>
        </is>
      </c>
      <c r="I1660" t="n">
        <v>2.6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41863-2025</t>
        </is>
      </c>
      <c r="B1661" t="inlineStr">
        <is>
          <t>avverkningsanmälan</t>
        </is>
      </c>
      <c r="C1661" t="inlineStr">
        <is>
          <t>Föryngringsavverkning</t>
        </is>
      </c>
      <c r="D1661" s="1" t="n">
        <v>45903</v>
      </c>
      <c r="E1661" s="1" t="n">
        <v>46216</v>
      </c>
      <c r="F1661" t="inlineStr">
        <is>
          <t>BLEKINGE LÄN</t>
        </is>
      </c>
      <c r="G1661" t="inlineStr">
        <is>
          <t>RONNEBY</t>
        </is>
      </c>
      <c r="I1661" t="n">
        <v>1.9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30956-2023</t>
        </is>
      </c>
      <c r="B1662" t="inlineStr">
        <is>
          <t>avverkningsanmälan</t>
        </is>
      </c>
      <c r="C1662" t="inlineStr">
        <is>
          <t>Föryngringsavverkning</t>
        </is>
      </c>
      <c r="D1662" s="1" t="n">
        <v>45113</v>
      </c>
      <c r="E1662" s="1" t="n">
        <v>46216</v>
      </c>
      <c r="F1662" t="inlineStr">
        <is>
          <t>BLEKINGE LÄN</t>
        </is>
      </c>
      <c r="G1662" t="inlineStr">
        <is>
          <t>KARLSKRONA</t>
        </is>
      </c>
      <c r="I1662" t="n">
        <v>3.4</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22798-2025</t>
        </is>
      </c>
      <c r="B1663" t="inlineStr">
        <is>
          <t>avverkningsanmälan</t>
        </is>
      </c>
      <c r="C1663" t="inlineStr">
        <is>
          <t>Föryngringsavverkning</t>
        </is>
      </c>
      <c r="D1663" s="1" t="n">
        <v>45789</v>
      </c>
      <c r="E1663" s="1" t="n">
        <v>46216</v>
      </c>
      <c r="F1663" t="inlineStr">
        <is>
          <t>BLEKINGE LÄN</t>
        </is>
      </c>
      <c r="G1663" t="inlineStr">
        <is>
          <t>KARLSKRONA</t>
        </is>
      </c>
      <c r="I1663" t="n">
        <v>1.5</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25648-2026</t>
        </is>
      </c>
      <c r="B1664" t="inlineStr">
        <is>
          <t>avverkningsanmälan</t>
        </is>
      </c>
      <c r="C1664" t="inlineStr">
        <is>
          <t>Föryngringsavverkning</t>
        </is>
      </c>
      <c r="D1664" s="1" t="n">
        <v>46177</v>
      </c>
      <c r="E1664" s="1" t="n">
        <v>46216</v>
      </c>
      <c r="F1664" t="inlineStr">
        <is>
          <t>BLEKINGE LÄN</t>
        </is>
      </c>
      <c r="G1664" t="inlineStr">
        <is>
          <t>KARLSKRONA</t>
        </is>
      </c>
      <c r="I1664" t="n">
        <v>9.5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54692-2022</t>
        </is>
      </c>
      <c r="B1665" t="inlineStr">
        <is>
          <t>avverkningsanmälan</t>
        </is>
      </c>
      <c r="C1665" t="inlineStr">
        <is>
          <t>Föryngringsavverkning</t>
        </is>
      </c>
      <c r="D1665" s="1" t="n">
        <v>44881</v>
      </c>
      <c r="E1665" s="1" t="n">
        <v>46216</v>
      </c>
      <c r="F1665" t="inlineStr">
        <is>
          <t>BLEKINGE LÄN</t>
        </is>
      </c>
      <c r="G1665" t="inlineStr">
        <is>
          <t>KARLSKRONA</t>
        </is>
      </c>
      <c r="I1665" t="n">
        <v>1.6</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39032-2022</t>
        </is>
      </c>
      <c r="B1666" t="inlineStr">
        <is>
          <t>avverkningsanmälan</t>
        </is>
      </c>
      <c r="C1666" t="inlineStr">
        <is>
          <t>Föryngringsavverkning</t>
        </is>
      </c>
      <c r="D1666" s="1" t="n">
        <v>44817</v>
      </c>
      <c r="E1666" s="1" t="n">
        <v>46216</v>
      </c>
      <c r="F1666" t="inlineStr">
        <is>
          <t>BLEKINGE LÄN</t>
        </is>
      </c>
      <c r="G1666" t="inlineStr">
        <is>
          <t>RONNEBY</t>
        </is>
      </c>
      <c r="I1666" t="n">
        <v>0.7</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39247-2025</t>
        </is>
      </c>
      <c r="B1667" t="inlineStr">
        <is>
          <t>avverkningsanmälan</t>
        </is>
      </c>
      <c r="C1667" t="inlineStr">
        <is>
          <t>Föryngringsavverkning</t>
        </is>
      </c>
      <c r="D1667" s="1" t="n">
        <v>45889</v>
      </c>
      <c r="E1667" s="1" t="n">
        <v>46216</v>
      </c>
      <c r="F1667" t="inlineStr">
        <is>
          <t>BLEKINGE LÄN</t>
        </is>
      </c>
      <c r="G1667" t="inlineStr">
        <is>
          <t>RONNEBY</t>
        </is>
      </c>
      <c r="I1667" t="n">
        <v>1.1</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20602-2026</t>
        </is>
      </c>
      <c r="B1668" t="inlineStr">
        <is>
          <t>avverkningsanmälan</t>
        </is>
      </c>
      <c r="C1668" t="inlineStr">
        <is>
          <t>Föryngringsavverkning</t>
        </is>
      </c>
      <c r="D1668" s="1" t="n">
        <v>46140</v>
      </c>
      <c r="E1668" s="1" t="n">
        <v>46216</v>
      </c>
      <c r="F1668" t="inlineStr">
        <is>
          <t>BLEKINGE LÄN</t>
        </is>
      </c>
      <c r="G1668" t="inlineStr">
        <is>
          <t>RONNEBY</t>
        </is>
      </c>
      <c r="I1668" t="n">
        <v>1.4</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62111-2022</t>
        </is>
      </c>
      <c r="B1669" t="inlineStr">
        <is>
          <t>avverkningsanmälan</t>
        </is>
      </c>
      <c r="C1669" t="inlineStr">
        <is>
          <t>Föryngringsavverkning</t>
        </is>
      </c>
      <c r="D1669" s="1" t="n">
        <v>44920</v>
      </c>
      <c r="E1669" s="1" t="n">
        <v>46216</v>
      </c>
      <c r="F1669" t="inlineStr">
        <is>
          <t>BLEKINGE LÄN</t>
        </is>
      </c>
      <c r="G1669" t="inlineStr">
        <is>
          <t>KARLSKRONA</t>
        </is>
      </c>
      <c r="I1669" t="n">
        <v>25.5</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41034-2024</t>
        </is>
      </c>
      <c r="B1670" t="inlineStr">
        <is>
          <t>avverkningsanmälan</t>
        </is>
      </c>
      <c r="C1670" t="inlineStr">
        <is>
          <t>Föryngringsavverkning</t>
        </is>
      </c>
      <c r="D1670" s="1" t="n">
        <v>45559</v>
      </c>
      <c r="E1670" s="1" t="n">
        <v>46216</v>
      </c>
      <c r="F1670" t="inlineStr">
        <is>
          <t>BLEKINGE LÄN</t>
        </is>
      </c>
      <c r="G1670" t="inlineStr">
        <is>
          <t>RONNEBY</t>
        </is>
      </c>
      <c r="H1670" t="inlineStr">
        <is>
          <t>Övriga Aktiebolag</t>
        </is>
      </c>
      <c r="I1670" t="n">
        <v>3.8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6618-2023</t>
        </is>
      </c>
      <c r="B1671" t="inlineStr">
        <is>
          <t>avverkningsanmälan</t>
        </is>
      </c>
      <c r="C1671" t="inlineStr">
        <is>
          <t>Föryngringsavverkning</t>
        </is>
      </c>
      <c r="D1671" s="1" t="n">
        <v>44966</v>
      </c>
      <c r="E1671" s="1" t="n">
        <v>46216</v>
      </c>
      <c r="F1671" t="inlineStr">
        <is>
          <t>BLEKINGE LÄN</t>
        </is>
      </c>
      <c r="G1671" t="inlineStr">
        <is>
          <t>RONNEBY</t>
        </is>
      </c>
      <c r="I1671" t="n">
        <v>5</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4675-2024</t>
        </is>
      </c>
      <c r="B1672" t="inlineStr">
        <is>
          <t>avverkningsanmälan</t>
        </is>
      </c>
      <c r="C1672" t="inlineStr">
        <is>
          <t>Föryngringsavverkning</t>
        </is>
      </c>
      <c r="D1672" s="1" t="n">
        <v>45328</v>
      </c>
      <c r="E1672" s="1" t="n">
        <v>46216</v>
      </c>
      <c r="F1672" t="inlineStr">
        <is>
          <t>BLEKINGE LÄN</t>
        </is>
      </c>
      <c r="G1672" t="inlineStr">
        <is>
          <t>RONNEBY</t>
        </is>
      </c>
      <c r="I1672" t="n">
        <v>0.7</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4676-2024</t>
        </is>
      </c>
      <c r="B1673" t="inlineStr">
        <is>
          <t>avverkningsanmälan</t>
        </is>
      </c>
      <c r="C1673" t="inlineStr">
        <is>
          <t>Föryngringsavverkning</t>
        </is>
      </c>
      <c r="D1673" s="1" t="n">
        <v>45328</v>
      </c>
      <c r="E1673" s="1" t="n">
        <v>46216</v>
      </c>
      <c r="F1673" t="inlineStr">
        <is>
          <t>BLEKINGE LÄN</t>
        </is>
      </c>
      <c r="G1673" t="inlineStr">
        <is>
          <t>RONNEBY</t>
        </is>
      </c>
      <c r="I1673" t="n">
        <v>2.5</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9571-2024</t>
        </is>
      </c>
      <c r="B1674" t="inlineStr">
        <is>
          <t>avverkningsanmälan</t>
        </is>
      </c>
      <c r="C1674" t="inlineStr">
        <is>
          <t>Föryngringsavverkning</t>
        </is>
      </c>
      <c r="D1674" s="1" t="n">
        <v>45360</v>
      </c>
      <c r="E1674" s="1" t="n">
        <v>46216</v>
      </c>
      <c r="F1674" t="inlineStr">
        <is>
          <t>BLEKINGE LÄN</t>
        </is>
      </c>
      <c r="G1674" t="inlineStr">
        <is>
          <t>RONNEBY</t>
        </is>
      </c>
      <c r="I1674" t="n">
        <v>1</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9580-2024</t>
        </is>
      </c>
      <c r="B1675" t="inlineStr">
        <is>
          <t>avverkningsanmälan</t>
        </is>
      </c>
      <c r="C1675" t="inlineStr">
        <is>
          <t>Föryngringsavverkning</t>
        </is>
      </c>
      <c r="D1675" s="1" t="n">
        <v>45360</v>
      </c>
      <c r="E1675" s="1" t="n">
        <v>46216</v>
      </c>
      <c r="F1675" t="inlineStr">
        <is>
          <t>BLEKINGE LÄN</t>
        </is>
      </c>
      <c r="G1675" t="inlineStr">
        <is>
          <t>RONNEBY</t>
        </is>
      </c>
      <c r="I1675" t="n">
        <v>6</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65030-2023</t>
        </is>
      </c>
      <c r="B1676" t="inlineStr">
        <is>
          <t>avverkningsanmälan</t>
        </is>
      </c>
      <c r="C1676" t="inlineStr">
        <is>
          <t>Föryngringsavverkning</t>
        </is>
      </c>
      <c r="D1676" s="1" t="n">
        <v>45282</v>
      </c>
      <c r="E1676" s="1" t="n">
        <v>46216</v>
      </c>
      <c r="F1676" t="inlineStr">
        <is>
          <t>BLEKINGE LÄN</t>
        </is>
      </c>
      <c r="G1676" t="inlineStr">
        <is>
          <t>OLOFSTRÖM</t>
        </is>
      </c>
      <c r="I1676" t="n">
        <v>2.2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48535-2025</t>
        </is>
      </c>
      <c r="B1677" t="inlineStr">
        <is>
          <t>avverkningsanmälan</t>
        </is>
      </c>
      <c r="C1677" t="inlineStr">
        <is>
          <t>Föryngringsavverkning</t>
        </is>
      </c>
      <c r="D1677" s="1" t="n">
        <v>45936</v>
      </c>
      <c r="E1677" s="1" t="n">
        <v>46216</v>
      </c>
      <c r="F1677" t="inlineStr">
        <is>
          <t>BLEKINGE LÄN</t>
        </is>
      </c>
      <c r="G1677" t="inlineStr">
        <is>
          <t>OLOFSTRÖM</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6316-2023</t>
        </is>
      </c>
      <c r="B1678" t="inlineStr">
        <is>
          <t>avverkningsanmälan</t>
        </is>
      </c>
      <c r="C1678" t="inlineStr">
        <is>
          <t>Föryngringsavverkning</t>
        </is>
      </c>
      <c r="D1678" s="1" t="n">
        <v>44965</v>
      </c>
      <c r="E1678" s="1" t="n">
        <v>46216</v>
      </c>
      <c r="F1678" t="inlineStr">
        <is>
          <t>BLEKINGE LÄN</t>
        </is>
      </c>
      <c r="G1678" t="inlineStr">
        <is>
          <t>OLOFSTRÖM</t>
        </is>
      </c>
      <c r="I1678" t="n">
        <v>0.5</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6318-2023</t>
        </is>
      </c>
      <c r="B1679" t="inlineStr">
        <is>
          <t>avverkningsanmälan</t>
        </is>
      </c>
      <c r="C1679" t="inlineStr">
        <is>
          <t>Föryngringsavverkning</t>
        </is>
      </c>
      <c r="D1679" s="1" t="n">
        <v>44965</v>
      </c>
      <c r="E1679" s="1" t="n">
        <v>46216</v>
      </c>
      <c r="F1679" t="inlineStr">
        <is>
          <t>BLEKINGE LÄN</t>
        </is>
      </c>
      <c r="G1679" t="inlineStr">
        <is>
          <t>OLOFSTRÖM</t>
        </is>
      </c>
      <c r="I1679" t="n">
        <v>0.5</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26412-2026</t>
        </is>
      </c>
      <c r="B1680" t="inlineStr">
        <is>
          <t>avverkningsanmälan</t>
        </is>
      </c>
      <c r="C1680" t="inlineStr">
        <is>
          <t>Föryngringsavverkning</t>
        </is>
      </c>
      <c r="D1680" s="1" t="n">
        <v>46183</v>
      </c>
      <c r="E1680" s="1" t="n">
        <v>46216</v>
      </c>
      <c r="F1680" t="inlineStr">
        <is>
          <t>BLEKINGE LÄN</t>
        </is>
      </c>
      <c r="G1680" t="inlineStr">
        <is>
          <t>KARLSKRONA</t>
        </is>
      </c>
      <c r="I1680" t="n">
        <v>3.1</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25908-2023</t>
        </is>
      </c>
      <c r="B1681" t="inlineStr">
        <is>
          <t>avverkningsanmälan</t>
        </is>
      </c>
      <c r="C1681" t="inlineStr">
        <is>
          <t>Föryngringsavverkning</t>
        </is>
      </c>
      <c r="D1681" s="1" t="n">
        <v>45090</v>
      </c>
      <c r="E1681" s="1" t="n">
        <v>46216</v>
      </c>
      <c r="F1681" t="inlineStr">
        <is>
          <t>BLEKINGE LÄN</t>
        </is>
      </c>
      <c r="G1681" t="inlineStr">
        <is>
          <t>OLOFSTRÖM</t>
        </is>
      </c>
      <c r="I1681" t="n">
        <v>1.8</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31589-2023</t>
        </is>
      </c>
      <c r="B1682" t="inlineStr">
        <is>
          <t>avverkningsanmälan</t>
        </is>
      </c>
      <c r="C1682" t="inlineStr">
        <is>
          <t>Föryngringsavverkning</t>
        </is>
      </c>
      <c r="D1682" s="1" t="n">
        <v>45104</v>
      </c>
      <c r="E1682" s="1" t="n">
        <v>46216</v>
      </c>
      <c r="F1682" t="inlineStr">
        <is>
          <t>BLEKINGE LÄN</t>
        </is>
      </c>
      <c r="G1682" t="inlineStr">
        <is>
          <t>RONNEBY</t>
        </is>
      </c>
      <c r="I1682" t="n">
        <v>3.5</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20656-2023</t>
        </is>
      </c>
      <c r="B1683" t="inlineStr">
        <is>
          <t>avverkningsanmälan</t>
        </is>
      </c>
      <c r="C1683" t="inlineStr">
        <is>
          <t>Föryngringsavverkning</t>
        </is>
      </c>
      <c r="D1683" s="1" t="n">
        <v>45055</v>
      </c>
      <c r="E1683" s="1" t="n">
        <v>46216</v>
      </c>
      <c r="F1683" t="inlineStr">
        <is>
          <t>BLEKINGE LÄN</t>
        </is>
      </c>
      <c r="G1683" t="inlineStr">
        <is>
          <t>KARLSKRONA</t>
        </is>
      </c>
      <c r="I1683" t="n">
        <v>10.6</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21543-2025</t>
        </is>
      </c>
      <c r="B1684" t="inlineStr">
        <is>
          <t>avverkningsanmälan</t>
        </is>
      </c>
      <c r="C1684" t="inlineStr">
        <is>
          <t>Föryngringsavverkning</t>
        </is>
      </c>
      <c r="D1684" s="1" t="n">
        <v>45782</v>
      </c>
      <c r="E1684" s="1" t="n">
        <v>46216</v>
      </c>
      <c r="F1684" t="inlineStr">
        <is>
          <t>BLEKINGE LÄN</t>
        </is>
      </c>
      <c r="G1684" t="inlineStr">
        <is>
          <t>KARLSHAMN</t>
        </is>
      </c>
      <c r="I1684" t="n">
        <v>1.3</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41310-2025</t>
        </is>
      </c>
      <c r="B1685" t="inlineStr">
        <is>
          <t>avverkningsanmälan</t>
        </is>
      </c>
      <c r="C1685" t="inlineStr">
        <is>
          <t>Föryngringsavverkning</t>
        </is>
      </c>
      <c r="D1685" s="1" t="n">
        <v>45898</v>
      </c>
      <c r="E1685" s="1" t="n">
        <v>46216</v>
      </c>
      <c r="F1685" t="inlineStr">
        <is>
          <t>BLEKINGE LÄN</t>
        </is>
      </c>
      <c r="G1685" t="inlineStr">
        <is>
          <t>KARLSHAMN</t>
        </is>
      </c>
      <c r="H1685" t="inlineStr">
        <is>
          <t>Sveaskog</t>
        </is>
      </c>
      <c r="I1685" t="n">
        <v>8</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20586-2025</t>
        </is>
      </c>
      <c r="B1686" t="inlineStr">
        <is>
          <t>avverkningsanmälan</t>
        </is>
      </c>
      <c r="C1686" t="inlineStr">
        <is>
          <t>Föryngringsavverkning</t>
        </is>
      </c>
      <c r="D1686" s="1" t="n">
        <v>45775</v>
      </c>
      <c r="E1686" s="1" t="n">
        <v>46216</v>
      </c>
      <c r="F1686" t="inlineStr">
        <is>
          <t>BLEKINGE LÄN</t>
        </is>
      </c>
      <c r="G1686" t="inlineStr">
        <is>
          <t>RONNEBY</t>
        </is>
      </c>
      <c r="I1686" t="n">
        <v>4.2</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13482-2023</t>
        </is>
      </c>
      <c r="B1687" t="inlineStr">
        <is>
          <t>avverkningsanmälan</t>
        </is>
      </c>
      <c r="C1687" t="inlineStr">
        <is>
          <t>Föryngringsavverkning</t>
        </is>
      </c>
      <c r="D1687" s="1" t="n">
        <v>45005</v>
      </c>
      <c r="E1687" s="1" t="n">
        <v>46216</v>
      </c>
      <c r="F1687" t="inlineStr">
        <is>
          <t>BLEKINGE LÄN</t>
        </is>
      </c>
      <c r="G1687" t="inlineStr">
        <is>
          <t>OLOFSTRÖM</t>
        </is>
      </c>
      <c r="I1687" t="n">
        <v>0.5</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29158-2023</t>
        </is>
      </c>
      <c r="B1688" t="inlineStr">
        <is>
          <t>avverkningsanmälan</t>
        </is>
      </c>
      <c r="C1688" t="inlineStr">
        <is>
          <t>Föryngringsavverkning</t>
        </is>
      </c>
      <c r="D1688" s="1" t="n">
        <v>45105</v>
      </c>
      <c r="E1688" s="1" t="n">
        <v>46216</v>
      </c>
      <c r="F1688" t="inlineStr">
        <is>
          <t>BLEKINGE LÄN</t>
        </is>
      </c>
      <c r="G1688" t="inlineStr">
        <is>
          <t>RONNEBY</t>
        </is>
      </c>
      <c r="H1688" t="inlineStr">
        <is>
          <t>Kommuner</t>
        </is>
      </c>
      <c r="I1688" t="n">
        <v>2.7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31130-2024</t>
        </is>
      </c>
      <c r="B1689" t="inlineStr">
        <is>
          <t>avverkningsanmälan</t>
        </is>
      </c>
      <c r="C1689" t="inlineStr">
        <is>
          <t>Föryngringsavverkning</t>
        </is>
      </c>
      <c r="D1689" s="1" t="n">
        <v>45502</v>
      </c>
      <c r="E1689" s="1" t="n">
        <v>46216</v>
      </c>
      <c r="F1689" t="inlineStr">
        <is>
          <t>BLEKINGE LÄN</t>
        </is>
      </c>
      <c r="G1689" t="inlineStr">
        <is>
          <t>KARLSHAMN</t>
        </is>
      </c>
      <c r="I1689" t="n">
        <v>1</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23996-2023</t>
        </is>
      </c>
      <c r="B1690" t="inlineStr">
        <is>
          <t>avverkningsanmälan</t>
        </is>
      </c>
      <c r="C1690" t="inlineStr">
        <is>
          <t>Föryngringsavverkning</t>
        </is>
      </c>
      <c r="D1690" s="1" t="n">
        <v>45075</v>
      </c>
      <c r="E1690" s="1" t="n">
        <v>46216</v>
      </c>
      <c r="F1690" t="inlineStr">
        <is>
          <t>BLEKINGE LÄN</t>
        </is>
      </c>
      <c r="G1690" t="inlineStr">
        <is>
          <t>RONNEBY</t>
        </is>
      </c>
      <c r="I1690" t="n">
        <v>6.8</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20546-2026</t>
        </is>
      </c>
      <c r="B1691" t="inlineStr">
        <is>
          <t>avverkningsanmälan</t>
        </is>
      </c>
      <c r="C1691" t="inlineStr">
        <is>
          <t>Föryngringsavverkning</t>
        </is>
      </c>
      <c r="D1691" s="1" t="n">
        <v>46140</v>
      </c>
      <c r="E1691" s="1" t="n">
        <v>46216</v>
      </c>
      <c r="F1691" t="inlineStr">
        <is>
          <t>BLEKINGE LÄN</t>
        </is>
      </c>
      <c r="G1691" t="inlineStr">
        <is>
          <t>RONNEBY</t>
        </is>
      </c>
      <c r="I1691" t="n">
        <v>1.2</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26190-2026</t>
        </is>
      </c>
      <c r="B1692" t="inlineStr">
        <is>
          <t>avverkningsanmälan</t>
        </is>
      </c>
      <c r="C1692" t="inlineStr">
        <is>
          <t>Föryngringsavverkning</t>
        </is>
      </c>
      <c r="D1692" s="1" t="n">
        <v>46182</v>
      </c>
      <c r="E1692" s="1" t="n">
        <v>46216</v>
      </c>
      <c r="F1692" t="inlineStr">
        <is>
          <t>BLEKINGE LÄN</t>
        </is>
      </c>
      <c r="G1692" t="inlineStr">
        <is>
          <t>KARLSKRONA</t>
        </is>
      </c>
      <c r="I1692" t="n">
        <v>4.4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20551-2026</t>
        </is>
      </c>
      <c r="B1693" t="inlineStr">
        <is>
          <t>avverkningsanmälan</t>
        </is>
      </c>
      <c r="C1693" t="inlineStr">
        <is>
          <t>Föryngringsavverkning</t>
        </is>
      </c>
      <c r="D1693" s="1" t="n">
        <v>46140</v>
      </c>
      <c r="E1693" s="1" t="n">
        <v>46216</v>
      </c>
      <c r="F1693" t="inlineStr">
        <is>
          <t>BLEKINGE LÄN</t>
        </is>
      </c>
      <c r="G1693" t="inlineStr">
        <is>
          <t>RONNEBY</t>
        </is>
      </c>
      <c r="I1693" t="n">
        <v>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3001-2023</t>
        </is>
      </c>
      <c r="B1694" t="inlineStr">
        <is>
          <t>avverkningsanmälan</t>
        </is>
      </c>
      <c r="C1694" t="inlineStr">
        <is>
          <t>Föryngringsavverkning</t>
        </is>
      </c>
      <c r="D1694" s="1" t="n">
        <v>44945</v>
      </c>
      <c r="E1694" s="1" t="n">
        <v>46216</v>
      </c>
      <c r="F1694" t="inlineStr">
        <is>
          <t>BLEKINGE LÄN</t>
        </is>
      </c>
      <c r="G1694" t="inlineStr">
        <is>
          <t>RONNEBY</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72478-2021</t>
        </is>
      </c>
      <c r="B1695" t="inlineStr">
        <is>
          <t>avverkningsanmälan</t>
        </is>
      </c>
      <c r="C1695" t="inlineStr">
        <is>
          <t>Föryngringsavverkning</t>
        </is>
      </c>
      <c r="D1695" s="1" t="n">
        <v>44545</v>
      </c>
      <c r="E1695" s="1" t="n">
        <v>46216</v>
      </c>
      <c r="F1695" t="inlineStr">
        <is>
          <t>BLEKINGE LÄN</t>
        </is>
      </c>
      <c r="G1695" t="inlineStr">
        <is>
          <t>KARLSKRONA</t>
        </is>
      </c>
      <c r="I1695" t="n">
        <v>1.2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20549-2026</t>
        </is>
      </c>
      <c r="B1696" t="inlineStr">
        <is>
          <t>avverkningsanmälan</t>
        </is>
      </c>
      <c r="C1696" t="inlineStr">
        <is>
          <t>Föryngringsavverkning</t>
        </is>
      </c>
      <c r="D1696" s="1" t="n">
        <v>46140</v>
      </c>
      <c r="E1696" s="1" t="n">
        <v>46216</v>
      </c>
      <c r="F1696" t="inlineStr">
        <is>
          <t>BLEKINGE LÄN</t>
        </is>
      </c>
      <c r="G1696" t="inlineStr">
        <is>
          <t>RONNEBY</t>
        </is>
      </c>
      <c r="I1696" t="n">
        <v>0.8</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30823-2024</t>
        </is>
      </c>
      <c r="B1697" t="inlineStr">
        <is>
          <t>avverkningsanmälan</t>
        </is>
      </c>
      <c r="C1697" t="inlineStr">
        <is>
          <t>Avverkning för annat ändamål</t>
        </is>
      </c>
      <c r="D1697" s="1" t="n">
        <v>45497</v>
      </c>
      <c r="E1697" s="1" t="n">
        <v>46216</v>
      </c>
      <c r="F1697" t="inlineStr">
        <is>
          <t>BLEKINGE LÄN</t>
        </is>
      </c>
      <c r="G1697" t="inlineStr">
        <is>
          <t>OLOFSTRÖM</t>
        </is>
      </c>
      <c r="I1697" t="n">
        <v>2.4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7347-2022</t>
        </is>
      </c>
      <c r="B1698" t="inlineStr">
        <is>
          <t>avverkningsanmälan</t>
        </is>
      </c>
      <c r="C1698" t="inlineStr">
        <is>
          <t>Föryngringsavverkning</t>
        </is>
      </c>
      <c r="D1698" s="1" t="n">
        <v>44606</v>
      </c>
      <c r="E1698" s="1" t="n">
        <v>46216</v>
      </c>
      <c r="F1698" t="inlineStr">
        <is>
          <t>BLEKINGE LÄN</t>
        </is>
      </c>
      <c r="G1698" t="inlineStr">
        <is>
          <t>RONNEBY</t>
        </is>
      </c>
      <c r="I1698" t="n">
        <v>7.1</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6430-2024</t>
        </is>
      </c>
      <c r="B1699" t="inlineStr">
        <is>
          <t>avverkningsanmälan</t>
        </is>
      </c>
      <c r="C1699" t="inlineStr">
        <is>
          <t>Föryngringsavverkning</t>
        </is>
      </c>
      <c r="D1699" s="1" t="n">
        <v>45338</v>
      </c>
      <c r="E1699" s="1" t="n">
        <v>46216</v>
      </c>
      <c r="F1699" t="inlineStr">
        <is>
          <t>BLEKINGE LÄN</t>
        </is>
      </c>
      <c r="G1699" t="inlineStr">
        <is>
          <t>OLOFSTRÖM</t>
        </is>
      </c>
      <c r="I1699" t="n">
        <v>0.6</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6439-2024</t>
        </is>
      </c>
      <c r="B1700" t="inlineStr">
        <is>
          <t>avverkningsanmälan</t>
        </is>
      </c>
      <c r="C1700" t="inlineStr">
        <is>
          <t>Föryngringsavverkning</t>
        </is>
      </c>
      <c r="D1700" s="1" t="n">
        <v>45338</v>
      </c>
      <c r="E1700" s="1" t="n">
        <v>46216</v>
      </c>
      <c r="F1700" t="inlineStr">
        <is>
          <t>BLEKINGE LÄN</t>
        </is>
      </c>
      <c r="G1700" t="inlineStr">
        <is>
          <t>OLOFSTRÖM</t>
        </is>
      </c>
      <c r="I1700" t="n">
        <v>1.4</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6443-2024</t>
        </is>
      </c>
      <c r="B1701" t="inlineStr">
        <is>
          <t>avverkningsanmälan</t>
        </is>
      </c>
      <c r="C1701" t="inlineStr">
        <is>
          <t>Föryngringsavverkning</t>
        </is>
      </c>
      <c r="D1701" s="1" t="n">
        <v>45338</v>
      </c>
      <c r="E1701" s="1" t="n">
        <v>46216</v>
      </c>
      <c r="F1701" t="inlineStr">
        <is>
          <t>BLEKINGE LÄN</t>
        </is>
      </c>
      <c r="G1701" t="inlineStr">
        <is>
          <t>OLOFSTRÖM</t>
        </is>
      </c>
      <c r="I1701" t="n">
        <v>5</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20544-2026</t>
        </is>
      </c>
      <c r="B1702" t="inlineStr">
        <is>
          <t>avverkningsanmälan</t>
        </is>
      </c>
      <c r="C1702" t="inlineStr">
        <is>
          <t>Föryngringsavverkning</t>
        </is>
      </c>
      <c r="D1702" s="1" t="n">
        <v>46140</v>
      </c>
      <c r="E1702" s="1" t="n">
        <v>46216</v>
      </c>
      <c r="F1702" t="inlineStr">
        <is>
          <t>BLEKINGE LÄN</t>
        </is>
      </c>
      <c r="G1702" t="inlineStr">
        <is>
          <t>RONNEBY</t>
        </is>
      </c>
      <c r="I1702" t="n">
        <v>1.7</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34305-2023</t>
        </is>
      </c>
      <c r="B1703" t="inlineStr">
        <is>
          <t>avverkningsanmälan</t>
        </is>
      </c>
      <c r="C1703" t="inlineStr">
        <is>
          <t>Föryngringsavverkning</t>
        </is>
      </c>
      <c r="D1703" s="1" t="n">
        <v>45138</v>
      </c>
      <c r="E1703" s="1" t="n">
        <v>46216</v>
      </c>
      <c r="F1703" t="inlineStr">
        <is>
          <t>BLEKINGE LÄN</t>
        </is>
      </c>
      <c r="G1703" t="inlineStr">
        <is>
          <t>KARLSHAMN</t>
        </is>
      </c>
      <c r="I1703" t="n">
        <v>0.9</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11253-2023</t>
        </is>
      </c>
      <c r="B1704" t="inlineStr">
        <is>
          <t>avverkningsanmälan</t>
        </is>
      </c>
      <c r="C1704" t="inlineStr">
        <is>
          <t>Föryngringsavverkning</t>
        </is>
      </c>
      <c r="D1704" s="1" t="n">
        <v>44988</v>
      </c>
      <c r="E1704" s="1" t="n">
        <v>46216</v>
      </c>
      <c r="F1704" t="inlineStr">
        <is>
          <t>BLEKINGE LÄN</t>
        </is>
      </c>
      <c r="G1704" t="inlineStr">
        <is>
          <t>KARLSKRONA</t>
        </is>
      </c>
      <c r="I1704" t="n">
        <v>4.9</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23782-2025</t>
        </is>
      </c>
      <c r="B1705" t="inlineStr">
        <is>
          <t>avverkningsanmälan</t>
        </is>
      </c>
      <c r="C1705" t="inlineStr">
        <is>
          <t>Föryngringsavverkning</t>
        </is>
      </c>
      <c r="D1705" s="1" t="n">
        <v>45793</v>
      </c>
      <c r="E1705" s="1" t="n">
        <v>46216</v>
      </c>
      <c r="F1705" t="inlineStr">
        <is>
          <t>BLEKINGE LÄN</t>
        </is>
      </c>
      <c r="G1705" t="inlineStr">
        <is>
          <t>OLOFSTRÖM</t>
        </is>
      </c>
      <c r="I1705" t="n">
        <v>3.2</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5458-2023</t>
        </is>
      </c>
      <c r="B1706" t="inlineStr">
        <is>
          <t>avverkningsanmälan</t>
        </is>
      </c>
      <c r="C1706" t="inlineStr">
        <is>
          <t>Föryngringsavverkning</t>
        </is>
      </c>
      <c r="D1706" s="1" t="n">
        <v>44960</v>
      </c>
      <c r="E1706" s="1" t="n">
        <v>46216</v>
      </c>
      <c r="F1706" t="inlineStr">
        <is>
          <t>BLEKINGE LÄN</t>
        </is>
      </c>
      <c r="G1706" t="inlineStr">
        <is>
          <t>KARLSKRONA</t>
        </is>
      </c>
      <c r="I1706" t="n">
        <v>1.3</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45990-2021</t>
        </is>
      </c>
      <c r="B1707" t="inlineStr">
        <is>
          <t>avverkningsanmälan</t>
        </is>
      </c>
      <c r="C1707" t="inlineStr">
        <is>
          <t>Föryngringsavverkning</t>
        </is>
      </c>
      <c r="D1707" s="1" t="n">
        <v>44441</v>
      </c>
      <c r="E1707" s="1" t="n">
        <v>46216</v>
      </c>
      <c r="F1707" t="inlineStr">
        <is>
          <t>BLEKINGE LÄN</t>
        </is>
      </c>
      <c r="G1707" t="inlineStr">
        <is>
          <t>KARLSKRONA</t>
        </is>
      </c>
      <c r="I1707" t="n">
        <v>6.1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64056-2023</t>
        </is>
      </c>
      <c r="B1708" t="inlineStr">
        <is>
          <t>avverkningsanmälan</t>
        </is>
      </c>
      <c r="C1708" t="inlineStr">
        <is>
          <t>Föryngringsavverkning</t>
        </is>
      </c>
      <c r="D1708" s="1" t="n">
        <v>45279</v>
      </c>
      <c r="E1708" s="1" t="n">
        <v>46216</v>
      </c>
      <c r="F1708" t="inlineStr">
        <is>
          <t>BLEKINGE LÄN</t>
        </is>
      </c>
      <c r="G1708" t="inlineStr">
        <is>
          <t>KARLSKRONA</t>
        </is>
      </c>
      <c r="I1708" t="n">
        <v>1.3</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28249-2025</t>
        </is>
      </c>
      <c r="B1709" t="inlineStr">
        <is>
          <t>avverkningsanmälan</t>
        </is>
      </c>
      <c r="C1709" t="inlineStr">
        <is>
          <t>Föryngringsavverkning</t>
        </is>
      </c>
      <c r="D1709" s="1" t="n">
        <v>45818</v>
      </c>
      <c r="E1709" s="1" t="n">
        <v>46216</v>
      </c>
      <c r="F1709" t="inlineStr">
        <is>
          <t>BLEKINGE LÄN</t>
        </is>
      </c>
      <c r="G1709" t="inlineStr">
        <is>
          <t>OLOFSTRÖM</t>
        </is>
      </c>
      <c r="I1709" t="n">
        <v>1.2</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13377-2024</t>
        </is>
      </c>
      <c r="B1710" t="inlineStr">
        <is>
          <t>avverkningsanmälan</t>
        </is>
      </c>
      <c r="C1710" t="inlineStr">
        <is>
          <t>Föryngringsavverkning</t>
        </is>
      </c>
      <c r="D1710" s="1" t="n">
        <v>45387</v>
      </c>
      <c r="E1710" s="1" t="n">
        <v>46216</v>
      </c>
      <c r="F1710" t="inlineStr">
        <is>
          <t>BLEKINGE LÄN</t>
        </is>
      </c>
      <c r="G1710" t="inlineStr">
        <is>
          <t>KARLSKRONA</t>
        </is>
      </c>
      <c r="I1710" t="n">
        <v>3</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24328-2023</t>
        </is>
      </c>
      <c r="B1711" t="inlineStr">
        <is>
          <t>avverkningsanmälan</t>
        </is>
      </c>
      <c r="C1711" t="inlineStr">
        <is>
          <t>Föryngringsavverkning</t>
        </is>
      </c>
      <c r="D1711" s="1" t="n">
        <v>45080</v>
      </c>
      <c r="E1711" s="1" t="n">
        <v>46216</v>
      </c>
      <c r="F1711" t="inlineStr">
        <is>
          <t>BLEKINGE LÄN</t>
        </is>
      </c>
      <c r="G1711" t="inlineStr">
        <is>
          <t>KARLSKRONA</t>
        </is>
      </c>
      <c r="I1711" t="n">
        <v>0.5</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42169-2023</t>
        </is>
      </c>
      <c r="B1712" t="inlineStr">
        <is>
          <t>avverkningsanmälan</t>
        </is>
      </c>
      <c r="C1712" t="inlineStr">
        <is>
          <t>Föryngringsavverkning</t>
        </is>
      </c>
      <c r="D1712" s="1" t="n">
        <v>45178</v>
      </c>
      <c r="E1712" s="1" t="n">
        <v>46216</v>
      </c>
      <c r="F1712" t="inlineStr">
        <is>
          <t>BLEKINGE LÄN</t>
        </is>
      </c>
      <c r="G1712" t="inlineStr">
        <is>
          <t>RONNEBY</t>
        </is>
      </c>
      <c r="I1712" t="n">
        <v>1.3</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28538-2022</t>
        </is>
      </c>
      <c r="B1713" t="inlineStr">
        <is>
          <t>avverkningsanmälan</t>
        </is>
      </c>
      <c r="C1713" t="inlineStr">
        <is>
          <t>Föryngringsavverkning</t>
        </is>
      </c>
      <c r="D1713" s="1" t="n">
        <v>44748</v>
      </c>
      <c r="E1713" s="1" t="n">
        <v>46216</v>
      </c>
      <c r="F1713" t="inlineStr">
        <is>
          <t>BLEKINGE LÄN</t>
        </is>
      </c>
      <c r="G1713" t="inlineStr">
        <is>
          <t>OLOFSTRÖM</t>
        </is>
      </c>
      <c r="I1713" t="n">
        <v>4.5</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21989-2023</t>
        </is>
      </c>
      <c r="B1714" t="inlineStr">
        <is>
          <t>avverkningsanmälan</t>
        </is>
      </c>
      <c r="C1714" t="inlineStr">
        <is>
          <t>Föryngringsavverkning</t>
        </is>
      </c>
      <c r="D1714" s="1" t="n">
        <v>45068</v>
      </c>
      <c r="E1714" s="1" t="n">
        <v>46216</v>
      </c>
      <c r="F1714" t="inlineStr">
        <is>
          <t>BLEKINGE LÄN</t>
        </is>
      </c>
      <c r="G1714" t="inlineStr">
        <is>
          <t>RONNEBY</t>
        </is>
      </c>
      <c r="I1714" t="n">
        <v>1.5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36413-2024</t>
        </is>
      </c>
      <c r="B1715" t="inlineStr">
        <is>
          <t>avverkningsanmälan</t>
        </is>
      </c>
      <c r="C1715" t="inlineStr">
        <is>
          <t>Föryngringsavverkning</t>
        </is>
      </c>
      <c r="D1715" s="1" t="n">
        <v>45536</v>
      </c>
      <c r="E1715" s="1" t="n">
        <v>46216</v>
      </c>
      <c r="F1715" t="inlineStr">
        <is>
          <t>BLEKINGE LÄN</t>
        </is>
      </c>
      <c r="G1715" t="inlineStr">
        <is>
          <t>RONNEBY</t>
        </is>
      </c>
      <c r="I1715" t="n">
        <v>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55374-2023</t>
        </is>
      </c>
      <c r="B1716" t="inlineStr">
        <is>
          <t>avverkningsanmälan</t>
        </is>
      </c>
      <c r="C1716" t="inlineStr">
        <is>
          <t>Föryngringsavverkning</t>
        </is>
      </c>
      <c r="D1716" s="1" t="n">
        <v>45238</v>
      </c>
      <c r="E1716" s="1" t="n">
        <v>46216</v>
      </c>
      <c r="F1716" t="inlineStr">
        <is>
          <t>BLEKINGE LÄN</t>
        </is>
      </c>
      <c r="G1716" t="inlineStr">
        <is>
          <t>KARLSKRONA</t>
        </is>
      </c>
      <c r="I1716" t="n">
        <v>0.9</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24279-2023</t>
        </is>
      </c>
      <c r="B1717" t="inlineStr">
        <is>
          <t>avverkningsanmälan</t>
        </is>
      </c>
      <c r="C1717" t="inlineStr">
        <is>
          <t>Föryngringsavverkning</t>
        </is>
      </c>
      <c r="D1717" s="1" t="n">
        <v>45079</v>
      </c>
      <c r="E1717" s="1" t="n">
        <v>46216</v>
      </c>
      <c r="F1717" t="inlineStr">
        <is>
          <t>BLEKINGE LÄN</t>
        </is>
      </c>
      <c r="G1717" t="inlineStr">
        <is>
          <t>KARLSHAMN</t>
        </is>
      </c>
      <c r="I1717" t="n">
        <v>2.8</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57841-2023</t>
        </is>
      </c>
      <c r="B1718" t="inlineStr">
        <is>
          <t>avverkningsanmälan</t>
        </is>
      </c>
      <c r="C1718" t="inlineStr">
        <is>
          <t>Föryngringsavverkning</t>
        </is>
      </c>
      <c r="D1718" s="1" t="n">
        <v>45247</v>
      </c>
      <c r="E1718" s="1" t="n">
        <v>46216</v>
      </c>
      <c r="F1718" t="inlineStr">
        <is>
          <t>BLEKINGE LÄN</t>
        </is>
      </c>
      <c r="G1718" t="inlineStr">
        <is>
          <t>KARLSKRONA</t>
        </is>
      </c>
      <c r="I1718" t="n">
        <v>0.7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8046-2025</t>
        </is>
      </c>
      <c r="B1719" t="inlineStr">
        <is>
          <t>avverkningsanmälan</t>
        </is>
      </c>
      <c r="C1719" t="inlineStr">
        <is>
          <t>Föryngringsavverkning</t>
        </is>
      </c>
      <c r="D1719" s="1" t="n">
        <v>45706</v>
      </c>
      <c r="E1719" s="1" t="n">
        <v>46216</v>
      </c>
      <c r="F1719" t="inlineStr">
        <is>
          <t>BLEKINGE LÄN</t>
        </is>
      </c>
      <c r="G1719" t="inlineStr">
        <is>
          <t>RONNEBY</t>
        </is>
      </c>
      <c r="I1719" t="n">
        <v>5.7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68958-2021</t>
        </is>
      </c>
      <c r="B1720" t="inlineStr">
        <is>
          <t>avverkningsanmälan</t>
        </is>
      </c>
      <c r="C1720" t="inlineStr">
        <is>
          <t>Föryngringsavverkning</t>
        </is>
      </c>
      <c r="D1720" s="1" t="n">
        <v>44530</v>
      </c>
      <c r="E1720" s="1" t="n">
        <v>46216</v>
      </c>
      <c r="F1720" t="inlineStr">
        <is>
          <t>BLEKINGE LÄN</t>
        </is>
      </c>
      <c r="G1720" t="inlineStr">
        <is>
          <t>KARLSHAMN</t>
        </is>
      </c>
      <c r="I1720" t="n">
        <v>1.9</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47264-2023</t>
        </is>
      </c>
      <c r="B1721" t="inlineStr">
        <is>
          <t>avverkningsanmälan</t>
        </is>
      </c>
      <c r="C1721" t="inlineStr">
        <is>
          <t>Föryngringsavverkning</t>
        </is>
      </c>
      <c r="D1721" s="1" t="n">
        <v>45197</v>
      </c>
      <c r="E1721" s="1" t="n">
        <v>46216</v>
      </c>
      <c r="F1721" t="inlineStr">
        <is>
          <t>BLEKINGE LÄN</t>
        </is>
      </c>
      <c r="G1721" t="inlineStr">
        <is>
          <t>OLOFSTRÖM</t>
        </is>
      </c>
      <c r="I1721" t="n">
        <v>6</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7356-2023</t>
        </is>
      </c>
      <c r="B1722" t="inlineStr">
        <is>
          <t>avverkningsanmälan</t>
        </is>
      </c>
      <c r="C1722" t="inlineStr">
        <is>
          <t>Föryngringsavverkning</t>
        </is>
      </c>
      <c r="D1722" s="1" t="n">
        <v>44971</v>
      </c>
      <c r="E1722" s="1" t="n">
        <v>46216</v>
      </c>
      <c r="F1722" t="inlineStr">
        <is>
          <t>BLEKINGE LÄN</t>
        </is>
      </c>
      <c r="G1722" t="inlineStr">
        <is>
          <t>KARLSHAMN</t>
        </is>
      </c>
      <c r="H1722" t="inlineStr">
        <is>
          <t>Sveaskog</t>
        </is>
      </c>
      <c r="I1722" t="n">
        <v>2</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26290-2026</t>
        </is>
      </c>
      <c r="B1723" t="inlineStr">
        <is>
          <t>avverkningsanmälan</t>
        </is>
      </c>
      <c r="C1723" t="inlineStr">
        <is>
          <t>Föryngringsavverkning</t>
        </is>
      </c>
      <c r="D1723" s="1" t="n">
        <v>46182</v>
      </c>
      <c r="E1723" s="1" t="n">
        <v>46216</v>
      </c>
      <c r="F1723" t="inlineStr">
        <is>
          <t>BLEKINGE LÄN</t>
        </is>
      </c>
      <c r="G1723" t="inlineStr">
        <is>
          <t>RONNEBY</t>
        </is>
      </c>
      <c r="H1723" t="inlineStr">
        <is>
          <t>Övriga Aktiebolag</t>
        </is>
      </c>
      <c r="I1723" t="n">
        <v>1.3</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22814-2023</t>
        </is>
      </c>
      <c r="B1724" t="inlineStr">
        <is>
          <t>avverkningsanmälan</t>
        </is>
      </c>
      <c r="C1724" t="inlineStr">
        <is>
          <t>Föryngringsavverkning</t>
        </is>
      </c>
      <c r="D1724" s="1" t="n">
        <v>45072</v>
      </c>
      <c r="E1724" s="1" t="n">
        <v>46216</v>
      </c>
      <c r="F1724" t="inlineStr">
        <is>
          <t>BLEKINGE LÄN</t>
        </is>
      </c>
      <c r="G1724" t="inlineStr">
        <is>
          <t>RONNEBY</t>
        </is>
      </c>
      <c r="I1724" t="n">
        <v>4.7</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56335-2023</t>
        </is>
      </c>
      <c r="B1725" t="inlineStr">
        <is>
          <t>avverkningsanmälan</t>
        </is>
      </c>
      <c r="C1725" t="inlineStr">
        <is>
          <t>Föryngringsavverkning</t>
        </is>
      </c>
      <c r="D1725" s="1" t="n">
        <v>45243</v>
      </c>
      <c r="E1725" s="1" t="n">
        <v>46216</v>
      </c>
      <c r="F1725" t="inlineStr">
        <is>
          <t>BLEKINGE LÄN</t>
        </is>
      </c>
      <c r="G1725" t="inlineStr">
        <is>
          <t>KARLSKRONA</t>
        </is>
      </c>
      <c r="I1725" t="n">
        <v>3.3</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44471-2021</t>
        </is>
      </c>
      <c r="B1726" t="inlineStr">
        <is>
          <t>avverkningsanmälan</t>
        </is>
      </c>
      <c r="C1726" t="inlineStr">
        <is>
          <t>Föryngringsavverkning</t>
        </is>
      </c>
      <c r="D1726" s="1" t="n">
        <v>44435</v>
      </c>
      <c r="E1726" s="1" t="n">
        <v>46216</v>
      </c>
      <c r="F1726" t="inlineStr">
        <is>
          <t>BLEKINGE LÄN</t>
        </is>
      </c>
      <c r="G1726" t="inlineStr">
        <is>
          <t>KARLSKRONA</t>
        </is>
      </c>
      <c r="I1726" t="n">
        <v>3</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11721-2024</t>
        </is>
      </c>
      <c r="B1727" t="inlineStr">
        <is>
          <t>avverkningsanmälan</t>
        </is>
      </c>
      <c r="C1727" t="inlineStr">
        <is>
          <t>Föryngringsavverkning</t>
        </is>
      </c>
      <c r="D1727" s="1" t="n">
        <v>45373</v>
      </c>
      <c r="E1727" s="1" t="n">
        <v>46216</v>
      </c>
      <c r="F1727" t="inlineStr">
        <is>
          <t>BLEKINGE LÄN</t>
        </is>
      </c>
      <c r="G1727" t="inlineStr">
        <is>
          <t>KARLSHAMN</t>
        </is>
      </c>
      <c r="I1727" t="n">
        <v>0.9</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29121-2023</t>
        </is>
      </c>
      <c r="B1728" t="inlineStr">
        <is>
          <t>avverkningsanmälan</t>
        </is>
      </c>
      <c r="C1728" t="inlineStr">
        <is>
          <t>Föryngringsavverkning</t>
        </is>
      </c>
      <c r="D1728" s="1" t="n">
        <v>45105</v>
      </c>
      <c r="E1728" s="1" t="n">
        <v>46216</v>
      </c>
      <c r="F1728" t="inlineStr">
        <is>
          <t>BLEKINGE LÄN</t>
        </is>
      </c>
      <c r="G1728" t="inlineStr">
        <is>
          <t>KARLSKRONA</t>
        </is>
      </c>
      <c r="I1728" t="n">
        <v>0.5</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26287-2026</t>
        </is>
      </c>
      <c r="B1729" t="inlineStr">
        <is>
          <t>avverkningsanmälan</t>
        </is>
      </c>
      <c r="C1729" t="inlineStr">
        <is>
          <t>Föryngringsavverkning</t>
        </is>
      </c>
      <c r="D1729" s="1" t="n">
        <v>46182</v>
      </c>
      <c r="E1729" s="1" t="n">
        <v>46216</v>
      </c>
      <c r="F1729" t="inlineStr">
        <is>
          <t>BLEKINGE LÄN</t>
        </is>
      </c>
      <c r="G1729" t="inlineStr">
        <is>
          <t>RONNEBY</t>
        </is>
      </c>
      <c r="H1729" t="inlineStr">
        <is>
          <t>Övriga Aktiebolag</t>
        </is>
      </c>
      <c r="I1729" t="n">
        <v>2.4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29361-2023</t>
        </is>
      </c>
      <c r="B1730" t="inlineStr">
        <is>
          <t>avverkningsanmälan</t>
        </is>
      </c>
      <c r="C1730" t="inlineStr">
        <is>
          <t>Föryngringsavverkning</t>
        </is>
      </c>
      <c r="D1730" s="1" t="n">
        <v>45106</v>
      </c>
      <c r="E1730" s="1" t="n">
        <v>46216</v>
      </c>
      <c r="F1730" t="inlineStr">
        <is>
          <t>BLEKINGE LÄN</t>
        </is>
      </c>
      <c r="G1730" t="inlineStr">
        <is>
          <t>KARLSKRONA</t>
        </is>
      </c>
      <c r="I1730" t="n">
        <v>2</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61934-2025</t>
        </is>
      </c>
      <c r="B1731" t="inlineStr">
        <is>
          <t>avverkningsanmälan</t>
        </is>
      </c>
      <c r="C1731" t="inlineStr">
        <is>
          <t>Föryngringsavverkning</t>
        </is>
      </c>
      <c r="D1731" s="1" t="n">
        <v>46003</v>
      </c>
      <c r="E1731" s="1" t="n">
        <v>46216</v>
      </c>
      <c r="F1731" t="inlineStr">
        <is>
          <t>BLEKINGE LÄN</t>
        </is>
      </c>
      <c r="G1731" t="inlineStr">
        <is>
          <t>OLOFSTRÖM</t>
        </is>
      </c>
      <c r="I1731" t="n">
        <v>8.9</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31009-2024</t>
        </is>
      </c>
      <c r="B1732" t="inlineStr">
        <is>
          <t>avverkningsanmälan</t>
        </is>
      </c>
      <c r="C1732" t="inlineStr">
        <is>
          <t>Föryngringsavverkning</t>
        </is>
      </c>
      <c r="D1732" s="1" t="n">
        <v>45499</v>
      </c>
      <c r="E1732" s="1" t="n">
        <v>46216</v>
      </c>
      <c r="F1732" t="inlineStr">
        <is>
          <t>BLEKINGE LÄN</t>
        </is>
      </c>
      <c r="G1732" t="inlineStr">
        <is>
          <t>KARLSKRONA</t>
        </is>
      </c>
      <c r="I1732" t="n">
        <v>1.4</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39121-2023</t>
        </is>
      </c>
      <c r="B1733" t="inlineStr">
        <is>
          <t>avverkningsanmälan</t>
        </is>
      </c>
      <c r="C1733" t="inlineStr">
        <is>
          <t>Föryngringsavverkning</t>
        </is>
      </c>
      <c r="D1733" s="1" t="n">
        <v>45165</v>
      </c>
      <c r="E1733" s="1" t="n">
        <v>46216</v>
      </c>
      <c r="F1733" t="inlineStr">
        <is>
          <t>BLEKINGE LÄN</t>
        </is>
      </c>
      <c r="G1733" t="inlineStr">
        <is>
          <t>KARLSKRONA</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46168-2023</t>
        </is>
      </c>
      <c r="B1734" t="inlineStr">
        <is>
          <t>avverkningsanmälan</t>
        </is>
      </c>
      <c r="C1734" t="inlineStr">
        <is>
          <t>Föryngringsavverkning</t>
        </is>
      </c>
      <c r="D1734" s="1" t="n">
        <v>45196</v>
      </c>
      <c r="E1734" s="1" t="n">
        <v>46216</v>
      </c>
      <c r="F1734" t="inlineStr">
        <is>
          <t>BLEKINGE LÄN</t>
        </is>
      </c>
      <c r="G1734" t="inlineStr">
        <is>
          <t>RONNEBY</t>
        </is>
      </c>
      <c r="I1734" t="n">
        <v>0.5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56612-2025</t>
        </is>
      </c>
      <c r="B1735" t="inlineStr">
        <is>
          <t>avverkningsanmälan</t>
        </is>
      </c>
      <c r="C1735" t="inlineStr">
        <is>
          <t>Föryngringsavverkning</t>
        </is>
      </c>
      <c r="D1735" s="1" t="n">
        <v>45975</v>
      </c>
      <c r="E1735" s="1" t="n">
        <v>46216</v>
      </c>
      <c r="F1735" t="inlineStr">
        <is>
          <t>BLEKINGE LÄN</t>
        </is>
      </c>
      <c r="G1735" t="inlineStr">
        <is>
          <t>OLOFSTRÖM</t>
        </is>
      </c>
      <c r="I1735" t="n">
        <v>11.7</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26779-2026</t>
        </is>
      </c>
      <c r="B1736" t="inlineStr">
        <is>
          <t>avverkningsanmälan</t>
        </is>
      </c>
      <c r="C1736" t="inlineStr">
        <is>
          <t>Föryngringsavverkning</t>
        </is>
      </c>
      <c r="D1736" s="1" t="n">
        <v>46184</v>
      </c>
      <c r="E1736" s="1" t="n">
        <v>46216</v>
      </c>
      <c r="F1736" t="inlineStr">
        <is>
          <t>BLEKINGE LÄN</t>
        </is>
      </c>
      <c r="G1736" t="inlineStr">
        <is>
          <t>RONNEBY</t>
        </is>
      </c>
      <c r="I1736" t="n">
        <v>3.4</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21013-2026</t>
        </is>
      </c>
      <c r="B1737" t="inlineStr">
        <is>
          <t>avverkningsanmälan</t>
        </is>
      </c>
      <c r="C1737" t="inlineStr">
        <is>
          <t>Föryngringsavverkning</t>
        </is>
      </c>
      <c r="D1737" s="1" t="n">
        <v>46143</v>
      </c>
      <c r="E1737" s="1" t="n">
        <v>46216</v>
      </c>
      <c r="F1737" t="inlineStr">
        <is>
          <t>BLEKINGE LÄN</t>
        </is>
      </c>
      <c r="G1737" t="inlineStr">
        <is>
          <t>OLOFSTRÖM</t>
        </is>
      </c>
      <c r="I1737" t="n">
        <v>0.8</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34137-2024</t>
        </is>
      </c>
      <c r="B1738" t="inlineStr">
        <is>
          <t>avverkningsanmälan</t>
        </is>
      </c>
      <c r="C1738" t="inlineStr">
        <is>
          <t>Föryngringsavverkning</t>
        </is>
      </c>
      <c r="D1738" s="1" t="n">
        <v>45524</v>
      </c>
      <c r="E1738" s="1" t="n">
        <v>46216</v>
      </c>
      <c r="F1738" t="inlineStr">
        <is>
          <t>BLEKINGE LÄN</t>
        </is>
      </c>
      <c r="G1738" t="inlineStr">
        <is>
          <t>KARLSKRONA</t>
        </is>
      </c>
      <c r="I1738" t="n">
        <v>1.2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7461-2023</t>
        </is>
      </c>
      <c r="B1739" t="inlineStr">
        <is>
          <t>avverkningsanmälan</t>
        </is>
      </c>
      <c r="C1739" t="inlineStr">
        <is>
          <t>Föryngringsavverkning</t>
        </is>
      </c>
      <c r="D1739" s="1" t="n">
        <v>44971</v>
      </c>
      <c r="E1739" s="1" t="n">
        <v>46216</v>
      </c>
      <c r="F1739" t="inlineStr">
        <is>
          <t>BLEKINGE LÄN</t>
        </is>
      </c>
      <c r="G1739" t="inlineStr">
        <is>
          <t>OLOFSTRÖM</t>
        </is>
      </c>
      <c r="I1739" t="n">
        <v>2.6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50902-2023</t>
        </is>
      </c>
      <c r="B1740" t="inlineStr">
        <is>
          <t>avverkningsanmälan</t>
        </is>
      </c>
      <c r="C1740" t="inlineStr">
        <is>
          <t>Föryngringsavverkning</t>
        </is>
      </c>
      <c r="D1740" s="1" t="n">
        <v>45218</v>
      </c>
      <c r="E1740" s="1" t="n">
        <v>46216</v>
      </c>
      <c r="F1740" t="inlineStr">
        <is>
          <t>BLEKINGE LÄN</t>
        </is>
      </c>
      <c r="G1740" t="inlineStr">
        <is>
          <t>KARLSKRONA</t>
        </is>
      </c>
      <c r="I1740" t="n">
        <v>2.5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46646-2023</t>
        </is>
      </c>
      <c r="B1741" t="inlineStr">
        <is>
          <t>avverkningsanmälan</t>
        </is>
      </c>
      <c r="C1741" t="inlineStr">
        <is>
          <t>Föryngringsavverkning</t>
        </is>
      </c>
      <c r="D1741" s="1" t="n">
        <v>45195</v>
      </c>
      <c r="E1741" s="1" t="n">
        <v>46216</v>
      </c>
      <c r="F1741" t="inlineStr">
        <is>
          <t>BLEKINGE LÄN</t>
        </is>
      </c>
      <c r="G1741" t="inlineStr">
        <is>
          <t>RONNEBY</t>
        </is>
      </c>
      <c r="I1741" t="n">
        <v>4.3</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7277-2025</t>
        </is>
      </c>
      <c r="B1742" t="inlineStr">
        <is>
          <t>avverkningsanmälan</t>
        </is>
      </c>
      <c r="C1742" t="inlineStr">
        <is>
          <t>Föryngringsavverkning</t>
        </is>
      </c>
      <c r="D1742" s="1" t="n">
        <v>45701</v>
      </c>
      <c r="E1742" s="1" t="n">
        <v>46216</v>
      </c>
      <c r="F1742" t="inlineStr">
        <is>
          <t>BLEKINGE LÄN</t>
        </is>
      </c>
      <c r="G1742" t="inlineStr">
        <is>
          <t>OLOFSTRÖM</t>
        </is>
      </c>
      <c r="I1742" t="n">
        <v>3.6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50614-2022</t>
        </is>
      </c>
      <c r="B1743" t="inlineStr">
        <is>
          <t>avverkningsanmälan</t>
        </is>
      </c>
      <c r="C1743" t="inlineStr">
        <is>
          <t>Föryngringsavverkning</t>
        </is>
      </c>
      <c r="D1743" s="1" t="n">
        <v>44866</v>
      </c>
      <c r="E1743" s="1" t="n">
        <v>46216</v>
      </c>
      <c r="F1743" t="inlineStr">
        <is>
          <t>BLEKINGE LÄN</t>
        </is>
      </c>
      <c r="G1743" t="inlineStr">
        <is>
          <t>KARLSKRONA</t>
        </is>
      </c>
      <c r="I1743" t="n">
        <v>1.5</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27010-2026</t>
        </is>
      </c>
      <c r="B1744" t="inlineStr">
        <is>
          <t>avverkningsanmälan</t>
        </is>
      </c>
      <c r="C1744" t="inlineStr">
        <is>
          <t>Föryngringsavverkning</t>
        </is>
      </c>
      <c r="D1744" s="1" t="n">
        <v>46185</v>
      </c>
      <c r="E1744" s="1" t="n">
        <v>46216</v>
      </c>
      <c r="F1744" t="inlineStr">
        <is>
          <t>BLEKINGE LÄN</t>
        </is>
      </c>
      <c r="G1744" t="inlineStr">
        <is>
          <t>KARLSKRONA</t>
        </is>
      </c>
      <c r="I1744" t="n">
        <v>3</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24502-2023</t>
        </is>
      </c>
      <c r="B1745" t="inlineStr">
        <is>
          <t>avverkningsanmälan</t>
        </is>
      </c>
      <c r="C1745" t="inlineStr">
        <is>
          <t>Föryngringsavverkning</t>
        </is>
      </c>
      <c r="D1745" s="1" t="n">
        <v>45082</v>
      </c>
      <c r="E1745" s="1" t="n">
        <v>46216</v>
      </c>
      <c r="F1745" t="inlineStr">
        <is>
          <t>BLEKINGE LÄN</t>
        </is>
      </c>
      <c r="G1745" t="inlineStr">
        <is>
          <t>RONNEBY</t>
        </is>
      </c>
      <c r="H1745" t="inlineStr">
        <is>
          <t>Kommuner</t>
        </is>
      </c>
      <c r="I1745" t="n">
        <v>1.6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26744-2026</t>
        </is>
      </c>
      <c r="B1746" t="inlineStr">
        <is>
          <t>avverkningsanmälan</t>
        </is>
      </c>
      <c r="C1746" t="inlineStr">
        <is>
          <t>Föryngringsavverkning</t>
        </is>
      </c>
      <c r="D1746" s="1" t="n">
        <v>46184</v>
      </c>
      <c r="E1746" s="1" t="n">
        <v>46216</v>
      </c>
      <c r="F1746" t="inlineStr">
        <is>
          <t>BLEKINGE LÄN</t>
        </is>
      </c>
      <c r="G1746" t="inlineStr">
        <is>
          <t>SÖLVESBORG</t>
        </is>
      </c>
      <c r="I1746" t="n">
        <v>3.9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45367-2023</t>
        </is>
      </c>
      <c r="B1747" t="inlineStr">
        <is>
          <t>avverkningsanmälan</t>
        </is>
      </c>
      <c r="C1747" t="inlineStr">
        <is>
          <t>Föryngringsavverkning</t>
        </is>
      </c>
      <c r="D1747" s="1" t="n">
        <v>45193</v>
      </c>
      <c r="E1747" s="1" t="n">
        <v>46216</v>
      </c>
      <c r="F1747" t="inlineStr">
        <is>
          <t>BLEKINGE LÄN</t>
        </is>
      </c>
      <c r="G1747" t="inlineStr">
        <is>
          <t>RONNEBY</t>
        </is>
      </c>
      <c r="I1747" t="n">
        <v>1.7</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2572-2023</t>
        </is>
      </c>
      <c r="B1748" t="inlineStr">
        <is>
          <t>avverkningsanmälan</t>
        </is>
      </c>
      <c r="C1748" t="inlineStr">
        <is>
          <t>Föryngringsavverkning</t>
        </is>
      </c>
      <c r="D1748" s="1" t="n">
        <v>44943</v>
      </c>
      <c r="E1748" s="1" t="n">
        <v>46216</v>
      </c>
      <c r="F1748" t="inlineStr">
        <is>
          <t>BLEKINGE LÄN</t>
        </is>
      </c>
      <c r="G1748" t="inlineStr">
        <is>
          <t>KARLSHAMN</t>
        </is>
      </c>
      <c r="I1748" t="n">
        <v>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36875-2022</t>
        </is>
      </c>
      <c r="B1749" t="inlineStr">
        <is>
          <t>avverkningsanmälan</t>
        </is>
      </c>
      <c r="C1749" t="inlineStr">
        <is>
          <t>Föryngringsavverkning</t>
        </is>
      </c>
      <c r="D1749" s="1" t="n">
        <v>44805</v>
      </c>
      <c r="E1749" s="1" t="n">
        <v>46216</v>
      </c>
      <c r="F1749" t="inlineStr">
        <is>
          <t>BLEKINGE LÄN</t>
        </is>
      </c>
      <c r="G1749" t="inlineStr">
        <is>
          <t>OLOFSTRÖM</t>
        </is>
      </c>
      <c r="I1749" t="n">
        <v>3.5</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70538-2021</t>
        </is>
      </c>
      <c r="B1750" t="inlineStr">
        <is>
          <t>avverkningsanmälan</t>
        </is>
      </c>
      <c r="C1750" t="inlineStr">
        <is>
          <t>Föryngringsavverkning</t>
        </is>
      </c>
      <c r="D1750" s="1" t="n">
        <v>44536</v>
      </c>
      <c r="E1750" s="1" t="n">
        <v>46216</v>
      </c>
      <c r="F1750" t="inlineStr">
        <is>
          <t>BLEKINGE LÄN</t>
        </is>
      </c>
      <c r="G1750" t="inlineStr">
        <is>
          <t>OLOFSTRÖM</t>
        </is>
      </c>
      <c r="I1750" t="n">
        <v>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61243-2023</t>
        </is>
      </c>
      <c r="B1751" t="inlineStr">
        <is>
          <t>avverkningsanmälan</t>
        </is>
      </c>
      <c r="C1751" t="inlineStr">
        <is>
          <t>Föryngringsavverkning</t>
        </is>
      </c>
      <c r="D1751" s="1" t="n">
        <v>45264</v>
      </c>
      <c r="E1751" s="1" t="n">
        <v>46216</v>
      </c>
      <c r="F1751" t="inlineStr">
        <is>
          <t>BLEKINGE LÄN</t>
        </is>
      </c>
      <c r="G1751" t="inlineStr">
        <is>
          <t>RONNEBY</t>
        </is>
      </c>
      <c r="H1751" t="inlineStr">
        <is>
          <t>Övriga Aktiebolag</t>
        </is>
      </c>
      <c r="I1751" t="n">
        <v>2.4</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61266-2023</t>
        </is>
      </c>
      <c r="B1752" t="inlineStr">
        <is>
          <t>avverkningsanmälan</t>
        </is>
      </c>
      <c r="C1752" t="inlineStr">
        <is>
          <t>Föryngringsavverkning</t>
        </is>
      </c>
      <c r="D1752" s="1" t="n">
        <v>45264</v>
      </c>
      <c r="E1752" s="1" t="n">
        <v>46216</v>
      </c>
      <c r="F1752" t="inlineStr">
        <is>
          <t>BLEKINGE LÄN</t>
        </is>
      </c>
      <c r="G1752" t="inlineStr">
        <is>
          <t>KARLSKRONA</t>
        </is>
      </c>
      <c r="I1752" t="n">
        <v>13.2</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24840-2023</t>
        </is>
      </c>
      <c r="B1753" t="inlineStr">
        <is>
          <t>avverkningsanmälan</t>
        </is>
      </c>
      <c r="C1753" t="inlineStr">
        <is>
          <t>Föryngringsavverkning</t>
        </is>
      </c>
      <c r="D1753" s="1" t="n">
        <v>45085</v>
      </c>
      <c r="E1753" s="1" t="n">
        <v>46216</v>
      </c>
      <c r="F1753" t="inlineStr">
        <is>
          <t>BLEKINGE LÄN</t>
        </is>
      </c>
      <c r="G1753" t="inlineStr">
        <is>
          <t>RONNEBY</t>
        </is>
      </c>
      <c r="I1753" t="n">
        <v>0.7</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31263-2023</t>
        </is>
      </c>
      <c r="B1754" t="inlineStr">
        <is>
          <t>avverkningsanmälan</t>
        </is>
      </c>
      <c r="C1754" t="inlineStr">
        <is>
          <t>Föryngringsavverkning</t>
        </is>
      </c>
      <c r="D1754" s="1" t="n">
        <v>45114</v>
      </c>
      <c r="E1754" s="1" t="n">
        <v>46216</v>
      </c>
      <c r="F1754" t="inlineStr">
        <is>
          <t>BLEKINGE LÄN</t>
        </is>
      </c>
      <c r="G1754" t="inlineStr">
        <is>
          <t>KARLSHAMN</t>
        </is>
      </c>
      <c r="I1754" t="n">
        <v>5.1</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44120-2023</t>
        </is>
      </c>
      <c r="B1755" t="inlineStr">
        <is>
          <t>avverkningsanmälan</t>
        </is>
      </c>
      <c r="C1755" t="inlineStr">
        <is>
          <t>Föryngringsavverkning</t>
        </is>
      </c>
      <c r="D1755" s="1" t="n">
        <v>45188</v>
      </c>
      <c r="E1755" s="1" t="n">
        <v>46216</v>
      </c>
      <c r="F1755" t="inlineStr">
        <is>
          <t>BLEKINGE LÄN</t>
        </is>
      </c>
      <c r="G1755" t="inlineStr">
        <is>
          <t>KARLSKRONA</t>
        </is>
      </c>
      <c r="I1755" t="n">
        <v>1</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39240-2024</t>
        </is>
      </c>
      <c r="B1756" t="inlineStr">
        <is>
          <t>avverkningsanmälan</t>
        </is>
      </c>
      <c r="C1756" t="inlineStr">
        <is>
          <t>Föryngringsavverkning</t>
        </is>
      </c>
      <c r="D1756" s="1" t="n">
        <v>45550</v>
      </c>
      <c r="E1756" s="1" t="n">
        <v>46216</v>
      </c>
      <c r="F1756" t="inlineStr">
        <is>
          <t>BLEKINGE LÄN</t>
        </is>
      </c>
      <c r="G1756" t="inlineStr">
        <is>
          <t>KARLSHAMN</t>
        </is>
      </c>
      <c r="I1756" t="n">
        <v>7.4</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27408-2022</t>
        </is>
      </c>
      <c r="B1757" t="inlineStr">
        <is>
          <t>avverkningsanmälan</t>
        </is>
      </c>
      <c r="C1757" t="inlineStr">
        <is>
          <t>Föryngringsavverkning</t>
        </is>
      </c>
      <c r="D1757" s="1" t="n">
        <v>44742</v>
      </c>
      <c r="E1757" s="1" t="n">
        <v>46216</v>
      </c>
      <c r="F1757" t="inlineStr">
        <is>
          <t>BLEKINGE LÄN</t>
        </is>
      </c>
      <c r="G1757" t="inlineStr">
        <is>
          <t>KARLSHAMN</t>
        </is>
      </c>
      <c r="I1757" t="n">
        <v>5.4</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26917-2023</t>
        </is>
      </c>
      <c r="B1758" t="inlineStr">
        <is>
          <t>avverkningsanmälan</t>
        </is>
      </c>
      <c r="C1758" t="inlineStr">
        <is>
          <t>Föryngringsavverkning</t>
        </is>
      </c>
      <c r="D1758" s="1" t="n">
        <v>45093</v>
      </c>
      <c r="E1758" s="1" t="n">
        <v>46216</v>
      </c>
      <c r="F1758" t="inlineStr">
        <is>
          <t>BLEKINGE LÄN</t>
        </is>
      </c>
      <c r="G1758" t="inlineStr">
        <is>
          <t>KARLSKRONA</t>
        </is>
      </c>
      <c r="I1758" t="n">
        <v>1.4</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41994-2022</t>
        </is>
      </c>
      <c r="B1759" t="inlineStr">
        <is>
          <t>avverkningsanmälan</t>
        </is>
      </c>
      <c r="C1759" t="inlineStr">
        <is>
          <t>Föryngringsavverkning</t>
        </is>
      </c>
      <c r="D1759" s="1" t="n">
        <v>44827</v>
      </c>
      <c r="E1759" s="1" t="n">
        <v>46216</v>
      </c>
      <c r="F1759" t="inlineStr">
        <is>
          <t>BLEKINGE LÄN</t>
        </is>
      </c>
      <c r="G1759" t="inlineStr">
        <is>
          <t>KARLSHAMN</t>
        </is>
      </c>
      <c r="I1759" t="n">
        <v>6.6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26231-2023</t>
        </is>
      </c>
      <c r="B1760" t="inlineStr">
        <is>
          <t>avverkningsanmälan</t>
        </is>
      </c>
      <c r="C1760" t="inlineStr">
        <is>
          <t>Föryngringsavverkning</t>
        </is>
      </c>
      <c r="D1760" s="1" t="n">
        <v>45091</v>
      </c>
      <c r="E1760" s="1" t="n">
        <v>46216</v>
      </c>
      <c r="F1760" t="inlineStr">
        <is>
          <t>BLEKINGE LÄN</t>
        </is>
      </c>
      <c r="G1760" t="inlineStr">
        <is>
          <t>RONNEBY</t>
        </is>
      </c>
      <c r="I1760" t="n">
        <v>2.3</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33563-2024</t>
        </is>
      </c>
      <c r="B1761" t="inlineStr">
        <is>
          <t>avverkningsanmälan</t>
        </is>
      </c>
      <c r="C1761" t="inlineStr">
        <is>
          <t>Föryngringsavverkning</t>
        </is>
      </c>
      <c r="D1761" s="1" t="n">
        <v>45519</v>
      </c>
      <c r="E1761" s="1" t="n">
        <v>46216</v>
      </c>
      <c r="F1761" t="inlineStr">
        <is>
          <t>BLEKINGE LÄN</t>
        </is>
      </c>
      <c r="G1761" t="inlineStr">
        <is>
          <t>KARLSHAMN</t>
        </is>
      </c>
      <c r="I1761" t="n">
        <v>2</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57559-2023</t>
        </is>
      </c>
      <c r="B1762" t="inlineStr">
        <is>
          <t>avverkningsanmälan</t>
        </is>
      </c>
      <c r="C1762" t="inlineStr">
        <is>
          <t>Föryngringsavverkning</t>
        </is>
      </c>
      <c r="D1762" s="1" t="n">
        <v>45243</v>
      </c>
      <c r="E1762" s="1" t="n">
        <v>46216</v>
      </c>
      <c r="F1762" t="inlineStr">
        <is>
          <t>BLEKINGE LÄN</t>
        </is>
      </c>
      <c r="G1762" t="inlineStr">
        <is>
          <t>KARLSHAMN</t>
        </is>
      </c>
      <c r="I1762" t="n">
        <v>1.5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31394-2023</t>
        </is>
      </c>
      <c r="B1763" t="inlineStr">
        <is>
          <t>avverkningsanmälan</t>
        </is>
      </c>
      <c r="C1763" t="inlineStr">
        <is>
          <t>Föryngringsavverkning</t>
        </is>
      </c>
      <c r="D1763" s="1" t="n">
        <v>45104</v>
      </c>
      <c r="E1763" s="1" t="n">
        <v>46216</v>
      </c>
      <c r="F1763" t="inlineStr">
        <is>
          <t>BLEKINGE LÄN</t>
        </is>
      </c>
      <c r="G1763" t="inlineStr">
        <is>
          <t>KARLSHAMN</t>
        </is>
      </c>
      <c r="I1763" t="n">
        <v>3.7</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27209-2026</t>
        </is>
      </c>
      <c r="B1764" t="inlineStr">
        <is>
          <t>avverkningsanmälan</t>
        </is>
      </c>
      <c r="C1764" t="inlineStr">
        <is>
          <t>Föryngringsavverkning</t>
        </is>
      </c>
      <c r="D1764" s="1" t="n">
        <v>46188</v>
      </c>
      <c r="E1764" s="1" t="n">
        <v>46216</v>
      </c>
      <c r="F1764" t="inlineStr">
        <is>
          <t>BLEKINGE LÄN</t>
        </is>
      </c>
      <c r="G1764" t="inlineStr">
        <is>
          <t>KARLSKRONA</t>
        </is>
      </c>
      <c r="I1764" t="n">
        <v>1.2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1070-2022</t>
        </is>
      </c>
      <c r="B1765" t="inlineStr">
        <is>
          <t>avverkningsanmälan</t>
        </is>
      </c>
      <c r="C1765" t="inlineStr">
        <is>
          <t>Föryngringsavverkning</t>
        </is>
      </c>
      <c r="D1765" s="1" t="n">
        <v>44571</v>
      </c>
      <c r="E1765" s="1" t="n">
        <v>46216</v>
      </c>
      <c r="F1765" t="inlineStr">
        <is>
          <t>BLEKINGE LÄN</t>
        </is>
      </c>
      <c r="G1765" t="inlineStr">
        <is>
          <t>SÖLVESBORG</t>
        </is>
      </c>
      <c r="I1765" t="n">
        <v>1.5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30958-2023</t>
        </is>
      </c>
      <c r="B1766" t="inlineStr">
        <is>
          <t>avverkningsanmälan</t>
        </is>
      </c>
      <c r="C1766" t="inlineStr">
        <is>
          <t>Föryngringsavverkning</t>
        </is>
      </c>
      <c r="D1766" s="1" t="n">
        <v>45113</v>
      </c>
      <c r="E1766" s="1" t="n">
        <v>46216</v>
      </c>
      <c r="F1766" t="inlineStr">
        <is>
          <t>BLEKINGE LÄN</t>
        </is>
      </c>
      <c r="G1766" t="inlineStr">
        <is>
          <t>KARLSKRONA</t>
        </is>
      </c>
      <c r="I1766" t="n">
        <v>1.8</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56078-2023</t>
        </is>
      </c>
      <c r="B1767" t="inlineStr">
        <is>
          <t>avverkningsanmälan</t>
        </is>
      </c>
      <c r="C1767" t="inlineStr">
        <is>
          <t>Föryngringsavverkning</t>
        </is>
      </c>
      <c r="D1767" s="1" t="n">
        <v>45233</v>
      </c>
      <c r="E1767" s="1" t="n">
        <v>46216</v>
      </c>
      <c r="F1767" t="inlineStr">
        <is>
          <t>BLEKINGE LÄN</t>
        </is>
      </c>
      <c r="G1767" t="inlineStr">
        <is>
          <t>OLOFSTRÖM</t>
        </is>
      </c>
      <c r="I1767" t="n">
        <v>2.5</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27230-2026</t>
        </is>
      </c>
      <c r="B1768" t="inlineStr">
        <is>
          <t>avverkningsanmälan</t>
        </is>
      </c>
      <c r="C1768" t="inlineStr">
        <is>
          <t>Föryngringsavverkning</t>
        </is>
      </c>
      <c r="D1768" s="1" t="n">
        <v>46188</v>
      </c>
      <c r="E1768" s="1" t="n">
        <v>46216</v>
      </c>
      <c r="F1768" t="inlineStr">
        <is>
          <t>BLEKINGE LÄN</t>
        </is>
      </c>
      <c r="G1768" t="inlineStr">
        <is>
          <t>KARLSKRONA</t>
        </is>
      </c>
      <c r="I1768" t="n">
        <v>0.7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40569-2022</t>
        </is>
      </c>
      <c r="B1769" t="inlineStr">
        <is>
          <t>avverkningsanmälan</t>
        </is>
      </c>
      <c r="C1769" t="inlineStr">
        <is>
          <t>Avverkning för annat ändamål</t>
        </is>
      </c>
      <c r="D1769" s="1" t="n">
        <v>44823</v>
      </c>
      <c r="E1769" s="1" t="n">
        <v>46216</v>
      </c>
      <c r="F1769" t="inlineStr">
        <is>
          <t>BLEKINGE LÄN</t>
        </is>
      </c>
      <c r="G1769" t="inlineStr">
        <is>
          <t>KARLSHAMN</t>
        </is>
      </c>
      <c r="I1769" t="n">
        <v>6.5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60901-2022</t>
        </is>
      </c>
      <c r="B1770" t="inlineStr">
        <is>
          <t>avverkningsanmälan</t>
        </is>
      </c>
      <c r="C1770" t="inlineStr">
        <is>
          <t>Föryngringsavverkning</t>
        </is>
      </c>
      <c r="D1770" s="1" t="n">
        <v>44914</v>
      </c>
      <c r="E1770" s="1" t="n">
        <v>46216</v>
      </c>
      <c r="F1770" t="inlineStr">
        <is>
          <t>BLEKINGE LÄN</t>
        </is>
      </c>
      <c r="G1770" t="inlineStr">
        <is>
          <t>KARLSKRONA</t>
        </is>
      </c>
      <c r="I1770" t="n">
        <v>2</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3807-2024</t>
        </is>
      </c>
      <c r="B1771" t="inlineStr">
        <is>
          <t>avverkningsanmälan</t>
        </is>
      </c>
      <c r="C1771" t="inlineStr">
        <is>
          <t>Föryngringsavverkning</t>
        </is>
      </c>
      <c r="D1771" s="1" t="n">
        <v>45321</v>
      </c>
      <c r="E1771" s="1" t="n">
        <v>46216</v>
      </c>
      <c r="F1771" t="inlineStr">
        <is>
          <t>BLEKINGE LÄN</t>
        </is>
      </c>
      <c r="G1771" t="inlineStr">
        <is>
          <t>KARLSKRONA</t>
        </is>
      </c>
      <c r="I1771" t="n">
        <v>0.5</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47825-2024</t>
        </is>
      </c>
      <c r="B1772" t="inlineStr">
        <is>
          <t>avverkningsanmälan</t>
        </is>
      </c>
      <c r="C1772" t="inlineStr">
        <is>
          <t>Föryngringsavverkning</t>
        </is>
      </c>
      <c r="D1772" s="1" t="n">
        <v>45588</v>
      </c>
      <c r="E1772" s="1" t="n">
        <v>46216</v>
      </c>
      <c r="F1772" t="inlineStr">
        <is>
          <t>BLEKINGE LÄN</t>
        </is>
      </c>
      <c r="G1772" t="inlineStr">
        <is>
          <t>OLOFSTRÖM</t>
        </is>
      </c>
      <c r="I1772" t="n">
        <v>0.9</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21272-2026</t>
        </is>
      </c>
      <c r="B1773" t="inlineStr">
        <is>
          <t>avverkningsanmälan</t>
        </is>
      </c>
      <c r="C1773" t="inlineStr">
        <is>
          <t>Föryngringsavverkning</t>
        </is>
      </c>
      <c r="D1773" s="1" t="n">
        <v>46147</v>
      </c>
      <c r="E1773" s="1" t="n">
        <v>46216</v>
      </c>
      <c r="F1773" t="inlineStr">
        <is>
          <t>BLEKINGE LÄN</t>
        </is>
      </c>
      <c r="G1773" t="inlineStr">
        <is>
          <t>RONNEBY</t>
        </is>
      </c>
      <c r="I1773" t="n">
        <v>5.9</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33234-2023</t>
        </is>
      </c>
      <c r="B1774" t="inlineStr">
        <is>
          <t>avverkningsanmälan</t>
        </is>
      </c>
      <c r="C1774" t="inlineStr">
        <is>
          <t>Föryngringsavverkning</t>
        </is>
      </c>
      <c r="D1774" s="1" t="n">
        <v>45127</v>
      </c>
      <c r="E1774" s="1" t="n">
        <v>46216</v>
      </c>
      <c r="F1774" t="inlineStr">
        <is>
          <t>BLEKINGE LÄN</t>
        </is>
      </c>
      <c r="G1774" t="inlineStr">
        <is>
          <t>KARLSKRONA</t>
        </is>
      </c>
      <c r="I1774" t="n">
        <v>1.5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27151-2026</t>
        </is>
      </c>
      <c r="B1775" t="inlineStr">
        <is>
          <t>avverkningsanmälan</t>
        </is>
      </c>
      <c r="C1775" t="inlineStr">
        <is>
          <t>Föryngringsavverkning</t>
        </is>
      </c>
      <c r="D1775" s="1" t="n">
        <v>46188</v>
      </c>
      <c r="E1775" s="1" t="n">
        <v>46216</v>
      </c>
      <c r="F1775" t="inlineStr">
        <is>
          <t>BLEKINGE LÄN</t>
        </is>
      </c>
      <c r="G1775" t="inlineStr">
        <is>
          <t>SÖLVESBORG</t>
        </is>
      </c>
      <c r="I1775" t="n">
        <v>0.7</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1870-2024</t>
        </is>
      </c>
      <c r="B1776" t="inlineStr">
        <is>
          <t>avverkningsanmälan</t>
        </is>
      </c>
      <c r="C1776" t="inlineStr">
        <is>
          <t>Föryngringsavverkning</t>
        </is>
      </c>
      <c r="D1776" s="1" t="n">
        <v>45307</v>
      </c>
      <c r="E1776" s="1" t="n">
        <v>46216</v>
      </c>
      <c r="F1776" t="inlineStr">
        <is>
          <t>BLEKINGE LÄN</t>
        </is>
      </c>
      <c r="G1776" t="inlineStr">
        <is>
          <t>KARLSHAMN</t>
        </is>
      </c>
      <c r="I1776" t="n">
        <v>16.6</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6439-2025</t>
        </is>
      </c>
      <c r="B1777" t="inlineStr">
        <is>
          <t>avverkningsanmälan</t>
        </is>
      </c>
      <c r="C1777" t="inlineStr">
        <is>
          <t>Föryngringsavverkning</t>
        </is>
      </c>
      <c r="D1777" s="1" t="n">
        <v>45699</v>
      </c>
      <c r="E1777" s="1" t="n">
        <v>46216</v>
      </c>
      <c r="F1777" t="inlineStr">
        <is>
          <t>BLEKINGE LÄN</t>
        </is>
      </c>
      <c r="G1777" t="inlineStr">
        <is>
          <t>OLOFSTRÖM</t>
        </is>
      </c>
      <c r="I1777" t="n">
        <v>2.5</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5736-2026</t>
        </is>
      </c>
      <c r="B1778" t="inlineStr">
        <is>
          <t>avverkningsanmälan</t>
        </is>
      </c>
      <c r="C1778" t="inlineStr">
        <is>
          <t>Föryngringsavverkning</t>
        </is>
      </c>
      <c r="D1778" s="1" t="n">
        <v>46051</v>
      </c>
      <c r="E1778" s="1" t="n">
        <v>46216</v>
      </c>
      <c r="F1778" t="inlineStr">
        <is>
          <t>BLEKINGE LÄN</t>
        </is>
      </c>
      <c r="G1778" t="inlineStr">
        <is>
          <t>KARLSHAMN</t>
        </is>
      </c>
      <c r="I1778" t="n">
        <v>1.6</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56600-2023</t>
        </is>
      </c>
      <c r="B1779" t="inlineStr">
        <is>
          <t>avverkningsanmälan</t>
        </is>
      </c>
      <c r="C1779" t="inlineStr">
        <is>
          <t>Avverkning för annat ändamål</t>
        </is>
      </c>
      <c r="D1779" s="1" t="n">
        <v>45238</v>
      </c>
      <c r="E1779" s="1" t="n">
        <v>46216</v>
      </c>
      <c r="F1779" t="inlineStr">
        <is>
          <t>BLEKINGE LÄN</t>
        </is>
      </c>
      <c r="G1779" t="inlineStr">
        <is>
          <t>KARLSKRONA</t>
        </is>
      </c>
      <c r="I1779" t="n">
        <v>2.1</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5556-2024</t>
        </is>
      </c>
      <c r="B1780" t="inlineStr">
        <is>
          <t>avverkningsanmälan</t>
        </is>
      </c>
      <c r="C1780" t="inlineStr">
        <is>
          <t>Föryngringsavverkning</t>
        </is>
      </c>
      <c r="D1780" s="1" t="n">
        <v>45334</v>
      </c>
      <c r="E1780" s="1" t="n">
        <v>46216</v>
      </c>
      <c r="F1780" t="inlineStr">
        <is>
          <t>BLEKINGE LÄN</t>
        </is>
      </c>
      <c r="G1780" t="inlineStr">
        <is>
          <t>KARLSKRONA</t>
        </is>
      </c>
      <c r="I1780" t="n">
        <v>4.8</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32537-2023</t>
        </is>
      </c>
      <c r="B1781" t="inlineStr">
        <is>
          <t>avverkningsanmälan</t>
        </is>
      </c>
      <c r="C1781" t="inlineStr">
        <is>
          <t>Föryngringsavverkning</t>
        </is>
      </c>
      <c r="D1781" s="1" t="n">
        <v>45110</v>
      </c>
      <c r="E1781" s="1" t="n">
        <v>46216</v>
      </c>
      <c r="F1781" t="inlineStr">
        <is>
          <t>BLEKINGE LÄN</t>
        </is>
      </c>
      <c r="G1781" t="inlineStr">
        <is>
          <t>RONNEBY</t>
        </is>
      </c>
      <c r="I1781" t="n">
        <v>1.5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664-2025</t>
        </is>
      </c>
      <c r="B1782" t="inlineStr">
        <is>
          <t>avverkningsanmälan</t>
        </is>
      </c>
      <c r="C1782" t="inlineStr">
        <is>
          <t>Föryngringsavverkning</t>
        </is>
      </c>
      <c r="D1782" s="1" t="n">
        <v>45662</v>
      </c>
      <c r="E1782" s="1" t="n">
        <v>46216</v>
      </c>
      <c r="F1782" t="inlineStr">
        <is>
          <t>BLEKINGE LÄN</t>
        </is>
      </c>
      <c r="G1782" t="inlineStr">
        <is>
          <t>KARLSKRONA</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27712-2026</t>
        </is>
      </c>
      <c r="B1783" t="inlineStr">
        <is>
          <t>avverkningsanmälan</t>
        </is>
      </c>
      <c r="C1783" t="inlineStr">
        <is>
          <t>Föryngringsavverkning</t>
        </is>
      </c>
      <c r="D1783" s="1" t="n">
        <v>46190</v>
      </c>
      <c r="E1783" s="1" t="n">
        <v>46216</v>
      </c>
      <c r="F1783" t="inlineStr">
        <is>
          <t>BLEKINGE LÄN</t>
        </is>
      </c>
      <c r="G1783" t="inlineStr">
        <is>
          <t>KARLSHAMN</t>
        </is>
      </c>
      <c r="I1783" t="n">
        <v>3.2</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27754-2026</t>
        </is>
      </c>
      <c r="B1784" t="inlineStr">
        <is>
          <t>avverkningsanmälan</t>
        </is>
      </c>
      <c r="C1784" t="inlineStr">
        <is>
          <t>Föryngringsavverkning</t>
        </is>
      </c>
      <c r="D1784" s="1" t="n">
        <v>46191</v>
      </c>
      <c r="E1784" s="1" t="n">
        <v>46216</v>
      </c>
      <c r="F1784" t="inlineStr">
        <is>
          <t>BLEKINGE LÄN</t>
        </is>
      </c>
      <c r="G1784" t="inlineStr">
        <is>
          <t>KARLSHAMN</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36368-2023</t>
        </is>
      </c>
      <c r="B1785" t="inlineStr">
        <is>
          <t>avverkningsanmälan</t>
        </is>
      </c>
      <c r="C1785" t="inlineStr">
        <is>
          <t>Föryngringsavverkning</t>
        </is>
      </c>
      <c r="D1785" s="1" t="n">
        <v>45152</v>
      </c>
      <c r="E1785" s="1" t="n">
        <v>46216</v>
      </c>
      <c r="F1785" t="inlineStr">
        <is>
          <t>BLEKINGE LÄN</t>
        </is>
      </c>
      <c r="G1785" t="inlineStr">
        <is>
          <t>RONNEBY</t>
        </is>
      </c>
      <c r="I1785" t="n">
        <v>1.5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4538-2022</t>
        </is>
      </c>
      <c r="B1786" t="inlineStr">
        <is>
          <t>avverkningsanmälan</t>
        </is>
      </c>
      <c r="C1786" t="inlineStr">
        <is>
          <t>Föryngringsavverkning</t>
        </is>
      </c>
      <c r="D1786" s="1" t="n">
        <v>44590</v>
      </c>
      <c r="E1786" s="1" t="n">
        <v>46216</v>
      </c>
      <c r="F1786" t="inlineStr">
        <is>
          <t>BLEKINGE LÄN</t>
        </is>
      </c>
      <c r="G1786" t="inlineStr">
        <is>
          <t>OLOFSTRÖM</t>
        </is>
      </c>
      <c r="I1786" t="n">
        <v>3.3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35464-2024</t>
        </is>
      </c>
      <c r="B1787" t="inlineStr">
        <is>
          <t>avverkningsanmälan</t>
        </is>
      </c>
      <c r="C1787" t="inlineStr">
        <is>
          <t>Föryngringsavverkning</t>
        </is>
      </c>
      <c r="D1787" s="1" t="n">
        <v>45531</v>
      </c>
      <c r="E1787" s="1" t="n">
        <v>46216</v>
      </c>
      <c r="F1787" t="inlineStr">
        <is>
          <t>BLEKINGE LÄN</t>
        </is>
      </c>
      <c r="G1787" t="inlineStr">
        <is>
          <t>KARLSKRONA</t>
        </is>
      </c>
      <c r="I1787" t="n">
        <v>7.8</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32351-2023</t>
        </is>
      </c>
      <c r="B1788" t="inlineStr">
        <is>
          <t>avverkningsanmälan</t>
        </is>
      </c>
      <c r="C1788" t="inlineStr">
        <is>
          <t>Föryngringsavverkning</t>
        </is>
      </c>
      <c r="D1788" s="1" t="n">
        <v>45120</v>
      </c>
      <c r="E1788" s="1" t="n">
        <v>46216</v>
      </c>
      <c r="F1788" t="inlineStr">
        <is>
          <t>BLEKINGE LÄN</t>
        </is>
      </c>
      <c r="G1788" t="inlineStr">
        <is>
          <t>OLOFSTRÖM</t>
        </is>
      </c>
      <c r="I1788" t="n">
        <v>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10980-2023</t>
        </is>
      </c>
      <c r="B1789" t="inlineStr">
        <is>
          <t>avverkningsanmälan</t>
        </is>
      </c>
      <c r="C1789" t="inlineStr">
        <is>
          <t>Föryngringsavverkning</t>
        </is>
      </c>
      <c r="D1789" s="1" t="n">
        <v>44991</v>
      </c>
      <c r="E1789" s="1" t="n">
        <v>46216</v>
      </c>
      <c r="F1789" t="inlineStr">
        <is>
          <t>BLEKINGE LÄN</t>
        </is>
      </c>
      <c r="G1789" t="inlineStr">
        <is>
          <t>KARLSKRONA</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10629-2022</t>
        </is>
      </c>
      <c r="B1790" t="inlineStr">
        <is>
          <t>avverkningsanmälan</t>
        </is>
      </c>
      <c r="C1790" t="inlineStr">
        <is>
          <t>Föryngringsavverkning</t>
        </is>
      </c>
      <c r="D1790" s="1" t="n">
        <v>44624</v>
      </c>
      <c r="E1790" s="1" t="n">
        <v>46216</v>
      </c>
      <c r="F1790" t="inlineStr">
        <is>
          <t>BLEKINGE LÄN</t>
        </is>
      </c>
      <c r="G1790" t="inlineStr">
        <is>
          <t>KARLSKRONA</t>
        </is>
      </c>
      <c r="I1790" t="n">
        <v>2.3</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2059-2023</t>
        </is>
      </c>
      <c r="B1791" t="inlineStr">
        <is>
          <t>avverkningsanmälan</t>
        </is>
      </c>
      <c r="C1791" t="inlineStr">
        <is>
          <t>Föryngringsavverkning</t>
        </is>
      </c>
      <c r="D1791" s="1" t="n">
        <v>44939</v>
      </c>
      <c r="E1791" s="1" t="n">
        <v>46216</v>
      </c>
      <c r="F1791" t="inlineStr">
        <is>
          <t>BLEKINGE LÄN</t>
        </is>
      </c>
      <c r="G1791" t="inlineStr">
        <is>
          <t>KARLSHAMN</t>
        </is>
      </c>
      <c r="I1791" t="n">
        <v>6.9</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2062-2023</t>
        </is>
      </c>
      <c r="B1792" t="inlineStr">
        <is>
          <t>avverkningsanmälan</t>
        </is>
      </c>
      <c r="C1792" t="inlineStr">
        <is>
          <t>Föryngringsavverkning</t>
        </is>
      </c>
      <c r="D1792" s="1" t="n">
        <v>44939</v>
      </c>
      <c r="E1792" s="1" t="n">
        <v>46216</v>
      </c>
      <c r="F1792" t="inlineStr">
        <is>
          <t>BLEKINGE LÄN</t>
        </is>
      </c>
      <c r="G1792" t="inlineStr">
        <is>
          <t>KARLSHAMN</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2065-2023</t>
        </is>
      </c>
      <c r="B1793" t="inlineStr">
        <is>
          <t>avverkningsanmälan</t>
        </is>
      </c>
      <c r="C1793" t="inlineStr">
        <is>
          <t>Föryngringsavverkning</t>
        </is>
      </c>
      <c r="D1793" s="1" t="n">
        <v>44939</v>
      </c>
      <c r="E1793" s="1" t="n">
        <v>46216</v>
      </c>
      <c r="F1793" t="inlineStr">
        <is>
          <t>BLEKINGE LÄN</t>
        </is>
      </c>
      <c r="G1793" t="inlineStr">
        <is>
          <t>KARLSHAMN</t>
        </is>
      </c>
      <c r="I1793" t="n">
        <v>2.3</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2093-2023</t>
        </is>
      </c>
      <c r="B1794" t="inlineStr">
        <is>
          <t>avverkningsanmälan</t>
        </is>
      </c>
      <c r="C1794" t="inlineStr">
        <is>
          <t>Föryngringsavverkning</t>
        </is>
      </c>
      <c r="D1794" s="1" t="n">
        <v>44939</v>
      </c>
      <c r="E1794" s="1" t="n">
        <v>46216</v>
      </c>
      <c r="F1794" t="inlineStr">
        <is>
          <t>BLEKINGE LÄN</t>
        </is>
      </c>
      <c r="G1794" t="inlineStr">
        <is>
          <t>KARLSKRONA</t>
        </is>
      </c>
      <c r="I1794" t="n">
        <v>1.5</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2094-2023</t>
        </is>
      </c>
      <c r="B1795" t="inlineStr">
        <is>
          <t>avverkningsanmälan</t>
        </is>
      </c>
      <c r="C1795" t="inlineStr">
        <is>
          <t>Föryngringsavverkning</t>
        </is>
      </c>
      <c r="D1795" s="1" t="n">
        <v>44939</v>
      </c>
      <c r="E1795" s="1" t="n">
        <v>46216</v>
      </c>
      <c r="F1795" t="inlineStr">
        <is>
          <t>BLEKINGE LÄN</t>
        </is>
      </c>
      <c r="G1795" t="inlineStr">
        <is>
          <t>KARLSKRONA</t>
        </is>
      </c>
      <c r="I1795" t="n">
        <v>1</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21709-2026</t>
        </is>
      </c>
      <c r="B1796" t="inlineStr">
        <is>
          <t>avverkningsanmälan</t>
        </is>
      </c>
      <c r="C1796" t="inlineStr">
        <is>
          <t>Föryngringsavverkning</t>
        </is>
      </c>
      <c r="D1796" s="1" t="n">
        <v>46149</v>
      </c>
      <c r="E1796" s="1" t="n">
        <v>46216</v>
      </c>
      <c r="F1796" t="inlineStr">
        <is>
          <t>BLEKINGE LÄN</t>
        </is>
      </c>
      <c r="G1796" t="inlineStr">
        <is>
          <t>RONNEBY</t>
        </is>
      </c>
      <c r="I1796" t="n">
        <v>0.6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14355-2024</t>
        </is>
      </c>
      <c r="B1797" t="inlineStr">
        <is>
          <t>avverkningsanmälan</t>
        </is>
      </c>
      <c r="C1797" t="inlineStr">
        <is>
          <t>Föryngringsavverkning</t>
        </is>
      </c>
      <c r="D1797" s="1" t="n">
        <v>45393</v>
      </c>
      <c r="E1797" s="1" t="n">
        <v>46216</v>
      </c>
      <c r="F1797" t="inlineStr">
        <is>
          <t>BLEKINGE LÄN</t>
        </is>
      </c>
      <c r="G1797" t="inlineStr">
        <is>
          <t>KARLSKRONA</t>
        </is>
      </c>
      <c r="I1797" t="n">
        <v>12.6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63981-2023</t>
        </is>
      </c>
      <c r="B1798" t="inlineStr">
        <is>
          <t>avverkningsanmälan</t>
        </is>
      </c>
      <c r="C1798" t="inlineStr">
        <is>
          <t>Föryngringsavverkning</t>
        </is>
      </c>
      <c r="D1798" s="1" t="n">
        <v>45278</v>
      </c>
      <c r="E1798" s="1" t="n">
        <v>46216</v>
      </c>
      <c r="F1798" t="inlineStr">
        <is>
          <t>BLEKINGE LÄN</t>
        </is>
      </c>
      <c r="G1798" t="inlineStr">
        <is>
          <t>KARLSKRONA</t>
        </is>
      </c>
      <c r="I1798" t="n">
        <v>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34457-2023</t>
        </is>
      </c>
      <c r="B1799" t="inlineStr">
        <is>
          <t>avverkningsanmälan</t>
        </is>
      </c>
      <c r="C1799" t="inlineStr">
        <is>
          <t>Föryngringsavverkning</t>
        </is>
      </c>
      <c r="D1799" s="1" t="n">
        <v>45139</v>
      </c>
      <c r="E1799" s="1" t="n">
        <v>46216</v>
      </c>
      <c r="F1799" t="inlineStr">
        <is>
          <t>BLEKINGE LÄN</t>
        </is>
      </c>
      <c r="G1799" t="inlineStr">
        <is>
          <t>RONNEBY</t>
        </is>
      </c>
      <c r="I1799" t="n">
        <v>1.5</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41217-2023</t>
        </is>
      </c>
      <c r="B1800" t="inlineStr">
        <is>
          <t>avverkningsanmälan</t>
        </is>
      </c>
      <c r="C1800" t="inlineStr">
        <is>
          <t>Föryngringsavverkning</t>
        </is>
      </c>
      <c r="D1800" s="1" t="n">
        <v>45169</v>
      </c>
      <c r="E1800" s="1" t="n">
        <v>46216</v>
      </c>
      <c r="F1800" t="inlineStr">
        <is>
          <t>BLEKINGE LÄN</t>
        </is>
      </c>
      <c r="G1800" t="inlineStr">
        <is>
          <t>RONNEBY</t>
        </is>
      </c>
      <c r="I1800" t="n">
        <v>9.9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21586-2026</t>
        </is>
      </c>
      <c r="B1801" t="inlineStr">
        <is>
          <t>avverkningsanmälan</t>
        </is>
      </c>
      <c r="C1801" t="inlineStr">
        <is>
          <t>Föryngringsavverkning</t>
        </is>
      </c>
      <c r="D1801" s="1" t="n">
        <v>46149</v>
      </c>
      <c r="E1801" s="1" t="n">
        <v>46216</v>
      </c>
      <c r="F1801" t="inlineStr">
        <is>
          <t>BLEKINGE LÄN</t>
        </is>
      </c>
      <c r="G1801" t="inlineStr">
        <is>
          <t>KARLSHAMN</t>
        </is>
      </c>
      <c r="I1801" t="n">
        <v>3.2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47992-2023</t>
        </is>
      </c>
      <c r="B1802" t="inlineStr">
        <is>
          <t>avverkningsanmälan</t>
        </is>
      </c>
      <c r="C1802" t="inlineStr">
        <is>
          <t>Föryngringsavverkning</t>
        </is>
      </c>
      <c r="D1802" s="1" t="n">
        <v>45204</v>
      </c>
      <c r="E1802" s="1" t="n">
        <v>46216</v>
      </c>
      <c r="F1802" t="inlineStr">
        <is>
          <t>BLEKINGE LÄN</t>
        </is>
      </c>
      <c r="G1802" t="inlineStr">
        <is>
          <t>KARLSKRONA</t>
        </is>
      </c>
      <c r="I1802" t="n">
        <v>0.7</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30302-2022</t>
        </is>
      </c>
      <c r="B1803" t="inlineStr">
        <is>
          <t>avverkningsanmälan</t>
        </is>
      </c>
      <c r="C1803" t="inlineStr">
        <is>
          <t>Föryngringsavverkning</t>
        </is>
      </c>
      <c r="D1803" s="1" t="n">
        <v>44760</v>
      </c>
      <c r="E1803" s="1" t="n">
        <v>46216</v>
      </c>
      <c r="F1803" t="inlineStr">
        <is>
          <t>BLEKINGE LÄN</t>
        </is>
      </c>
      <c r="G1803" t="inlineStr">
        <is>
          <t>KARLSHAMN</t>
        </is>
      </c>
      <c r="I1803" t="n">
        <v>4.6</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21678-2026</t>
        </is>
      </c>
      <c r="B1804" t="inlineStr">
        <is>
          <t>avverkningsanmälan</t>
        </is>
      </c>
      <c r="C1804" t="inlineStr">
        <is>
          <t>Föryngringsavverkning</t>
        </is>
      </c>
      <c r="D1804" s="1" t="n">
        <v>46149</v>
      </c>
      <c r="E1804" s="1" t="n">
        <v>46216</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21464-2026</t>
        </is>
      </c>
      <c r="B1805" t="inlineStr">
        <is>
          <t>avverkningsanmälan</t>
        </is>
      </c>
      <c r="C1805" t="inlineStr">
        <is>
          <t>Föryngringsavverkning</t>
        </is>
      </c>
      <c r="D1805" s="1" t="n">
        <v>46148</v>
      </c>
      <c r="E1805" s="1" t="n">
        <v>46216</v>
      </c>
      <c r="F1805" t="inlineStr">
        <is>
          <t>BLEKINGE LÄN</t>
        </is>
      </c>
      <c r="G1805" t="inlineStr">
        <is>
          <t>KARLSKRONA</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31758-2023</t>
        </is>
      </c>
      <c r="B1806" t="inlineStr">
        <is>
          <t>avverkningsanmälan</t>
        </is>
      </c>
      <c r="C1806" t="inlineStr">
        <is>
          <t>Föryngringsavverkning</t>
        </is>
      </c>
      <c r="D1806" s="1" t="n">
        <v>45118</v>
      </c>
      <c r="E1806" s="1" t="n">
        <v>46216</v>
      </c>
      <c r="F1806" t="inlineStr">
        <is>
          <t>BLEKINGE LÄN</t>
        </is>
      </c>
      <c r="G1806" t="inlineStr">
        <is>
          <t>RONNEBY</t>
        </is>
      </c>
      <c r="I1806" t="n">
        <v>4</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6199-2025</t>
        </is>
      </c>
      <c r="B1807" t="inlineStr">
        <is>
          <t>avverkningsanmälan</t>
        </is>
      </c>
      <c r="C1807" t="inlineStr">
        <is>
          <t>Föryngringsavverkning</t>
        </is>
      </c>
      <c r="D1807" s="1" t="n">
        <v>45698</v>
      </c>
      <c r="E1807" s="1" t="n">
        <v>46216</v>
      </c>
      <c r="F1807" t="inlineStr">
        <is>
          <t>BLEKINGE LÄN</t>
        </is>
      </c>
      <c r="G1807" t="inlineStr">
        <is>
          <t>KARLSKRONA</t>
        </is>
      </c>
      <c r="I1807" t="n">
        <v>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42167-2023</t>
        </is>
      </c>
      <c r="B1808" t="inlineStr">
        <is>
          <t>avverkningsanmälan</t>
        </is>
      </c>
      <c r="C1808" t="inlineStr">
        <is>
          <t>Föryngringsavverkning</t>
        </is>
      </c>
      <c r="D1808" s="1" t="n">
        <v>45178</v>
      </c>
      <c r="E1808" s="1" t="n">
        <v>46216</v>
      </c>
      <c r="F1808" t="inlineStr">
        <is>
          <t>BLEKINGE LÄN</t>
        </is>
      </c>
      <c r="G1808" t="inlineStr">
        <is>
          <t>RONNEBY</t>
        </is>
      </c>
      <c r="I1808" t="n">
        <v>2.3</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42174-2023</t>
        </is>
      </c>
      <c r="B1809" t="inlineStr">
        <is>
          <t>avverkningsanmälan</t>
        </is>
      </c>
      <c r="C1809" t="inlineStr">
        <is>
          <t>Föryngringsavverkning</t>
        </is>
      </c>
      <c r="D1809" s="1" t="n">
        <v>45178</v>
      </c>
      <c r="E1809" s="1" t="n">
        <v>46216</v>
      </c>
      <c r="F1809" t="inlineStr">
        <is>
          <t>BLEKINGE LÄN</t>
        </is>
      </c>
      <c r="G1809" t="inlineStr">
        <is>
          <t>KARLSKRONA</t>
        </is>
      </c>
      <c r="I1809" t="n">
        <v>4.6</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3328-2022</t>
        </is>
      </c>
      <c r="B1810" t="inlineStr">
        <is>
          <t>avverkningsanmälan</t>
        </is>
      </c>
      <c r="C1810" t="inlineStr">
        <is>
          <t>Föryngringsavverkning</t>
        </is>
      </c>
      <c r="D1810" s="1" t="n">
        <v>44585</v>
      </c>
      <c r="E1810" s="1" t="n">
        <v>46216</v>
      </c>
      <c r="F1810" t="inlineStr">
        <is>
          <t>BLEKINGE LÄN</t>
        </is>
      </c>
      <c r="G1810" t="inlineStr">
        <is>
          <t>KARLSKRONA</t>
        </is>
      </c>
      <c r="I1810" t="n">
        <v>0.9</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45689-2023</t>
        </is>
      </c>
      <c r="B1811" t="inlineStr">
        <is>
          <t>avverkningsanmälan</t>
        </is>
      </c>
      <c r="C1811" t="inlineStr">
        <is>
          <t>Föryngringsavverkning</t>
        </is>
      </c>
      <c r="D1811" s="1" t="n">
        <v>45195</v>
      </c>
      <c r="E1811" s="1" t="n">
        <v>46216</v>
      </c>
      <c r="F1811" t="inlineStr">
        <is>
          <t>BLEKINGE LÄN</t>
        </is>
      </c>
      <c r="G1811" t="inlineStr">
        <is>
          <t>OLOFSTRÖM</t>
        </is>
      </c>
      <c r="I1811" t="n">
        <v>3.4</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21148-2023</t>
        </is>
      </c>
      <c r="B1812" t="inlineStr">
        <is>
          <t>avverkningsanmälan</t>
        </is>
      </c>
      <c r="C1812" t="inlineStr">
        <is>
          <t>Föryngringsavverkning</t>
        </is>
      </c>
      <c r="D1812" s="1" t="n">
        <v>45062</v>
      </c>
      <c r="E1812" s="1" t="n">
        <v>46216</v>
      </c>
      <c r="F1812" t="inlineStr">
        <is>
          <t>BLEKINGE LÄN</t>
        </is>
      </c>
      <c r="G1812" t="inlineStr">
        <is>
          <t>KARLSKRONA</t>
        </is>
      </c>
      <c r="I1812" t="n">
        <v>1.8</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21203-2023</t>
        </is>
      </c>
      <c r="B1813" t="inlineStr">
        <is>
          <t>avverkningsanmälan</t>
        </is>
      </c>
      <c r="C1813" t="inlineStr">
        <is>
          <t>Föryngringsavverkning</t>
        </is>
      </c>
      <c r="D1813" s="1" t="n">
        <v>45062</v>
      </c>
      <c r="E1813" s="1" t="n">
        <v>46216</v>
      </c>
      <c r="F1813" t="inlineStr">
        <is>
          <t>BLEKINGE LÄN</t>
        </is>
      </c>
      <c r="G1813" t="inlineStr">
        <is>
          <t>RONNEBY</t>
        </is>
      </c>
      <c r="H1813" t="inlineStr">
        <is>
          <t>Kommuner</t>
        </is>
      </c>
      <c r="I1813" t="n">
        <v>3.5</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58040-2022</t>
        </is>
      </c>
      <c r="B1814" t="inlineStr">
        <is>
          <t>avverkningsanmälan</t>
        </is>
      </c>
      <c r="C1814" t="inlineStr">
        <is>
          <t>Föryngringsavverkning</t>
        </is>
      </c>
      <c r="D1814" s="1" t="n">
        <v>44893</v>
      </c>
      <c r="E1814" s="1" t="n">
        <v>46216</v>
      </c>
      <c r="F1814" t="inlineStr">
        <is>
          <t>BLEKINGE LÄN</t>
        </is>
      </c>
      <c r="G1814" t="inlineStr">
        <is>
          <t>KARLSKRONA</t>
        </is>
      </c>
      <c r="I1814" t="n">
        <v>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21816-2026</t>
        </is>
      </c>
      <c r="B1815" t="inlineStr">
        <is>
          <t>avverkningsanmälan</t>
        </is>
      </c>
      <c r="C1815" t="inlineStr">
        <is>
          <t>Föryngringsavverkning</t>
        </is>
      </c>
      <c r="D1815" s="1" t="n">
        <v>46150</v>
      </c>
      <c r="E1815" s="1" t="n">
        <v>46216</v>
      </c>
      <c r="F1815" t="inlineStr">
        <is>
          <t>BLEKINGE LÄN</t>
        </is>
      </c>
      <c r="G1815" t="inlineStr">
        <is>
          <t>KARLSKRONA</t>
        </is>
      </c>
      <c r="I1815" t="n">
        <v>0.5</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46884-2023</t>
        </is>
      </c>
      <c r="B1816" t="inlineStr">
        <is>
          <t>avverkningsanmälan</t>
        </is>
      </c>
      <c r="C1816" t="inlineStr">
        <is>
          <t>Föryngringsavverkning</t>
        </is>
      </c>
      <c r="D1816" s="1" t="n">
        <v>45201</v>
      </c>
      <c r="E1816" s="1" t="n">
        <v>46216</v>
      </c>
      <c r="F1816" t="inlineStr">
        <is>
          <t>BLEKINGE LÄN</t>
        </is>
      </c>
      <c r="G1816" t="inlineStr">
        <is>
          <t>RONNEBY</t>
        </is>
      </c>
      <c r="I1816" t="n">
        <v>1.3</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46900-2023</t>
        </is>
      </c>
      <c r="B1817" t="inlineStr">
        <is>
          <t>avverkningsanmälan</t>
        </is>
      </c>
      <c r="C1817" t="inlineStr">
        <is>
          <t>Föryngringsavverkning</t>
        </is>
      </c>
      <c r="D1817" s="1" t="n">
        <v>45195</v>
      </c>
      <c r="E1817" s="1" t="n">
        <v>46216</v>
      </c>
      <c r="F1817" t="inlineStr">
        <is>
          <t>BLEKINGE LÄN</t>
        </is>
      </c>
      <c r="G1817" t="inlineStr">
        <is>
          <t>RONNEBY</t>
        </is>
      </c>
      <c r="I1817" t="n">
        <v>2.1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14496-2024</t>
        </is>
      </c>
      <c r="B1818" t="inlineStr">
        <is>
          <t>avverkningsanmälan</t>
        </is>
      </c>
      <c r="C1818" t="inlineStr">
        <is>
          <t>Föryngringsavverkning</t>
        </is>
      </c>
      <c r="D1818" s="1" t="n">
        <v>45394</v>
      </c>
      <c r="E1818" s="1" t="n">
        <v>46216</v>
      </c>
      <c r="F1818" t="inlineStr">
        <is>
          <t>BLEKINGE LÄN</t>
        </is>
      </c>
      <c r="G1818" t="inlineStr">
        <is>
          <t>KARLSKRONA</t>
        </is>
      </c>
      <c r="I1818" t="n">
        <v>0.6</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16077-2023</t>
        </is>
      </c>
      <c r="B1819" t="inlineStr">
        <is>
          <t>avverkningsanmälan</t>
        </is>
      </c>
      <c r="C1819" t="inlineStr">
        <is>
          <t>Föryngringsavverkning</t>
        </is>
      </c>
      <c r="D1819" s="1" t="n">
        <v>45027</v>
      </c>
      <c r="E1819" s="1" t="n">
        <v>46216</v>
      </c>
      <c r="F1819" t="inlineStr">
        <is>
          <t>BLEKINGE LÄN</t>
        </is>
      </c>
      <c r="G1819" t="inlineStr">
        <is>
          <t>RONNEBY</t>
        </is>
      </c>
      <c r="I1819" t="n">
        <v>0.9</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28082-2026</t>
        </is>
      </c>
      <c r="B1820" t="inlineStr">
        <is>
          <t>avverkningsanmälan</t>
        </is>
      </c>
      <c r="C1820" t="inlineStr">
        <is>
          <t>Föryngringsavverkning</t>
        </is>
      </c>
      <c r="D1820" s="1" t="n">
        <v>46195</v>
      </c>
      <c r="E1820" s="1" t="n">
        <v>46216</v>
      </c>
      <c r="F1820" t="inlineStr">
        <is>
          <t>BLEKINGE LÄN</t>
        </is>
      </c>
      <c r="G1820" t="inlineStr">
        <is>
          <t>SÖLVESBORG</t>
        </is>
      </c>
      <c r="I1820" t="n">
        <v>1.5</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7129-2024</t>
        </is>
      </c>
      <c r="B1821" t="inlineStr">
        <is>
          <t>avverkningsanmälan</t>
        </is>
      </c>
      <c r="C1821" t="inlineStr">
        <is>
          <t>Föryngringsavverkning</t>
        </is>
      </c>
      <c r="D1821" s="1" t="n">
        <v>45344</v>
      </c>
      <c r="E1821" s="1" t="n">
        <v>46216</v>
      </c>
      <c r="F1821" t="inlineStr">
        <is>
          <t>BLEKINGE LÄN</t>
        </is>
      </c>
      <c r="G1821" t="inlineStr">
        <is>
          <t>KARLSKRONA</t>
        </is>
      </c>
      <c r="I1821" t="n">
        <v>0.6</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50921-2024</t>
        </is>
      </c>
      <c r="B1822" t="inlineStr">
        <is>
          <t>avverkningsanmälan</t>
        </is>
      </c>
      <c r="C1822" t="inlineStr">
        <is>
          <t>Föryngringsavverkning</t>
        </is>
      </c>
      <c r="D1822" s="1" t="n">
        <v>45602</v>
      </c>
      <c r="E1822" s="1" t="n">
        <v>46216</v>
      </c>
      <c r="F1822" t="inlineStr">
        <is>
          <t>BLEKINGE LÄN</t>
        </is>
      </c>
      <c r="G1822" t="inlineStr">
        <is>
          <t>RONNEBY</t>
        </is>
      </c>
      <c r="I1822" t="n">
        <v>1.1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4012-2023</t>
        </is>
      </c>
      <c r="B1823" t="inlineStr">
        <is>
          <t>avverkningsanmälan</t>
        </is>
      </c>
      <c r="C1823" t="inlineStr">
        <is>
          <t>Föryngringsavverkning</t>
        </is>
      </c>
      <c r="D1823" s="1" t="n">
        <v>44952</v>
      </c>
      <c r="E1823" s="1" t="n">
        <v>46216</v>
      </c>
      <c r="F1823" t="inlineStr">
        <is>
          <t>BLEKINGE LÄN</t>
        </is>
      </c>
      <c r="G1823" t="inlineStr">
        <is>
          <t>KARLSHAMN</t>
        </is>
      </c>
      <c r="I1823" t="n">
        <v>4.2</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40074-2022</t>
        </is>
      </c>
      <c r="B1824" t="inlineStr">
        <is>
          <t>avverkningsanmälan</t>
        </is>
      </c>
      <c r="C1824" t="inlineStr">
        <is>
          <t>Föryngringsavverkning</t>
        </is>
      </c>
      <c r="D1824" s="1" t="n">
        <v>44820</v>
      </c>
      <c r="E1824" s="1" t="n">
        <v>46216</v>
      </c>
      <c r="F1824" t="inlineStr">
        <is>
          <t>BLEKINGE LÄN</t>
        </is>
      </c>
      <c r="G1824" t="inlineStr">
        <is>
          <t>KARLSKRONA</t>
        </is>
      </c>
      <c r="I1824" t="n">
        <v>4.4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12848-2022</t>
        </is>
      </c>
      <c r="B1825" t="inlineStr">
        <is>
          <t>avverkningsanmälan</t>
        </is>
      </c>
      <c r="C1825" t="inlineStr">
        <is>
          <t>Föryngringsavverkning</t>
        </is>
      </c>
      <c r="D1825" s="1" t="n">
        <v>44642</v>
      </c>
      <c r="E1825" s="1" t="n">
        <v>46216</v>
      </c>
      <c r="F1825" t="inlineStr">
        <is>
          <t>BLEKINGE LÄN</t>
        </is>
      </c>
      <c r="G1825" t="inlineStr">
        <is>
          <t>SÖLVESBORG</t>
        </is>
      </c>
      <c r="I1825" t="n">
        <v>3.1</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12414-2024</t>
        </is>
      </c>
      <c r="B1826" t="inlineStr">
        <is>
          <t>avverkningsanmälan</t>
        </is>
      </c>
      <c r="C1826" t="inlineStr">
        <is>
          <t>Föryngringsavverkning</t>
        </is>
      </c>
      <c r="D1826" s="1" t="n">
        <v>45378</v>
      </c>
      <c r="E1826" s="1" t="n">
        <v>46216</v>
      </c>
      <c r="F1826" t="inlineStr">
        <is>
          <t>BLEKINGE LÄN</t>
        </is>
      </c>
      <c r="G1826" t="inlineStr">
        <is>
          <t>RONNEBY</t>
        </is>
      </c>
      <c r="I1826" t="n">
        <v>5.1</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2169-2025</t>
        </is>
      </c>
      <c r="B1827" t="inlineStr">
        <is>
          <t>avverkningsanmälan</t>
        </is>
      </c>
      <c r="C1827" t="inlineStr">
        <is>
          <t>Föryngringsavverkning</t>
        </is>
      </c>
      <c r="D1827" s="1" t="n">
        <v>45673</v>
      </c>
      <c r="E1827" s="1" t="n">
        <v>46216</v>
      </c>
      <c r="F1827" t="inlineStr">
        <is>
          <t>BLEKINGE LÄN</t>
        </is>
      </c>
      <c r="G1827" t="inlineStr">
        <is>
          <t>KARLSKRONA</t>
        </is>
      </c>
      <c r="I1827" t="n">
        <v>1.7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20594-2024</t>
        </is>
      </c>
      <c r="B1828" t="inlineStr">
        <is>
          <t>avverkningsanmälan</t>
        </is>
      </c>
      <c r="C1828" t="inlineStr">
        <is>
          <t>Föryngringsavverkning</t>
        </is>
      </c>
      <c r="D1828" s="1" t="n">
        <v>45436</v>
      </c>
      <c r="E1828" s="1" t="n">
        <v>46216</v>
      </c>
      <c r="F1828" t="inlineStr">
        <is>
          <t>BLEKINGE LÄN</t>
        </is>
      </c>
      <c r="G1828" t="inlineStr">
        <is>
          <t>RONNEBY</t>
        </is>
      </c>
      <c r="I1828" t="n">
        <v>2.1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2096-2024</t>
        </is>
      </c>
      <c r="B1829" t="inlineStr">
        <is>
          <t>avverkningsanmälan</t>
        </is>
      </c>
      <c r="C1829" t="inlineStr">
        <is>
          <t>Föryngringsavverkning</t>
        </is>
      </c>
      <c r="D1829" s="1" t="n">
        <v>45309</v>
      </c>
      <c r="E1829" s="1" t="n">
        <v>46216</v>
      </c>
      <c r="F1829" t="inlineStr">
        <is>
          <t>BLEKINGE LÄN</t>
        </is>
      </c>
      <c r="G1829" t="inlineStr">
        <is>
          <t>KARLSKRONA</t>
        </is>
      </c>
      <c r="I1829" t="n">
        <v>3.4</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8003-2024</t>
        </is>
      </c>
      <c r="B1830" t="inlineStr">
        <is>
          <t>avverkningsanmälan</t>
        </is>
      </c>
      <c r="C1830" t="inlineStr">
        <is>
          <t>Föryngringsavverkning</t>
        </is>
      </c>
      <c r="D1830" s="1" t="n">
        <v>45350</v>
      </c>
      <c r="E1830" s="1" t="n">
        <v>46216</v>
      </c>
      <c r="F1830" t="inlineStr">
        <is>
          <t>BLEKINGE LÄN</t>
        </is>
      </c>
      <c r="G1830" t="inlineStr">
        <is>
          <t>RONNEBY</t>
        </is>
      </c>
      <c r="I1830" t="n">
        <v>1.4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8004-2024</t>
        </is>
      </c>
      <c r="B1831" t="inlineStr">
        <is>
          <t>avverkningsanmälan</t>
        </is>
      </c>
      <c r="C1831" t="inlineStr">
        <is>
          <t>Föryngringsavverkning</t>
        </is>
      </c>
      <c r="D1831" s="1" t="n">
        <v>45350</v>
      </c>
      <c r="E1831" s="1" t="n">
        <v>46216</v>
      </c>
      <c r="F1831" t="inlineStr">
        <is>
          <t>BLEKINGE LÄN</t>
        </is>
      </c>
      <c r="G1831" t="inlineStr">
        <is>
          <t>RONNEBY</t>
        </is>
      </c>
      <c r="I1831" t="n">
        <v>5</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1430-2024</t>
        </is>
      </c>
      <c r="B1832" t="inlineStr">
        <is>
          <t>avverkningsanmälan</t>
        </is>
      </c>
      <c r="C1832" t="inlineStr">
        <is>
          <t>Föryngringsavverkning</t>
        </is>
      </c>
      <c r="D1832" s="1" t="n">
        <v>45303</v>
      </c>
      <c r="E1832" s="1" t="n">
        <v>46216</v>
      </c>
      <c r="F1832" t="inlineStr">
        <is>
          <t>BLEKINGE LÄN</t>
        </is>
      </c>
      <c r="G1832" t="inlineStr">
        <is>
          <t>RONNEBY</t>
        </is>
      </c>
      <c r="I1832" t="n">
        <v>0.6</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1434-2024</t>
        </is>
      </c>
      <c r="B1833" t="inlineStr">
        <is>
          <t>avverkningsanmälan</t>
        </is>
      </c>
      <c r="C1833" t="inlineStr">
        <is>
          <t>Föryngringsavverkning</t>
        </is>
      </c>
      <c r="D1833" s="1" t="n">
        <v>45303</v>
      </c>
      <c r="E1833" s="1" t="n">
        <v>46216</v>
      </c>
      <c r="F1833" t="inlineStr">
        <is>
          <t>BLEKINGE LÄN</t>
        </is>
      </c>
      <c r="G1833" t="inlineStr">
        <is>
          <t>RONNEBY</t>
        </is>
      </c>
      <c r="I1833" t="n">
        <v>2.4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34952-2023</t>
        </is>
      </c>
      <c r="B1834" t="inlineStr">
        <is>
          <t>avverkningsanmälan</t>
        </is>
      </c>
      <c r="C1834" t="inlineStr">
        <is>
          <t>Föryngringsavverkning</t>
        </is>
      </c>
      <c r="D1834" s="1" t="n">
        <v>45142</v>
      </c>
      <c r="E1834" s="1" t="n">
        <v>46216</v>
      </c>
      <c r="F1834" t="inlineStr">
        <is>
          <t>BLEKINGE LÄN</t>
        </is>
      </c>
      <c r="G1834" t="inlineStr">
        <is>
          <t>KARLSKRONA</t>
        </is>
      </c>
      <c r="I1834" t="n">
        <v>0.5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35625-2023</t>
        </is>
      </c>
      <c r="B1835" t="inlineStr">
        <is>
          <t>avverkningsanmälan</t>
        </is>
      </c>
      <c r="C1835" t="inlineStr">
        <is>
          <t>Föryngringsavverkning</t>
        </is>
      </c>
      <c r="D1835" s="1" t="n">
        <v>45147</v>
      </c>
      <c r="E1835" s="1" t="n">
        <v>46216</v>
      </c>
      <c r="F1835" t="inlineStr">
        <is>
          <t>BLEKINGE LÄN</t>
        </is>
      </c>
      <c r="G1835" t="inlineStr">
        <is>
          <t>KARLSHAMN</t>
        </is>
      </c>
      <c r="I1835" t="n">
        <v>1.4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28040-2026</t>
        </is>
      </c>
      <c r="B1836" t="inlineStr">
        <is>
          <t>avverkningsanmälan</t>
        </is>
      </c>
      <c r="C1836" t="inlineStr">
        <is>
          <t>Föryngringsavverkning</t>
        </is>
      </c>
      <c r="D1836" s="1" t="n">
        <v>46195</v>
      </c>
      <c r="E1836" s="1" t="n">
        <v>46216</v>
      </c>
      <c r="F1836" t="inlineStr">
        <is>
          <t>BLEKINGE LÄN</t>
        </is>
      </c>
      <c r="G1836" t="inlineStr">
        <is>
          <t>RONNEBY</t>
        </is>
      </c>
      <c r="I1836" t="n">
        <v>1.2</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21030-2024</t>
        </is>
      </c>
      <c r="B1837" t="inlineStr">
        <is>
          <t>avverkningsanmälan</t>
        </is>
      </c>
      <c r="C1837" t="inlineStr">
        <is>
          <t>Föryngringsavverkning</t>
        </is>
      </c>
      <c r="D1837" s="1" t="n">
        <v>45439</v>
      </c>
      <c r="E1837" s="1" t="n">
        <v>46216</v>
      </c>
      <c r="F1837" t="inlineStr">
        <is>
          <t>BLEKINGE LÄN</t>
        </is>
      </c>
      <c r="G1837" t="inlineStr">
        <is>
          <t>KARLSHAMN</t>
        </is>
      </c>
      <c r="I1837" t="n">
        <v>2.3</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46591-2023</t>
        </is>
      </c>
      <c r="B1838" t="inlineStr">
        <is>
          <t>avverkningsanmälan</t>
        </is>
      </c>
      <c r="C1838" t="inlineStr">
        <is>
          <t>Föryngringsavverkning</t>
        </is>
      </c>
      <c r="D1838" s="1" t="n">
        <v>45194</v>
      </c>
      <c r="E1838" s="1" t="n">
        <v>46216</v>
      </c>
      <c r="F1838" t="inlineStr">
        <is>
          <t>BLEKINGE LÄN</t>
        </is>
      </c>
      <c r="G1838" t="inlineStr">
        <is>
          <t>OLOFSTRÖM</t>
        </is>
      </c>
      <c r="I1838" t="n">
        <v>1.9</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63384-2023</t>
        </is>
      </c>
      <c r="B1839" t="inlineStr">
        <is>
          <t>avverkningsanmälan</t>
        </is>
      </c>
      <c r="C1839" t="inlineStr">
        <is>
          <t>Föryngringsavverkning</t>
        </is>
      </c>
      <c r="D1839" s="1" t="n">
        <v>45274</v>
      </c>
      <c r="E1839" s="1" t="n">
        <v>46216</v>
      </c>
      <c r="F1839" t="inlineStr">
        <is>
          <t>BLEKINGE LÄN</t>
        </is>
      </c>
      <c r="G1839" t="inlineStr">
        <is>
          <t>OLOFSTRÖM</t>
        </is>
      </c>
      <c r="I1839" t="n">
        <v>0.4</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63410-2023</t>
        </is>
      </c>
      <c r="B1840" t="inlineStr">
        <is>
          <t>avverkningsanmälan</t>
        </is>
      </c>
      <c r="C1840" t="inlineStr">
        <is>
          <t>Föryngringsavverkning</t>
        </is>
      </c>
      <c r="D1840" s="1" t="n">
        <v>45274</v>
      </c>
      <c r="E1840" s="1" t="n">
        <v>46216</v>
      </c>
      <c r="F1840" t="inlineStr">
        <is>
          <t>BLEKINGE LÄN</t>
        </is>
      </c>
      <c r="G1840" t="inlineStr">
        <is>
          <t>OLOFSTRÖM</t>
        </is>
      </c>
      <c r="I1840" t="n">
        <v>0.7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21803-2026</t>
        </is>
      </c>
      <c r="B1841" t="inlineStr">
        <is>
          <t>avverkningsanmälan</t>
        </is>
      </c>
      <c r="C1841" t="inlineStr">
        <is>
          <t>Föryngringsavverkning</t>
        </is>
      </c>
      <c r="D1841" s="1" t="n">
        <v>46150</v>
      </c>
      <c r="E1841" s="1" t="n">
        <v>46216</v>
      </c>
      <c r="F1841" t="inlineStr">
        <is>
          <t>BLEKINGE LÄN</t>
        </is>
      </c>
      <c r="G1841" t="inlineStr">
        <is>
          <t>KARLSKRONA</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44628-2022</t>
        </is>
      </c>
      <c r="B1842" t="inlineStr">
        <is>
          <t>avverkningsanmälan</t>
        </is>
      </c>
      <c r="C1842" t="inlineStr">
        <is>
          <t>Föryngringsavverkning</t>
        </is>
      </c>
      <c r="D1842" s="1" t="n">
        <v>44840</v>
      </c>
      <c r="E1842" s="1" t="n">
        <v>46216</v>
      </c>
      <c r="F1842" t="inlineStr">
        <is>
          <t>BLEKINGE LÄN</t>
        </is>
      </c>
      <c r="G1842" t="inlineStr">
        <is>
          <t>KARLSKRONA</t>
        </is>
      </c>
      <c r="I1842" t="n">
        <v>1.4</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21808-2026</t>
        </is>
      </c>
      <c r="B1843" t="inlineStr">
        <is>
          <t>avverkningsanmälan</t>
        </is>
      </c>
      <c r="C1843" t="inlineStr">
        <is>
          <t>Föryngringsavverkning</t>
        </is>
      </c>
      <c r="D1843" s="1" t="n">
        <v>46150</v>
      </c>
      <c r="E1843" s="1" t="n">
        <v>46216</v>
      </c>
      <c r="F1843" t="inlineStr">
        <is>
          <t>BLEKINGE LÄN</t>
        </is>
      </c>
      <c r="G1843" t="inlineStr">
        <is>
          <t>KARLSKRONA</t>
        </is>
      </c>
      <c r="I1843" t="n">
        <v>1.2</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21811-2026</t>
        </is>
      </c>
      <c r="B1844" t="inlineStr">
        <is>
          <t>avverkningsanmälan</t>
        </is>
      </c>
      <c r="C1844" t="inlineStr">
        <is>
          <t>Föryngringsavverkning</t>
        </is>
      </c>
      <c r="D1844" s="1" t="n">
        <v>46150</v>
      </c>
      <c r="E1844" s="1" t="n">
        <v>46216</v>
      </c>
      <c r="F1844" t="inlineStr">
        <is>
          <t>BLEKINGE LÄN</t>
        </is>
      </c>
      <c r="G1844" t="inlineStr">
        <is>
          <t>KARLSKRONA</t>
        </is>
      </c>
      <c r="I1844" t="n">
        <v>5</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45483-2024</t>
        </is>
      </c>
      <c r="B1845" t="inlineStr">
        <is>
          <t>avverkningsanmälan</t>
        </is>
      </c>
      <c r="C1845" t="inlineStr">
        <is>
          <t>Föryngringsavverkning</t>
        </is>
      </c>
      <c r="D1845" s="1" t="n">
        <v>45577</v>
      </c>
      <c r="E1845" s="1" t="n">
        <v>46216</v>
      </c>
      <c r="F1845" t="inlineStr">
        <is>
          <t>BLEKINGE LÄN</t>
        </is>
      </c>
      <c r="G1845" t="inlineStr">
        <is>
          <t>KARLSKRONA</t>
        </is>
      </c>
      <c r="I1845" t="n">
        <v>8.4</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27024-2023</t>
        </is>
      </c>
      <c r="B1846" t="inlineStr">
        <is>
          <t>avverkningsanmälan</t>
        </is>
      </c>
      <c r="C1846" t="inlineStr">
        <is>
          <t>Föryngringsavverkning</t>
        </is>
      </c>
      <c r="D1846" s="1" t="n">
        <v>45094</v>
      </c>
      <c r="E1846" s="1" t="n">
        <v>46216</v>
      </c>
      <c r="F1846" t="inlineStr">
        <is>
          <t>BLEKINGE LÄN</t>
        </is>
      </c>
      <c r="G1846" t="inlineStr">
        <is>
          <t>KARLSKRONA</t>
        </is>
      </c>
      <c r="I1846" t="n">
        <v>1.3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48739-2023</t>
        </is>
      </c>
      <c r="B1847" t="inlineStr">
        <is>
          <t>avverkningsanmälan</t>
        </is>
      </c>
      <c r="C1847" t="inlineStr">
        <is>
          <t>Föryngringsavverkning</t>
        </is>
      </c>
      <c r="D1847" s="1" t="n">
        <v>45208</v>
      </c>
      <c r="E1847" s="1" t="n">
        <v>46216</v>
      </c>
      <c r="F1847" t="inlineStr">
        <is>
          <t>BLEKINGE LÄN</t>
        </is>
      </c>
      <c r="G1847" t="inlineStr">
        <is>
          <t>KARLSKRONA</t>
        </is>
      </c>
      <c r="I1847" t="n">
        <v>3.2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14177-2024</t>
        </is>
      </c>
      <c r="B1848" t="inlineStr">
        <is>
          <t>avverkningsanmälan</t>
        </is>
      </c>
      <c r="C1848" t="inlineStr">
        <is>
          <t>Föryngringsavverkning</t>
        </is>
      </c>
      <c r="D1848" s="1" t="n">
        <v>45393</v>
      </c>
      <c r="E1848" s="1" t="n">
        <v>46216</v>
      </c>
      <c r="F1848" t="inlineStr">
        <is>
          <t>BLEKINGE LÄN</t>
        </is>
      </c>
      <c r="G1848" t="inlineStr">
        <is>
          <t>KARLSKRONA</t>
        </is>
      </c>
      <c r="I1848" t="n">
        <v>2.1</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55617-2025</t>
        </is>
      </c>
      <c r="B1849" t="inlineStr">
        <is>
          <t>avverkningsanmälan</t>
        </is>
      </c>
      <c r="C1849" t="inlineStr">
        <is>
          <t>Föryngringsavverkning</t>
        </is>
      </c>
      <c r="D1849" s="1" t="n">
        <v>45971</v>
      </c>
      <c r="E1849" s="1" t="n">
        <v>46216</v>
      </c>
      <c r="F1849" t="inlineStr">
        <is>
          <t>BLEKINGE LÄN</t>
        </is>
      </c>
      <c r="G1849" t="inlineStr">
        <is>
          <t>KARLSKRONA</t>
        </is>
      </c>
      <c r="I1849" t="n">
        <v>3.5</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8330-2023</t>
        </is>
      </c>
      <c r="B1850" t="inlineStr">
        <is>
          <t>avverkningsanmälan</t>
        </is>
      </c>
      <c r="C1850" t="inlineStr">
        <is>
          <t>Föryngringsavverkning</t>
        </is>
      </c>
      <c r="D1850" s="1" t="n">
        <v>44974</v>
      </c>
      <c r="E1850" s="1" t="n">
        <v>46216</v>
      </c>
      <c r="F1850" t="inlineStr">
        <is>
          <t>BLEKINGE LÄN</t>
        </is>
      </c>
      <c r="G1850" t="inlineStr">
        <is>
          <t>RONNEBY</t>
        </is>
      </c>
      <c r="I1850" t="n">
        <v>3.5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62560-2022</t>
        </is>
      </c>
      <c r="B1851" t="inlineStr">
        <is>
          <t>avverkningsanmälan</t>
        </is>
      </c>
      <c r="C1851" t="inlineStr">
        <is>
          <t>Föryngringsavverkning</t>
        </is>
      </c>
      <c r="D1851" s="1" t="n">
        <v>44924</v>
      </c>
      <c r="E1851" s="1" t="n">
        <v>46216</v>
      </c>
      <c r="F1851" t="inlineStr">
        <is>
          <t>BLEKINGE LÄN</t>
        </is>
      </c>
      <c r="G1851" t="inlineStr">
        <is>
          <t>KARLSHAMN</t>
        </is>
      </c>
      <c r="I1851" t="n">
        <v>8</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35821-2023</t>
        </is>
      </c>
      <c r="B1852" t="inlineStr">
        <is>
          <t>avverkningsanmälan</t>
        </is>
      </c>
      <c r="C1852" t="inlineStr">
        <is>
          <t>Föryngringsavverkning</t>
        </is>
      </c>
      <c r="D1852" s="1" t="n">
        <v>45148</v>
      </c>
      <c r="E1852" s="1" t="n">
        <v>46216</v>
      </c>
      <c r="F1852" t="inlineStr">
        <is>
          <t>BLEKINGE LÄN</t>
        </is>
      </c>
      <c r="G1852" t="inlineStr">
        <is>
          <t>KARLSHAMN</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38185-2023</t>
        </is>
      </c>
      <c r="B1853" t="inlineStr">
        <is>
          <t>avverkningsanmälan</t>
        </is>
      </c>
      <c r="C1853" t="inlineStr">
        <is>
          <t>Föryngringsavverkning</t>
        </is>
      </c>
      <c r="D1853" s="1" t="n">
        <v>45161</v>
      </c>
      <c r="E1853" s="1" t="n">
        <v>46216</v>
      </c>
      <c r="F1853" t="inlineStr">
        <is>
          <t>BLEKINGE LÄN</t>
        </is>
      </c>
      <c r="G1853" t="inlineStr">
        <is>
          <t>KARLSKRONA</t>
        </is>
      </c>
      <c r="I1853" t="n">
        <v>1.7</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35643-2024</t>
        </is>
      </c>
      <c r="B1854" t="inlineStr">
        <is>
          <t>avverkningsanmälan</t>
        </is>
      </c>
      <c r="C1854" t="inlineStr">
        <is>
          <t>Föryngringsavverkning</t>
        </is>
      </c>
      <c r="D1854" s="1" t="n">
        <v>45531</v>
      </c>
      <c r="E1854" s="1" t="n">
        <v>46216</v>
      </c>
      <c r="F1854" t="inlineStr">
        <is>
          <t>BLEKINGE LÄN</t>
        </is>
      </c>
      <c r="G1854" t="inlineStr">
        <is>
          <t>KARLSKRONA</t>
        </is>
      </c>
      <c r="I1854" t="n">
        <v>2</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36946-2022</t>
        </is>
      </c>
      <c r="B1855" t="inlineStr">
        <is>
          <t>avverkningsanmälan</t>
        </is>
      </c>
      <c r="C1855" t="inlineStr">
        <is>
          <t>Föryngringsavverkning</t>
        </is>
      </c>
      <c r="D1855" s="1" t="n">
        <v>44806</v>
      </c>
      <c r="E1855" s="1" t="n">
        <v>46216</v>
      </c>
      <c r="F1855" t="inlineStr">
        <is>
          <t>BLEKINGE LÄN</t>
        </is>
      </c>
      <c r="G1855" t="inlineStr">
        <is>
          <t>RONNEBY</t>
        </is>
      </c>
      <c r="I1855" t="n">
        <v>2.6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13083-2024</t>
        </is>
      </c>
      <c r="B1856" t="inlineStr">
        <is>
          <t>avverkningsanmälan</t>
        </is>
      </c>
      <c r="C1856" t="inlineStr">
        <is>
          <t>Föryngringsavverkning</t>
        </is>
      </c>
      <c r="D1856" s="1" t="n">
        <v>45385</v>
      </c>
      <c r="E1856" s="1" t="n">
        <v>46216</v>
      </c>
      <c r="F1856" t="inlineStr">
        <is>
          <t>BLEKINGE LÄN</t>
        </is>
      </c>
      <c r="G1856" t="inlineStr">
        <is>
          <t>OLOFSTRÖM</t>
        </is>
      </c>
      <c r="I1856" t="n">
        <v>2</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34936-2024</t>
        </is>
      </c>
      <c r="B1857" t="inlineStr">
        <is>
          <t>avverkningsanmälan</t>
        </is>
      </c>
      <c r="C1857" t="inlineStr">
        <is>
          <t>Föryngringsavverkning</t>
        </is>
      </c>
      <c r="D1857" s="1" t="n">
        <v>45527</v>
      </c>
      <c r="E1857" s="1" t="n">
        <v>46216</v>
      </c>
      <c r="F1857" t="inlineStr">
        <is>
          <t>BLEKINGE LÄN</t>
        </is>
      </c>
      <c r="G1857" t="inlineStr">
        <is>
          <t>OLOFSTRÖM</t>
        </is>
      </c>
      <c r="I1857" t="n">
        <v>1.5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11179-2023</t>
        </is>
      </c>
      <c r="B1858" t="inlineStr">
        <is>
          <t>avverkningsanmälan</t>
        </is>
      </c>
      <c r="C1858" t="inlineStr">
        <is>
          <t>Föryngringsavverkning</t>
        </is>
      </c>
      <c r="D1858" s="1" t="n">
        <v>44992</v>
      </c>
      <c r="E1858" s="1" t="n">
        <v>46216</v>
      </c>
      <c r="F1858" t="inlineStr">
        <is>
          <t>BLEKINGE LÄN</t>
        </is>
      </c>
      <c r="G1858" t="inlineStr">
        <is>
          <t>RONNEBY</t>
        </is>
      </c>
      <c r="I1858" t="n">
        <v>3.5</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33817-2025</t>
        </is>
      </c>
      <c r="B1859" t="inlineStr">
        <is>
          <t>avverkningsanmälan</t>
        </is>
      </c>
      <c r="C1859" t="inlineStr">
        <is>
          <t>Föryngringsavverkning</t>
        </is>
      </c>
      <c r="D1859" s="1" t="n">
        <v>45842</v>
      </c>
      <c r="E1859" s="1" t="n">
        <v>46216</v>
      </c>
      <c r="F1859" t="inlineStr">
        <is>
          <t>BLEKINGE LÄN</t>
        </is>
      </c>
      <c r="G1859" t="inlineStr">
        <is>
          <t>SÖLVESBORG</t>
        </is>
      </c>
      <c r="I1859" t="n">
        <v>1.7</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45230-2024</t>
        </is>
      </c>
      <c r="B1860" t="inlineStr">
        <is>
          <t>avverkningsanmälan</t>
        </is>
      </c>
      <c r="C1860" t="inlineStr">
        <is>
          <t>Föryngringsavverkning</t>
        </is>
      </c>
      <c r="D1860" s="1" t="n">
        <v>45575</v>
      </c>
      <c r="E1860" s="1" t="n">
        <v>46216</v>
      </c>
      <c r="F1860" t="inlineStr">
        <is>
          <t>BLEKINGE LÄN</t>
        </is>
      </c>
      <c r="G1860" t="inlineStr">
        <is>
          <t>OLOFSTRÖM</t>
        </is>
      </c>
      <c r="H1860" t="inlineStr">
        <is>
          <t>Sveaskog</t>
        </is>
      </c>
      <c r="I1860" t="n">
        <v>2.3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57426-2023</t>
        </is>
      </c>
      <c r="B1861" t="inlineStr">
        <is>
          <t>avverkningsanmälan</t>
        </is>
      </c>
      <c r="C1861" t="inlineStr">
        <is>
          <t>Föryngringsavverkning</t>
        </is>
      </c>
      <c r="D1861" s="1" t="n">
        <v>45246</v>
      </c>
      <c r="E1861" s="1" t="n">
        <v>46216</v>
      </c>
      <c r="F1861" t="inlineStr">
        <is>
          <t>BLEKINGE LÄN</t>
        </is>
      </c>
      <c r="G1861" t="inlineStr">
        <is>
          <t>RONNEBY</t>
        </is>
      </c>
      <c r="I1861" t="n">
        <v>1.4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34423-2025</t>
        </is>
      </c>
      <c r="B1862" t="inlineStr">
        <is>
          <t>avverkningsanmälan</t>
        </is>
      </c>
      <c r="C1862" t="inlineStr">
        <is>
          <t>Föryngringsavverkning</t>
        </is>
      </c>
      <c r="D1862" s="1" t="n">
        <v>45846</v>
      </c>
      <c r="E1862" s="1" t="n">
        <v>46216</v>
      </c>
      <c r="F1862" t="inlineStr">
        <is>
          <t>BLEKINGE LÄN</t>
        </is>
      </c>
      <c r="G1862" t="inlineStr">
        <is>
          <t>KARLSHAMN</t>
        </is>
      </c>
      <c r="I1862" t="n">
        <v>8.300000000000001</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34533-2023</t>
        </is>
      </c>
      <c r="B1863" t="inlineStr">
        <is>
          <t>avverkningsanmälan</t>
        </is>
      </c>
      <c r="C1863" t="inlineStr">
        <is>
          <t>Föryngringsavverkning</t>
        </is>
      </c>
      <c r="D1863" s="1" t="n">
        <v>45140</v>
      </c>
      <c r="E1863" s="1" t="n">
        <v>46216</v>
      </c>
      <c r="F1863" t="inlineStr">
        <is>
          <t>BLEKINGE LÄN</t>
        </is>
      </c>
      <c r="G1863" t="inlineStr">
        <is>
          <t>KARLSKRONA</t>
        </is>
      </c>
      <c r="I1863" t="n">
        <v>2.3</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34747-2023</t>
        </is>
      </c>
      <c r="B1864" t="inlineStr">
        <is>
          <t>avverkningsanmälan</t>
        </is>
      </c>
      <c r="C1864" t="inlineStr">
        <is>
          <t>Föryngringsavverkning</t>
        </is>
      </c>
      <c r="D1864" s="1" t="n">
        <v>45141</v>
      </c>
      <c r="E1864" s="1" t="n">
        <v>46216</v>
      </c>
      <c r="F1864" t="inlineStr">
        <is>
          <t>BLEKINGE LÄN</t>
        </is>
      </c>
      <c r="G1864" t="inlineStr">
        <is>
          <t>OLOFSTRÖM</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7119-2024</t>
        </is>
      </c>
      <c r="B1865" t="inlineStr">
        <is>
          <t>avverkningsanmälan</t>
        </is>
      </c>
      <c r="C1865" t="inlineStr">
        <is>
          <t>Föryngringsavverkning</t>
        </is>
      </c>
      <c r="D1865" s="1" t="n">
        <v>45344</v>
      </c>
      <c r="E1865" s="1" t="n">
        <v>46216</v>
      </c>
      <c r="F1865" t="inlineStr">
        <is>
          <t>BLEKINGE LÄN</t>
        </is>
      </c>
      <c r="G1865" t="inlineStr">
        <is>
          <t>KARLSKRONA</t>
        </is>
      </c>
      <c r="I1865" t="n">
        <v>0.9</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28080-2023</t>
        </is>
      </c>
      <c r="B1866" t="inlineStr">
        <is>
          <t>avverkningsanmälan</t>
        </is>
      </c>
      <c r="C1866" t="inlineStr">
        <is>
          <t>Föryngringsavverkning</t>
        </is>
      </c>
      <c r="D1866" s="1" t="n">
        <v>45099</v>
      </c>
      <c r="E1866" s="1" t="n">
        <v>46216</v>
      </c>
      <c r="F1866" t="inlineStr">
        <is>
          <t>BLEKINGE LÄN</t>
        </is>
      </c>
      <c r="G1866" t="inlineStr">
        <is>
          <t>SÖLVESBORG</t>
        </is>
      </c>
      <c r="I1866" t="n">
        <v>1.6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34133-2024</t>
        </is>
      </c>
      <c r="B1867" t="inlineStr">
        <is>
          <t>avverkningsanmälan</t>
        </is>
      </c>
      <c r="C1867" t="inlineStr">
        <is>
          <t>Föryngringsavverkning</t>
        </is>
      </c>
      <c r="D1867" s="1" t="n">
        <v>45524</v>
      </c>
      <c r="E1867" s="1" t="n">
        <v>46216</v>
      </c>
      <c r="F1867" t="inlineStr">
        <is>
          <t>BLEKINGE LÄN</t>
        </is>
      </c>
      <c r="G1867" t="inlineStr">
        <is>
          <t>KARLSKRONA</t>
        </is>
      </c>
      <c r="I1867" t="n">
        <v>1.4</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271-2022</t>
        </is>
      </c>
      <c r="B1868" t="inlineStr">
        <is>
          <t>avverkningsanmälan</t>
        </is>
      </c>
      <c r="C1868" t="inlineStr">
        <is>
          <t>Föryngringsavverkning</t>
        </is>
      </c>
      <c r="D1868" s="1" t="n">
        <v>44565</v>
      </c>
      <c r="E1868" s="1" t="n">
        <v>46216</v>
      </c>
      <c r="F1868" t="inlineStr">
        <is>
          <t>BLEKINGE LÄN</t>
        </is>
      </c>
      <c r="G1868" t="inlineStr">
        <is>
          <t>RONNEBY</t>
        </is>
      </c>
      <c r="I1868" t="n">
        <v>1.4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50967-2023</t>
        </is>
      </c>
      <c r="B1869" t="inlineStr">
        <is>
          <t>avverkningsanmälan</t>
        </is>
      </c>
      <c r="C1869" t="inlineStr">
        <is>
          <t>Föryngringsavverkning</t>
        </is>
      </c>
      <c r="D1869" s="1" t="n">
        <v>45218</v>
      </c>
      <c r="E1869" s="1" t="n">
        <v>46216</v>
      </c>
      <c r="F1869" t="inlineStr">
        <is>
          <t>BLEKINGE LÄN</t>
        </is>
      </c>
      <c r="G1869" t="inlineStr">
        <is>
          <t>KARLSKRONA</t>
        </is>
      </c>
      <c r="I1869" t="n">
        <v>1.9</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13694-2026</t>
        </is>
      </c>
      <c r="B1870" t="inlineStr">
        <is>
          <t>avverkningsanmälan</t>
        </is>
      </c>
      <c r="C1870" t="inlineStr">
        <is>
          <t>Föryngringsavverkning</t>
        </is>
      </c>
      <c r="D1870" s="1" t="n">
        <v>46097</v>
      </c>
      <c r="E1870" s="1" t="n">
        <v>46216</v>
      </c>
      <c r="F1870" t="inlineStr">
        <is>
          <t>BLEKINGE LÄN</t>
        </is>
      </c>
      <c r="G1870" t="inlineStr">
        <is>
          <t>KARLSKRONA</t>
        </is>
      </c>
      <c r="I1870" t="n">
        <v>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10525-2022</t>
        </is>
      </c>
      <c r="B1871" t="inlineStr">
        <is>
          <t>avverkningsanmälan</t>
        </is>
      </c>
      <c r="C1871" t="inlineStr">
        <is>
          <t>Föryngringsavverkning</t>
        </is>
      </c>
      <c r="D1871" s="1" t="n">
        <v>44623</v>
      </c>
      <c r="E1871" s="1" t="n">
        <v>46216</v>
      </c>
      <c r="F1871" t="inlineStr">
        <is>
          <t>BLEKINGE LÄN</t>
        </is>
      </c>
      <c r="G1871" t="inlineStr">
        <is>
          <t>KARLSHAMN</t>
        </is>
      </c>
      <c r="I1871" t="n">
        <v>5.8</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30064-2022</t>
        </is>
      </c>
      <c r="B1872" t="inlineStr">
        <is>
          <t>avverkningsanmälan</t>
        </is>
      </c>
      <c r="C1872" t="inlineStr">
        <is>
          <t>Föryngringsavverkning</t>
        </is>
      </c>
      <c r="D1872" s="1" t="n">
        <v>44757</v>
      </c>
      <c r="E1872" s="1" t="n">
        <v>46216</v>
      </c>
      <c r="F1872" t="inlineStr">
        <is>
          <t>BLEKINGE LÄN</t>
        </is>
      </c>
      <c r="G1872" t="inlineStr">
        <is>
          <t>KARLSKRONA</t>
        </is>
      </c>
      <c r="I1872" t="n">
        <v>1.1</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9763-2022</t>
        </is>
      </c>
      <c r="B1873" t="inlineStr">
        <is>
          <t>avverkningsanmälan</t>
        </is>
      </c>
      <c r="C1873" t="inlineStr">
        <is>
          <t>Avverkning för annat ändamål</t>
        </is>
      </c>
      <c r="D1873" s="1" t="n">
        <v>44619</v>
      </c>
      <c r="E1873" s="1" t="n">
        <v>46216</v>
      </c>
      <c r="F1873" t="inlineStr">
        <is>
          <t>BLEKINGE LÄN</t>
        </is>
      </c>
      <c r="G1873" t="inlineStr">
        <is>
          <t>KARLSKRONA</t>
        </is>
      </c>
      <c r="I1873" t="n">
        <v>11</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55079-2023</t>
        </is>
      </c>
      <c r="B1874" t="inlineStr">
        <is>
          <t>avverkningsanmälan</t>
        </is>
      </c>
      <c r="C1874" t="inlineStr">
        <is>
          <t>Avverkning för annat ändamål</t>
        </is>
      </c>
      <c r="D1874" s="1" t="n">
        <v>45237</v>
      </c>
      <c r="E1874" s="1" t="n">
        <v>46216</v>
      </c>
      <c r="F1874" t="inlineStr">
        <is>
          <t>BLEKINGE LÄN</t>
        </is>
      </c>
      <c r="G1874" t="inlineStr">
        <is>
          <t>RONNEBY</t>
        </is>
      </c>
      <c r="I1874" t="n">
        <v>0.4</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31244-2025</t>
        </is>
      </c>
      <c r="B1875" t="inlineStr">
        <is>
          <t>avverkningsanmälan</t>
        </is>
      </c>
      <c r="C1875" t="inlineStr">
        <is>
          <t>Föryngringsavverkning</t>
        </is>
      </c>
      <c r="D1875" s="1" t="n">
        <v>45832</v>
      </c>
      <c r="E1875" s="1" t="n">
        <v>46216</v>
      </c>
      <c r="F1875" t="inlineStr">
        <is>
          <t>BLEKINGE LÄN</t>
        </is>
      </c>
      <c r="G1875" t="inlineStr">
        <is>
          <t>KARLSKRONA</t>
        </is>
      </c>
      <c r="I1875" t="n">
        <v>5.6</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45908-2023</t>
        </is>
      </c>
      <c r="B1876" t="inlineStr">
        <is>
          <t>avverkningsanmälan</t>
        </is>
      </c>
      <c r="C1876" t="inlineStr">
        <is>
          <t>Föryngringsavverkning</t>
        </is>
      </c>
      <c r="D1876" s="1" t="n">
        <v>45195</v>
      </c>
      <c r="E1876" s="1" t="n">
        <v>46216</v>
      </c>
      <c r="F1876" t="inlineStr">
        <is>
          <t>BLEKINGE LÄN</t>
        </is>
      </c>
      <c r="G1876" t="inlineStr">
        <is>
          <t>KARLSKRONA</t>
        </is>
      </c>
      <c r="I1876" t="n">
        <v>1</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42323-2023</t>
        </is>
      </c>
      <c r="B1877" t="inlineStr">
        <is>
          <t>avverkningsanmälan</t>
        </is>
      </c>
      <c r="C1877" t="inlineStr">
        <is>
          <t>Föryngringsavverkning</t>
        </is>
      </c>
      <c r="D1877" s="1" t="n">
        <v>45180</v>
      </c>
      <c r="E1877" s="1" t="n">
        <v>46216</v>
      </c>
      <c r="F1877" t="inlineStr">
        <is>
          <t>BLEKINGE LÄN</t>
        </is>
      </c>
      <c r="G1877" t="inlineStr">
        <is>
          <t>KARLSKRONA</t>
        </is>
      </c>
      <c r="I1877" t="n">
        <v>14.7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13140-2026</t>
        </is>
      </c>
      <c r="B1878" t="inlineStr">
        <is>
          <t>avverkningsanmälan</t>
        </is>
      </c>
      <c r="C1878" t="inlineStr">
        <is>
          <t>Föryngringsavverkning</t>
        </is>
      </c>
      <c r="D1878" s="1" t="n">
        <v>46093</v>
      </c>
      <c r="E1878" s="1" t="n">
        <v>46216</v>
      </c>
      <c r="F1878" t="inlineStr">
        <is>
          <t>BLEKINGE LÄN</t>
        </is>
      </c>
      <c r="G1878" t="inlineStr">
        <is>
          <t>KARLSKRONA</t>
        </is>
      </c>
      <c r="I1878" t="n">
        <v>0.5</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33855-2023</t>
        </is>
      </c>
      <c r="B1879" t="inlineStr">
        <is>
          <t>avverkningsanmälan</t>
        </is>
      </c>
      <c r="C1879" t="inlineStr">
        <is>
          <t>Föryngringsavverkning</t>
        </is>
      </c>
      <c r="D1879" s="1" t="n">
        <v>45133</v>
      </c>
      <c r="E1879" s="1" t="n">
        <v>46216</v>
      </c>
      <c r="F1879" t="inlineStr">
        <is>
          <t>BLEKINGE LÄN</t>
        </is>
      </c>
      <c r="G1879" t="inlineStr">
        <is>
          <t>KARLSKRONA</t>
        </is>
      </c>
      <c r="I1879" t="n">
        <v>7.3</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31415-2022</t>
        </is>
      </c>
      <c r="B1880" t="inlineStr">
        <is>
          <t>avverkningsanmälan</t>
        </is>
      </c>
      <c r="C1880" t="inlineStr">
        <is>
          <t>Föryngringsavverkning</t>
        </is>
      </c>
      <c r="D1880" s="1" t="n">
        <v>44774</v>
      </c>
      <c r="E1880" s="1" t="n">
        <v>46216</v>
      </c>
      <c r="F1880" t="inlineStr">
        <is>
          <t>BLEKINGE LÄN</t>
        </is>
      </c>
      <c r="G1880" t="inlineStr">
        <is>
          <t>RONNEBY</t>
        </is>
      </c>
      <c r="I1880" t="n">
        <v>4</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10621-2026</t>
        </is>
      </c>
      <c r="B1881" t="inlineStr">
        <is>
          <t>avverkningsanmälan</t>
        </is>
      </c>
      <c r="C1881" t="inlineStr">
        <is>
          <t>Föryngringsavverkning</t>
        </is>
      </c>
      <c r="D1881" s="1" t="n">
        <v>46077</v>
      </c>
      <c r="E1881" s="1" t="n">
        <v>46216</v>
      </c>
      <c r="F1881" t="inlineStr">
        <is>
          <t>BLEKINGE LÄN</t>
        </is>
      </c>
      <c r="G1881" t="inlineStr">
        <is>
          <t>KARLSKRONA</t>
        </is>
      </c>
      <c r="I1881" t="n">
        <v>1.3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38375-2024</t>
        </is>
      </c>
      <c r="B1882" t="inlineStr">
        <is>
          <t>avverkningsanmälan</t>
        </is>
      </c>
      <c r="C1882" t="inlineStr">
        <is>
          <t>Föryngringsavverkning</t>
        </is>
      </c>
      <c r="D1882" s="1" t="n">
        <v>45545</v>
      </c>
      <c r="E1882" s="1" t="n">
        <v>46216</v>
      </c>
      <c r="F1882" t="inlineStr">
        <is>
          <t>BLEKINGE LÄN</t>
        </is>
      </c>
      <c r="G1882" t="inlineStr">
        <is>
          <t>RONNEBY</t>
        </is>
      </c>
      <c r="I1882" t="n">
        <v>6.1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28320-2026</t>
        </is>
      </c>
      <c r="B1883" t="inlineStr">
        <is>
          <t>avverkningsanmälan</t>
        </is>
      </c>
      <c r="C1883" t="inlineStr">
        <is>
          <t>Föryngringsavverkning</t>
        </is>
      </c>
      <c r="D1883" s="1" t="n">
        <v>46196</v>
      </c>
      <c r="E1883" s="1" t="n">
        <v>46216</v>
      </c>
      <c r="F1883" t="inlineStr">
        <is>
          <t>BLEKINGE LÄN</t>
        </is>
      </c>
      <c r="G1883" t="inlineStr">
        <is>
          <t>KARLSHAMN</t>
        </is>
      </c>
      <c r="I1883" t="n">
        <v>2.2</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59122-2024</t>
        </is>
      </c>
      <c r="B1884" t="inlineStr">
        <is>
          <t>avverkningsanmälan</t>
        </is>
      </c>
      <c r="C1884" t="inlineStr">
        <is>
          <t>Föryngringsavverkning</t>
        </is>
      </c>
      <c r="D1884" s="1" t="n">
        <v>45637</v>
      </c>
      <c r="E1884" s="1" t="n">
        <v>46216</v>
      </c>
      <c r="F1884" t="inlineStr">
        <is>
          <t>BLEKINGE LÄN</t>
        </is>
      </c>
      <c r="G1884" t="inlineStr">
        <is>
          <t>KARLSKRONA</t>
        </is>
      </c>
      <c r="I1884" t="n">
        <v>0.6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8107-2023</t>
        </is>
      </c>
      <c r="B1885" t="inlineStr">
        <is>
          <t>avverkningsanmälan</t>
        </is>
      </c>
      <c r="C1885" t="inlineStr">
        <is>
          <t>Föryngringsavverkning</t>
        </is>
      </c>
      <c r="D1885" s="1" t="n">
        <v>44970</v>
      </c>
      <c r="E1885" s="1" t="n">
        <v>46216</v>
      </c>
      <c r="F1885" t="inlineStr">
        <is>
          <t>BLEKINGE LÄN</t>
        </is>
      </c>
      <c r="G1885" t="inlineStr">
        <is>
          <t>OLOFSTRÖM</t>
        </is>
      </c>
      <c r="I1885" t="n">
        <v>2.1</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28732-2026</t>
        </is>
      </c>
      <c r="B1886" t="inlineStr">
        <is>
          <t>avverkningsanmälan</t>
        </is>
      </c>
      <c r="C1886" t="inlineStr">
        <is>
          <t>Avverkning för annat ändamål</t>
        </is>
      </c>
      <c r="D1886" s="1" t="n">
        <v>46198</v>
      </c>
      <c r="E1886" s="1" t="n">
        <v>46216</v>
      </c>
      <c r="F1886" t="inlineStr">
        <is>
          <t>BLEKINGE LÄN</t>
        </is>
      </c>
      <c r="G1886" t="inlineStr">
        <is>
          <t>RONNEBY</t>
        </is>
      </c>
      <c r="I1886" t="n">
        <v>0.7</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42532-2023</t>
        </is>
      </c>
      <c r="B1887" t="inlineStr">
        <is>
          <t>avverkningsanmälan</t>
        </is>
      </c>
      <c r="C1887" t="inlineStr">
        <is>
          <t>Föryngringsavverkning</t>
        </is>
      </c>
      <c r="D1887" s="1" t="n">
        <v>45181</v>
      </c>
      <c r="E1887" s="1" t="n">
        <v>46216</v>
      </c>
      <c r="F1887" t="inlineStr">
        <is>
          <t>BLEKINGE LÄN</t>
        </is>
      </c>
      <c r="G1887" t="inlineStr">
        <is>
          <t>KARLSKRONA</t>
        </is>
      </c>
      <c r="I1887" t="n">
        <v>3.9</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3475-2024</t>
        </is>
      </c>
      <c r="B1888" t="inlineStr">
        <is>
          <t>avverkningsanmälan</t>
        </is>
      </c>
      <c r="C1888" t="inlineStr">
        <is>
          <t>Föryngringsavverkning</t>
        </is>
      </c>
      <c r="D1888" s="1" t="n">
        <v>45320</v>
      </c>
      <c r="E1888" s="1" t="n">
        <v>46216</v>
      </c>
      <c r="F1888" t="inlineStr">
        <is>
          <t>BLEKINGE LÄN</t>
        </is>
      </c>
      <c r="G1888" t="inlineStr">
        <is>
          <t>OLOFSTRÖM</t>
        </is>
      </c>
      <c r="I1888" t="n">
        <v>1.8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1432-2024</t>
        </is>
      </c>
      <c r="B1889" t="inlineStr">
        <is>
          <t>avverkningsanmälan</t>
        </is>
      </c>
      <c r="C1889" t="inlineStr">
        <is>
          <t>Föryngringsavverkning</t>
        </is>
      </c>
      <c r="D1889" s="1" t="n">
        <v>45303</v>
      </c>
      <c r="E1889" s="1" t="n">
        <v>46216</v>
      </c>
      <c r="F1889" t="inlineStr">
        <is>
          <t>BLEKINGE LÄN</t>
        </is>
      </c>
      <c r="G1889" t="inlineStr">
        <is>
          <t>RONNEBY</t>
        </is>
      </c>
      <c r="I1889" t="n">
        <v>1.7</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41201-2022</t>
        </is>
      </c>
      <c r="B1890" t="inlineStr">
        <is>
          <t>avverkningsanmälan</t>
        </is>
      </c>
      <c r="C1890" t="inlineStr">
        <is>
          <t>Föryngringsavverkning</t>
        </is>
      </c>
      <c r="D1890" s="1" t="n">
        <v>44825</v>
      </c>
      <c r="E1890" s="1" t="n">
        <v>46216</v>
      </c>
      <c r="F1890" t="inlineStr">
        <is>
          <t>BLEKINGE LÄN</t>
        </is>
      </c>
      <c r="G1890" t="inlineStr">
        <is>
          <t>KARLSKRONA</t>
        </is>
      </c>
      <c r="I1890" t="n">
        <v>1.3</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29059-2026</t>
        </is>
      </c>
      <c r="B1891" t="inlineStr">
        <is>
          <t>avverkningsanmälan</t>
        </is>
      </c>
      <c r="C1891" t="inlineStr">
        <is>
          <t>Föryngringsavverkning</t>
        </is>
      </c>
      <c r="D1891" s="1" t="n">
        <v>46199</v>
      </c>
      <c r="E1891" s="1" t="n">
        <v>46216</v>
      </c>
      <c r="F1891" t="inlineStr">
        <is>
          <t>BLEKINGE LÄN</t>
        </is>
      </c>
      <c r="G1891" t="inlineStr">
        <is>
          <t>KARLSKRONA</t>
        </is>
      </c>
      <c r="I1891" t="n">
        <v>0.6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34903-2025</t>
        </is>
      </c>
      <c r="B1892" t="inlineStr">
        <is>
          <t>avverkningsanmälan</t>
        </is>
      </c>
      <c r="C1892" t="inlineStr">
        <is>
          <t>Föryngringsavverkning</t>
        </is>
      </c>
      <c r="D1892" s="1" t="n">
        <v>45849</v>
      </c>
      <c r="E1892" s="1" t="n">
        <v>46216</v>
      </c>
      <c r="F1892" t="inlineStr">
        <is>
          <t>BLEKINGE LÄN</t>
        </is>
      </c>
      <c r="G1892" t="inlineStr">
        <is>
          <t>OLOFSTRÖM</t>
        </is>
      </c>
      <c r="H1892" t="inlineStr">
        <is>
          <t>Övriga Aktiebolag</t>
        </is>
      </c>
      <c r="I1892" t="n">
        <v>4.7</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62677-2023</t>
        </is>
      </c>
      <c r="B1893" t="inlineStr">
        <is>
          <t>avverkningsanmälan</t>
        </is>
      </c>
      <c r="C1893" t="inlineStr">
        <is>
          <t>Föryngringsavverkning</t>
        </is>
      </c>
      <c r="D1893" s="1" t="n">
        <v>45271</v>
      </c>
      <c r="E1893" s="1" t="n">
        <v>46216</v>
      </c>
      <c r="F1893" t="inlineStr">
        <is>
          <t>BLEKINGE LÄN</t>
        </is>
      </c>
      <c r="G1893" t="inlineStr">
        <is>
          <t>OLOFSTRÖM</t>
        </is>
      </c>
      <c r="I1893" t="n">
        <v>3.2</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19594-2024</t>
        </is>
      </c>
      <c r="B1894" t="inlineStr">
        <is>
          <t>avverkningsanmälan</t>
        </is>
      </c>
      <c r="C1894" t="inlineStr">
        <is>
          <t>Föryngringsavverkning</t>
        </is>
      </c>
      <c r="D1894" s="1" t="n">
        <v>45430</v>
      </c>
      <c r="E1894" s="1" t="n">
        <v>46216</v>
      </c>
      <c r="F1894" t="inlineStr">
        <is>
          <t>BLEKINGE LÄN</t>
        </is>
      </c>
      <c r="G1894" t="inlineStr">
        <is>
          <t>RONNEBY</t>
        </is>
      </c>
      <c r="I1894" t="n">
        <v>3.6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29082-2026</t>
        </is>
      </c>
      <c r="B1895" t="inlineStr">
        <is>
          <t>avverkningsanmälan</t>
        </is>
      </c>
      <c r="C1895" t="inlineStr">
        <is>
          <t>Föryngringsavverkning</t>
        </is>
      </c>
      <c r="D1895" s="1" t="n">
        <v>46199</v>
      </c>
      <c r="E1895" s="1" t="n">
        <v>46216</v>
      </c>
      <c r="F1895" t="inlineStr">
        <is>
          <t>BLEKINGE LÄN</t>
        </is>
      </c>
      <c r="G1895" t="inlineStr">
        <is>
          <t>RONNEBY</t>
        </is>
      </c>
      <c r="I1895" t="n">
        <v>3.1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52632-2023</t>
        </is>
      </c>
      <c r="B1896" t="inlineStr">
        <is>
          <t>avverkningsanmälan</t>
        </is>
      </c>
      <c r="C1896" t="inlineStr">
        <is>
          <t>Föryngringsavverkning</t>
        </is>
      </c>
      <c r="D1896" s="1" t="n">
        <v>45225</v>
      </c>
      <c r="E1896" s="1" t="n">
        <v>46216</v>
      </c>
      <c r="F1896" t="inlineStr">
        <is>
          <t>BLEKINGE LÄN</t>
        </is>
      </c>
      <c r="G1896" t="inlineStr">
        <is>
          <t>KARLSHAMN</t>
        </is>
      </c>
      <c r="I1896" t="n">
        <v>5.4</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4470-2023</t>
        </is>
      </c>
      <c r="B1897" t="inlineStr">
        <is>
          <t>avverkningsanmälan</t>
        </is>
      </c>
      <c r="C1897" t="inlineStr">
        <is>
          <t>Föryngringsavverkning</t>
        </is>
      </c>
      <c r="D1897" s="1" t="n">
        <v>44956</v>
      </c>
      <c r="E1897" s="1" t="n">
        <v>46216</v>
      </c>
      <c r="F1897" t="inlineStr">
        <is>
          <t>BLEKINGE LÄN</t>
        </is>
      </c>
      <c r="G1897" t="inlineStr">
        <is>
          <t>RONNEBY</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6813-2024</t>
        </is>
      </c>
      <c r="B1898" t="inlineStr">
        <is>
          <t>avverkningsanmälan</t>
        </is>
      </c>
      <c r="C1898" t="inlineStr">
        <is>
          <t>Föryngringsavverkning</t>
        </is>
      </c>
      <c r="D1898" s="1" t="n">
        <v>45342</v>
      </c>
      <c r="E1898" s="1" t="n">
        <v>46216</v>
      </c>
      <c r="F1898" t="inlineStr">
        <is>
          <t>BLEKINGE LÄN</t>
        </is>
      </c>
      <c r="G1898" t="inlineStr">
        <is>
          <t>RONNEBY</t>
        </is>
      </c>
      <c r="I1898" t="n">
        <v>2.5</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6869-2024</t>
        </is>
      </c>
      <c r="B1899" t="inlineStr">
        <is>
          <t>avverkningsanmälan</t>
        </is>
      </c>
      <c r="C1899" t="inlineStr">
        <is>
          <t>Föryngringsavverkning</t>
        </is>
      </c>
      <c r="D1899" s="1" t="n">
        <v>45342</v>
      </c>
      <c r="E1899" s="1" t="n">
        <v>46216</v>
      </c>
      <c r="F1899" t="inlineStr">
        <is>
          <t>BLEKINGE LÄN</t>
        </is>
      </c>
      <c r="G1899" t="inlineStr">
        <is>
          <t>RONNEBY</t>
        </is>
      </c>
      <c r="I1899" t="n">
        <v>0.5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19092-2024</t>
        </is>
      </c>
      <c r="B1900" t="inlineStr">
        <is>
          <t>avverkningsanmälan</t>
        </is>
      </c>
      <c r="C1900" t="inlineStr">
        <is>
          <t>Föryngringsavverkning</t>
        </is>
      </c>
      <c r="D1900" s="1" t="n">
        <v>45428</v>
      </c>
      <c r="E1900" s="1" t="n">
        <v>46216</v>
      </c>
      <c r="F1900" t="inlineStr">
        <is>
          <t>BLEKINGE LÄN</t>
        </is>
      </c>
      <c r="G1900" t="inlineStr">
        <is>
          <t>RONNEBY</t>
        </is>
      </c>
      <c r="I1900" t="n">
        <v>1.2</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29027-2026</t>
        </is>
      </c>
      <c r="B1901" t="inlineStr">
        <is>
          <t>avverkningsanmälan</t>
        </is>
      </c>
      <c r="C1901" t="inlineStr">
        <is>
          <t>Föryngringsavverkning</t>
        </is>
      </c>
      <c r="D1901" s="1" t="n">
        <v>46199</v>
      </c>
      <c r="E1901" s="1" t="n">
        <v>46216</v>
      </c>
      <c r="F1901" t="inlineStr">
        <is>
          <t>BLEKINGE LÄN</t>
        </is>
      </c>
      <c r="G1901" t="inlineStr">
        <is>
          <t>KARLSKRONA</t>
        </is>
      </c>
      <c r="I1901" t="n">
        <v>3.3</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2191-2024</t>
        </is>
      </c>
      <c r="B1902" t="inlineStr">
        <is>
          <t>avverkningsanmälan</t>
        </is>
      </c>
      <c r="C1902" t="inlineStr">
        <is>
          <t>Föryngringsavverkning</t>
        </is>
      </c>
      <c r="D1902" s="1" t="n">
        <v>45309</v>
      </c>
      <c r="E1902" s="1" t="n">
        <v>46216</v>
      </c>
      <c r="F1902" t="inlineStr">
        <is>
          <t>BLEKINGE LÄN</t>
        </is>
      </c>
      <c r="G1902" t="inlineStr">
        <is>
          <t>KARLSKRONA</t>
        </is>
      </c>
      <c r="I1902" t="n">
        <v>1.6</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29057-2026</t>
        </is>
      </c>
      <c r="B1903" t="inlineStr">
        <is>
          <t>avverkningsanmälan</t>
        </is>
      </c>
      <c r="C1903" t="inlineStr">
        <is>
          <t>Föryngringsavverkning</t>
        </is>
      </c>
      <c r="D1903" s="1" t="n">
        <v>46199</v>
      </c>
      <c r="E1903" s="1" t="n">
        <v>46216</v>
      </c>
      <c r="F1903" t="inlineStr">
        <is>
          <t>BLEKINGE LÄN</t>
        </is>
      </c>
      <c r="G1903" t="inlineStr">
        <is>
          <t>KARLSKRONA</t>
        </is>
      </c>
      <c r="I1903" t="n">
        <v>1.3</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42861-2023</t>
        </is>
      </c>
      <c r="B1904" t="inlineStr">
        <is>
          <t>avverkningsanmälan</t>
        </is>
      </c>
      <c r="C1904" t="inlineStr">
        <is>
          <t>Föryngringsavverkning</t>
        </is>
      </c>
      <c r="D1904" s="1" t="n">
        <v>45182</v>
      </c>
      <c r="E1904" s="1" t="n">
        <v>46216</v>
      </c>
      <c r="F1904" t="inlineStr">
        <is>
          <t>BLEKINGE LÄN</t>
        </is>
      </c>
      <c r="G1904" t="inlineStr">
        <is>
          <t>KARLSKRONA</t>
        </is>
      </c>
      <c r="I1904" t="n">
        <v>0.5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15456-2025</t>
        </is>
      </c>
      <c r="B1905" t="inlineStr">
        <is>
          <t>avverkningsanmälan</t>
        </is>
      </c>
      <c r="C1905" t="inlineStr">
        <is>
          <t>Föryngringsavverkning</t>
        </is>
      </c>
      <c r="D1905" s="1" t="n">
        <v>45747</v>
      </c>
      <c r="E1905" s="1" t="n">
        <v>46216</v>
      </c>
      <c r="F1905" t="inlineStr">
        <is>
          <t>BLEKINGE LÄN</t>
        </is>
      </c>
      <c r="G1905" t="inlineStr">
        <is>
          <t>KARLSKRONA</t>
        </is>
      </c>
      <c r="I1905" t="n">
        <v>6.1</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52089-2023</t>
        </is>
      </c>
      <c r="B1906" t="inlineStr">
        <is>
          <t>avverkningsanmälan</t>
        </is>
      </c>
      <c r="C1906" t="inlineStr">
        <is>
          <t>Föryngringsavverkning</t>
        </is>
      </c>
      <c r="D1906" s="1" t="n">
        <v>45216</v>
      </c>
      <c r="E1906" s="1" t="n">
        <v>46216</v>
      </c>
      <c r="F1906" t="inlineStr">
        <is>
          <t>BLEKINGE LÄN</t>
        </is>
      </c>
      <c r="G1906" t="inlineStr">
        <is>
          <t>SÖLVESBORG</t>
        </is>
      </c>
      <c r="I1906" t="n">
        <v>3.8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26602-2025</t>
        </is>
      </c>
      <c r="B1907" t="inlineStr">
        <is>
          <t>avverkningsanmälan</t>
        </is>
      </c>
      <c r="C1907" t="inlineStr">
        <is>
          <t>Föryngringsavverkning</t>
        </is>
      </c>
      <c r="D1907" s="1" t="n">
        <v>45809</v>
      </c>
      <c r="E1907" s="1" t="n">
        <v>46216</v>
      </c>
      <c r="F1907" t="inlineStr">
        <is>
          <t>BLEKINGE LÄN</t>
        </is>
      </c>
      <c r="G1907" t="inlineStr">
        <is>
          <t>KARLSKRONA</t>
        </is>
      </c>
      <c r="I1907" t="n">
        <v>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33535-2025</t>
        </is>
      </c>
      <c r="B1908" t="inlineStr">
        <is>
          <t>avverkningsanmälan</t>
        </is>
      </c>
      <c r="C1908" t="inlineStr">
        <is>
          <t>Avverkning för annat ändamål</t>
        </is>
      </c>
      <c r="D1908" s="1" t="n">
        <v>45841</v>
      </c>
      <c r="E1908" s="1" t="n">
        <v>46216</v>
      </c>
      <c r="F1908" t="inlineStr">
        <is>
          <t>BLEKINGE LÄN</t>
        </is>
      </c>
      <c r="G1908" t="inlineStr">
        <is>
          <t>RONNEBY</t>
        </is>
      </c>
      <c r="I1908" t="n">
        <v>2.6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25975-2023</t>
        </is>
      </c>
      <c r="B1909" t="inlineStr">
        <is>
          <t>avverkningsanmälan</t>
        </is>
      </c>
      <c r="C1909" t="inlineStr">
        <is>
          <t>Föryngringsavverkning</t>
        </is>
      </c>
      <c r="D1909" s="1" t="n">
        <v>45090</v>
      </c>
      <c r="E1909" s="1" t="n">
        <v>46216</v>
      </c>
      <c r="F1909" t="inlineStr">
        <is>
          <t>BLEKINGE LÄN</t>
        </is>
      </c>
      <c r="G1909" t="inlineStr">
        <is>
          <t>KARLSKRONA</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51284-2024</t>
        </is>
      </c>
      <c r="B1910" t="inlineStr">
        <is>
          <t>avverkningsanmälan</t>
        </is>
      </c>
      <c r="C1910" t="inlineStr">
        <is>
          <t>Föryngringsavverkning</t>
        </is>
      </c>
      <c r="D1910" s="1" t="n">
        <v>45603</v>
      </c>
      <c r="E1910" s="1" t="n">
        <v>46216</v>
      </c>
      <c r="F1910" t="inlineStr">
        <is>
          <t>BLEKINGE LÄN</t>
        </is>
      </c>
      <c r="G1910" t="inlineStr">
        <is>
          <t>OLOFSTRÖM</t>
        </is>
      </c>
      <c r="I1910" t="n">
        <v>1.1</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18192-2026</t>
        </is>
      </c>
      <c r="B1911" t="inlineStr">
        <is>
          <t>avverkningsanmälan</t>
        </is>
      </c>
      <c r="C1911" t="inlineStr">
        <is>
          <t>Föryngringsavverkning</t>
        </is>
      </c>
      <c r="D1911" s="1" t="n">
        <v>46125</v>
      </c>
      <c r="E1911" s="1" t="n">
        <v>46216</v>
      </c>
      <c r="F1911" t="inlineStr">
        <is>
          <t>BLEKINGE LÄN</t>
        </is>
      </c>
      <c r="G1911" t="inlineStr">
        <is>
          <t>KARLSKRONA</t>
        </is>
      </c>
      <c r="I1911" t="n">
        <v>1.6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11560-2024</t>
        </is>
      </c>
      <c r="B1912" t="inlineStr">
        <is>
          <t>avverkningsanmälan</t>
        </is>
      </c>
      <c r="C1912" t="inlineStr">
        <is>
          <t>Föryngringsavverkning</t>
        </is>
      </c>
      <c r="D1912" s="1" t="n">
        <v>45373</v>
      </c>
      <c r="E1912" s="1" t="n">
        <v>46216</v>
      </c>
      <c r="F1912" t="inlineStr">
        <is>
          <t>BLEKINGE LÄN</t>
        </is>
      </c>
      <c r="G1912" t="inlineStr">
        <is>
          <t>RONNEBY</t>
        </is>
      </c>
      <c r="I1912" t="n">
        <v>0.5</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4205-2024</t>
        </is>
      </c>
      <c r="B1913" t="inlineStr">
        <is>
          <t>avverkningsanmälan</t>
        </is>
      </c>
      <c r="C1913" t="inlineStr">
        <is>
          <t>Föryngringsavverkning</t>
        </is>
      </c>
      <c r="D1913" s="1" t="n">
        <v>45324</v>
      </c>
      <c r="E1913" s="1" t="n">
        <v>46216</v>
      </c>
      <c r="F1913" t="inlineStr">
        <is>
          <t>BLEKINGE LÄN</t>
        </is>
      </c>
      <c r="G1913" t="inlineStr">
        <is>
          <t>KARLSKRONA</t>
        </is>
      </c>
      <c r="I1913" t="n">
        <v>3.5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51934-2023</t>
        </is>
      </c>
      <c r="B1914" t="inlineStr">
        <is>
          <t>avverkningsanmälan</t>
        </is>
      </c>
      <c r="C1914" t="inlineStr">
        <is>
          <t>Föryngringsavverkning</t>
        </is>
      </c>
      <c r="D1914" s="1" t="n">
        <v>45223</v>
      </c>
      <c r="E1914" s="1" t="n">
        <v>46216</v>
      </c>
      <c r="F1914" t="inlineStr">
        <is>
          <t>BLEKINGE LÄN</t>
        </is>
      </c>
      <c r="G1914" t="inlineStr">
        <is>
          <t>KARLSKRONA</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11165-2025</t>
        </is>
      </c>
      <c r="B1915" t="inlineStr">
        <is>
          <t>avverkningsanmälan</t>
        </is>
      </c>
      <c r="C1915" t="inlineStr">
        <is>
          <t>Föryngringsavverkning</t>
        </is>
      </c>
      <c r="D1915" s="1" t="n">
        <v>45724</v>
      </c>
      <c r="E1915" s="1" t="n">
        <v>46216</v>
      </c>
      <c r="F1915" t="inlineStr">
        <is>
          <t>BLEKINGE LÄN</t>
        </is>
      </c>
      <c r="G1915" t="inlineStr">
        <is>
          <t>RONNEBY</t>
        </is>
      </c>
      <c r="I1915" t="n">
        <v>1.4</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22800-2026</t>
        </is>
      </c>
      <c r="B1916" t="inlineStr">
        <is>
          <t>avverkningsanmälan</t>
        </is>
      </c>
      <c r="C1916" t="inlineStr">
        <is>
          <t>Föryngringsavverkning</t>
        </is>
      </c>
      <c r="D1916" s="1" t="n">
        <v>46158</v>
      </c>
      <c r="E1916" s="1" t="n">
        <v>46216</v>
      </c>
      <c r="F1916" t="inlineStr">
        <is>
          <t>BLEKINGE LÄN</t>
        </is>
      </c>
      <c r="G1916" t="inlineStr">
        <is>
          <t>KARLSKRONA</t>
        </is>
      </c>
      <c r="I1916" t="n">
        <v>2.4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40579-2023</t>
        </is>
      </c>
      <c r="B1917" t="inlineStr">
        <is>
          <t>avverkningsanmälan</t>
        </is>
      </c>
      <c r="C1917" t="inlineStr">
        <is>
          <t>Föryngringsavverkning</t>
        </is>
      </c>
      <c r="D1917" s="1" t="n">
        <v>45170</v>
      </c>
      <c r="E1917" s="1" t="n">
        <v>46216</v>
      </c>
      <c r="F1917" t="inlineStr">
        <is>
          <t>BLEKINGE LÄN</t>
        </is>
      </c>
      <c r="G1917" t="inlineStr">
        <is>
          <t>KARLSKRONA</t>
        </is>
      </c>
      <c r="I1917" t="n">
        <v>9.199999999999999</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26706-2026</t>
        </is>
      </c>
      <c r="B1918" t="inlineStr">
        <is>
          <t>avverkningsanmälan</t>
        </is>
      </c>
      <c r="C1918" t="inlineStr">
        <is>
          <t>Föryngringsavverkning</t>
        </is>
      </c>
      <c r="D1918" s="1" t="n">
        <v>46184</v>
      </c>
      <c r="E1918" s="1" t="n">
        <v>46216</v>
      </c>
      <c r="F1918" t="inlineStr">
        <is>
          <t>BLEKINGE LÄN</t>
        </is>
      </c>
      <c r="G1918" t="inlineStr">
        <is>
          <t>RONNEBY</t>
        </is>
      </c>
      <c r="I1918" t="n">
        <v>2.5</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29250-2026</t>
        </is>
      </c>
      <c r="B1919" t="inlineStr">
        <is>
          <t>avverkningsanmälan</t>
        </is>
      </c>
      <c r="C1919" t="inlineStr">
        <is>
          <t>Föryngringsavverkning</t>
        </is>
      </c>
      <c r="D1919" s="1" t="n">
        <v>46202</v>
      </c>
      <c r="E1919" s="1" t="n">
        <v>46216</v>
      </c>
      <c r="F1919" t="inlineStr">
        <is>
          <t>BLEKINGE LÄN</t>
        </is>
      </c>
      <c r="G1919" t="inlineStr">
        <is>
          <t>OLOFSTRÖM</t>
        </is>
      </c>
      <c r="I1919" t="n">
        <v>0.8</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18730-2023</t>
        </is>
      </c>
      <c r="B1920" t="inlineStr">
        <is>
          <t>avverkningsanmälan</t>
        </is>
      </c>
      <c r="C1920" t="inlineStr">
        <is>
          <t>Föryngringsavverkning</t>
        </is>
      </c>
      <c r="D1920" s="1" t="n">
        <v>45042</v>
      </c>
      <c r="E1920" s="1" t="n">
        <v>46216</v>
      </c>
      <c r="F1920" t="inlineStr">
        <is>
          <t>BLEKINGE LÄN</t>
        </is>
      </c>
      <c r="G1920" t="inlineStr">
        <is>
          <t>KARLSKRONA</t>
        </is>
      </c>
      <c r="I1920" t="n">
        <v>1.5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14234-2022</t>
        </is>
      </c>
      <c r="B1921" t="inlineStr">
        <is>
          <t>avverkningsanmälan</t>
        </is>
      </c>
      <c r="C1921" t="inlineStr">
        <is>
          <t>Föryngringsavverkning</t>
        </is>
      </c>
      <c r="D1921" s="1" t="n">
        <v>44651</v>
      </c>
      <c r="E1921" s="1" t="n">
        <v>46216</v>
      </c>
      <c r="F1921" t="inlineStr">
        <is>
          <t>BLEKINGE LÄN</t>
        </is>
      </c>
      <c r="G1921" t="inlineStr">
        <is>
          <t>RONNEBY</t>
        </is>
      </c>
      <c r="I1921" t="n">
        <v>8.300000000000001</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29261-2026</t>
        </is>
      </c>
      <c r="B1922" t="inlineStr">
        <is>
          <t>avverkningsanmälan</t>
        </is>
      </c>
      <c r="C1922" t="inlineStr">
        <is>
          <t>Föryngringsavverkning</t>
        </is>
      </c>
      <c r="D1922" s="1" t="n">
        <v>46202</v>
      </c>
      <c r="E1922" s="1" t="n">
        <v>46216</v>
      </c>
      <c r="F1922" t="inlineStr">
        <is>
          <t>BLEKINGE LÄN</t>
        </is>
      </c>
      <c r="G1922" t="inlineStr">
        <is>
          <t>RONNEBY</t>
        </is>
      </c>
      <c r="I1922" t="n">
        <v>0.8</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16200-2024</t>
        </is>
      </c>
      <c r="B1923" t="inlineStr">
        <is>
          <t>avverkningsanmälan</t>
        </is>
      </c>
      <c r="C1923" t="inlineStr">
        <is>
          <t>Föryngringsavverkning</t>
        </is>
      </c>
      <c r="D1923" s="1" t="n">
        <v>45406</v>
      </c>
      <c r="E1923" s="1" t="n">
        <v>46216</v>
      </c>
      <c r="F1923" t="inlineStr">
        <is>
          <t>BLEKINGE LÄN</t>
        </is>
      </c>
      <c r="G1923" t="inlineStr">
        <is>
          <t>KARLSKRONA</t>
        </is>
      </c>
      <c r="I1923" t="n">
        <v>0.9</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23055-2026</t>
        </is>
      </c>
      <c r="B1924" t="inlineStr">
        <is>
          <t>avverkningsanmälan</t>
        </is>
      </c>
      <c r="C1924" t="inlineStr">
        <is>
          <t>Föryngringsavverkning</t>
        </is>
      </c>
      <c r="D1924" s="1" t="n">
        <v>46161</v>
      </c>
      <c r="E1924" s="1" t="n">
        <v>46216</v>
      </c>
      <c r="F1924" t="inlineStr">
        <is>
          <t>BLEKINGE LÄN</t>
        </is>
      </c>
      <c r="G1924" t="inlineStr">
        <is>
          <t>KARLSHAMN</t>
        </is>
      </c>
      <c r="I1924" t="n">
        <v>2.4</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38392-2023</t>
        </is>
      </c>
      <c r="B1925" t="inlineStr">
        <is>
          <t>avverkningsanmälan</t>
        </is>
      </c>
      <c r="C1925" t="inlineStr">
        <is>
          <t>Avverkning för annat ändamål</t>
        </is>
      </c>
      <c r="D1925" s="1" t="n">
        <v>45162</v>
      </c>
      <c r="E1925" s="1" t="n">
        <v>46216</v>
      </c>
      <c r="F1925" t="inlineStr">
        <is>
          <t>BLEKINGE LÄN</t>
        </is>
      </c>
      <c r="G1925" t="inlineStr">
        <is>
          <t>KARLSKRONA</t>
        </is>
      </c>
      <c r="I1925" t="n">
        <v>0.6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6470-2025</t>
        </is>
      </c>
      <c r="B1926" t="inlineStr">
        <is>
          <t>avverkningsanmälan</t>
        </is>
      </c>
      <c r="C1926" t="inlineStr">
        <is>
          <t>Föryngringsavverkning</t>
        </is>
      </c>
      <c r="D1926" s="1" t="n">
        <v>45699</v>
      </c>
      <c r="E1926" s="1" t="n">
        <v>46216</v>
      </c>
      <c r="F1926" t="inlineStr">
        <is>
          <t>BLEKINGE LÄN</t>
        </is>
      </c>
      <c r="G1926" t="inlineStr">
        <is>
          <t>KARLSKRONA</t>
        </is>
      </c>
      <c r="I1926" t="n">
        <v>1.6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42208-2021</t>
        </is>
      </c>
      <c r="B1927" t="inlineStr">
        <is>
          <t>avverkningsanmälan</t>
        </is>
      </c>
      <c r="C1927" t="inlineStr">
        <is>
          <t>Föryngringsavverkning</t>
        </is>
      </c>
      <c r="D1927" s="1" t="n">
        <v>44426</v>
      </c>
      <c r="E1927" s="1" t="n">
        <v>46216</v>
      </c>
      <c r="F1927" t="inlineStr">
        <is>
          <t>BLEKINGE LÄN</t>
        </is>
      </c>
      <c r="G1927" t="inlineStr">
        <is>
          <t>KARLSHAMN</t>
        </is>
      </c>
      <c r="I1927" t="n">
        <v>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56539-2022</t>
        </is>
      </c>
      <c r="B1928" t="inlineStr">
        <is>
          <t>avverkningsanmälan</t>
        </is>
      </c>
      <c r="C1928" t="inlineStr">
        <is>
          <t>Föryngringsavverkning</t>
        </is>
      </c>
      <c r="D1928" s="1" t="n">
        <v>44893</v>
      </c>
      <c r="E1928" s="1" t="n">
        <v>46216</v>
      </c>
      <c r="F1928" t="inlineStr">
        <is>
          <t>BLEKINGE LÄN</t>
        </is>
      </c>
      <c r="G1928" t="inlineStr">
        <is>
          <t>KARLSKRONA</t>
        </is>
      </c>
      <c r="I1928" t="n">
        <v>3</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58015-2024</t>
        </is>
      </c>
      <c r="B1929" t="inlineStr">
        <is>
          <t>avverkningsanmälan</t>
        </is>
      </c>
      <c r="C1929" t="inlineStr">
        <is>
          <t>Föryngringsavverkning</t>
        </is>
      </c>
      <c r="D1929" s="1" t="n">
        <v>45631</v>
      </c>
      <c r="E1929" s="1" t="n">
        <v>46216</v>
      </c>
      <c r="F1929" t="inlineStr">
        <is>
          <t>BLEKINGE LÄN</t>
        </is>
      </c>
      <c r="G1929" t="inlineStr">
        <is>
          <t>KARLSHAMN</t>
        </is>
      </c>
      <c r="I1929" t="n">
        <v>4.2</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8040-2025</t>
        </is>
      </c>
      <c r="B1930" t="inlineStr">
        <is>
          <t>avverkningsanmälan</t>
        </is>
      </c>
      <c r="C1930" t="inlineStr">
        <is>
          <t>Föryngringsavverkning</t>
        </is>
      </c>
      <c r="D1930" s="1" t="n">
        <v>45707</v>
      </c>
      <c r="E1930" s="1" t="n">
        <v>46216</v>
      </c>
      <c r="F1930" t="inlineStr">
        <is>
          <t>BLEKINGE LÄN</t>
        </is>
      </c>
      <c r="G1930" t="inlineStr">
        <is>
          <t>OLOFSTRÖM</t>
        </is>
      </c>
      <c r="I1930" t="n">
        <v>0.7</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62334-2023</t>
        </is>
      </c>
      <c r="B1931" t="inlineStr">
        <is>
          <t>avverkningsanmälan</t>
        </is>
      </c>
      <c r="C1931" t="inlineStr">
        <is>
          <t>Föryngringsavverkning</t>
        </is>
      </c>
      <c r="D1931" s="1" t="n">
        <v>45266</v>
      </c>
      <c r="E1931" s="1" t="n">
        <v>46216</v>
      </c>
      <c r="F1931" t="inlineStr">
        <is>
          <t>BLEKINGE LÄN</t>
        </is>
      </c>
      <c r="G1931" t="inlineStr">
        <is>
          <t>SÖLVESBORG</t>
        </is>
      </c>
      <c r="I1931" t="n">
        <v>6.2</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13988-2023</t>
        </is>
      </c>
      <c r="B1932" t="inlineStr">
        <is>
          <t>avverkningsanmälan</t>
        </is>
      </c>
      <c r="C1932" t="inlineStr">
        <is>
          <t>Föryngringsavverkning</t>
        </is>
      </c>
      <c r="D1932" s="1" t="n">
        <v>45008</v>
      </c>
      <c r="E1932" s="1" t="n">
        <v>46216</v>
      </c>
      <c r="F1932" t="inlineStr">
        <is>
          <t>BLEKINGE LÄN</t>
        </is>
      </c>
      <c r="G1932" t="inlineStr">
        <is>
          <t>OLOFSTRÖM</t>
        </is>
      </c>
      <c r="I1932" t="n">
        <v>3.2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46466-2023</t>
        </is>
      </c>
      <c r="B1933" t="inlineStr">
        <is>
          <t>avverkningsanmälan</t>
        </is>
      </c>
      <c r="C1933" t="inlineStr">
        <is>
          <t>Föryngringsavverkning</t>
        </is>
      </c>
      <c r="D1933" s="1" t="n">
        <v>45197</v>
      </c>
      <c r="E1933" s="1" t="n">
        <v>46216</v>
      </c>
      <c r="F1933" t="inlineStr">
        <is>
          <t>BLEKINGE LÄN</t>
        </is>
      </c>
      <c r="G1933" t="inlineStr">
        <is>
          <t>KARLSHAMN</t>
        </is>
      </c>
      <c r="I1933" t="n">
        <v>1.3</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28857-2023</t>
        </is>
      </c>
      <c r="B1934" t="inlineStr">
        <is>
          <t>avverkningsanmälan</t>
        </is>
      </c>
      <c r="C1934" t="inlineStr">
        <is>
          <t>Föryngringsavverkning</t>
        </is>
      </c>
      <c r="D1934" s="1" t="n">
        <v>45104</v>
      </c>
      <c r="E1934" s="1" t="n">
        <v>46216</v>
      </c>
      <c r="F1934" t="inlineStr">
        <is>
          <t>BLEKINGE LÄN</t>
        </is>
      </c>
      <c r="G1934" t="inlineStr">
        <is>
          <t>OLOFSTRÖM</t>
        </is>
      </c>
      <c r="I1934" t="n">
        <v>1</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41682-2024</t>
        </is>
      </c>
      <c r="B1935" t="inlineStr">
        <is>
          <t>avverkningsanmälan</t>
        </is>
      </c>
      <c r="C1935" t="inlineStr">
        <is>
          <t>Föryngringsavverkning</t>
        </is>
      </c>
      <c r="D1935" s="1" t="n">
        <v>45560</v>
      </c>
      <c r="E1935" s="1" t="n">
        <v>46216</v>
      </c>
      <c r="F1935" t="inlineStr">
        <is>
          <t>BLEKINGE LÄN</t>
        </is>
      </c>
      <c r="G1935" t="inlineStr">
        <is>
          <t>RONNEBY</t>
        </is>
      </c>
      <c r="H1935" t="inlineStr">
        <is>
          <t>Övriga Aktiebolag</t>
        </is>
      </c>
      <c r="I1935" t="n">
        <v>1.1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38886-2022</t>
        </is>
      </c>
      <c r="B1936" t="inlineStr">
        <is>
          <t>avverkningsanmälan</t>
        </is>
      </c>
      <c r="C1936" t="inlineStr">
        <is>
          <t>Föryngringsavverkning</t>
        </is>
      </c>
      <c r="D1936" s="1" t="n">
        <v>44816</v>
      </c>
      <c r="E1936" s="1" t="n">
        <v>46216</v>
      </c>
      <c r="F1936" t="inlineStr">
        <is>
          <t>BLEKINGE LÄN</t>
        </is>
      </c>
      <c r="G1936" t="inlineStr">
        <is>
          <t>OLOFSTRÖM</t>
        </is>
      </c>
      <c r="I1936" t="n">
        <v>1.6</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16684-2024</t>
        </is>
      </c>
      <c r="B1937" t="inlineStr">
        <is>
          <t>avverkningsanmälan</t>
        </is>
      </c>
      <c r="C1937" t="inlineStr">
        <is>
          <t>Föryngringsavverkning</t>
        </is>
      </c>
      <c r="D1937" s="1" t="n">
        <v>45408</v>
      </c>
      <c r="E1937" s="1" t="n">
        <v>46216</v>
      </c>
      <c r="F1937" t="inlineStr">
        <is>
          <t>BLEKINGE LÄN</t>
        </is>
      </c>
      <c r="G1937" t="inlineStr">
        <is>
          <t>RONNEBY</t>
        </is>
      </c>
      <c r="I1937" t="n">
        <v>0.9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29245-2026</t>
        </is>
      </c>
      <c r="B1938" t="inlineStr">
        <is>
          <t>avverkningsanmälan</t>
        </is>
      </c>
      <c r="C1938" t="inlineStr">
        <is>
          <t>Föryngringsavverkning</t>
        </is>
      </c>
      <c r="D1938" s="1" t="n">
        <v>46202</v>
      </c>
      <c r="E1938" s="1" t="n">
        <v>46216</v>
      </c>
      <c r="F1938" t="inlineStr">
        <is>
          <t>BLEKINGE LÄN</t>
        </is>
      </c>
      <c r="G1938" t="inlineStr">
        <is>
          <t>OLOFSTRÖM</t>
        </is>
      </c>
      <c r="I1938" t="n">
        <v>1.1</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27400-2023</t>
        </is>
      </c>
      <c r="B1939" t="inlineStr">
        <is>
          <t>avverkningsanmälan</t>
        </is>
      </c>
      <c r="C1939" t="inlineStr">
        <is>
          <t>Föryngringsavverkning</t>
        </is>
      </c>
      <c r="D1939" s="1" t="n">
        <v>45097</v>
      </c>
      <c r="E1939" s="1" t="n">
        <v>46216</v>
      </c>
      <c r="F1939" t="inlineStr">
        <is>
          <t>BLEKINGE LÄN</t>
        </is>
      </c>
      <c r="G1939" t="inlineStr">
        <is>
          <t>RONNEBY</t>
        </is>
      </c>
      <c r="I1939" t="n">
        <v>0.7</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44530-2023</t>
        </is>
      </c>
      <c r="B1940" t="inlineStr">
        <is>
          <t>avverkningsanmälan</t>
        </is>
      </c>
      <c r="C1940" t="inlineStr">
        <is>
          <t>Föryngringsavverkning</t>
        </is>
      </c>
      <c r="D1940" s="1" t="n">
        <v>45189</v>
      </c>
      <c r="E1940" s="1" t="n">
        <v>46216</v>
      </c>
      <c r="F1940" t="inlineStr">
        <is>
          <t>BLEKINGE LÄN</t>
        </is>
      </c>
      <c r="G1940" t="inlineStr">
        <is>
          <t>RONNEBY</t>
        </is>
      </c>
      <c r="I1940" t="n">
        <v>3</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19642-2023</t>
        </is>
      </c>
      <c r="B1941" t="inlineStr">
        <is>
          <t>avverkningsanmälan</t>
        </is>
      </c>
      <c r="C1941" t="inlineStr">
        <is>
          <t>Föryngringsavverkning</t>
        </is>
      </c>
      <c r="D1941" s="1" t="n">
        <v>45051</v>
      </c>
      <c r="E1941" s="1" t="n">
        <v>46216</v>
      </c>
      <c r="F1941" t="inlineStr">
        <is>
          <t>BLEKINGE LÄN</t>
        </is>
      </c>
      <c r="G1941" t="inlineStr">
        <is>
          <t>RONNEBY</t>
        </is>
      </c>
      <c r="I1941" t="n">
        <v>0.5</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26603-2025</t>
        </is>
      </c>
      <c r="B1942" t="inlineStr">
        <is>
          <t>avverkningsanmälan</t>
        </is>
      </c>
      <c r="C1942" t="inlineStr">
        <is>
          <t>Föryngringsavverkning</t>
        </is>
      </c>
      <c r="D1942" s="1" t="n">
        <v>45809</v>
      </c>
      <c r="E1942" s="1" t="n">
        <v>46216</v>
      </c>
      <c r="F1942" t="inlineStr">
        <is>
          <t>BLEKINGE LÄN</t>
        </is>
      </c>
      <c r="G1942" t="inlineStr">
        <is>
          <t>KARLSKRONA</t>
        </is>
      </c>
      <c r="I1942" t="n">
        <v>3.9</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10248-2022</t>
        </is>
      </c>
      <c r="B1943" t="inlineStr">
        <is>
          <t>avverkningsanmälan</t>
        </is>
      </c>
      <c r="C1943" t="inlineStr">
        <is>
          <t>Föryngringsavverkning</t>
        </is>
      </c>
      <c r="D1943" s="1" t="n">
        <v>44622</v>
      </c>
      <c r="E1943" s="1" t="n">
        <v>46216</v>
      </c>
      <c r="F1943" t="inlineStr">
        <is>
          <t>BLEKINGE LÄN</t>
        </is>
      </c>
      <c r="G1943" t="inlineStr">
        <is>
          <t>OLOFSTRÖM</t>
        </is>
      </c>
      <c r="I1943" t="n">
        <v>18.4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26490-2023</t>
        </is>
      </c>
      <c r="B1944" t="inlineStr">
        <is>
          <t>avverkningsanmälan</t>
        </is>
      </c>
      <c r="C1944" t="inlineStr">
        <is>
          <t>Föryngringsavverkning</t>
        </is>
      </c>
      <c r="D1944" s="1" t="n">
        <v>45092</v>
      </c>
      <c r="E1944" s="1" t="n">
        <v>46216</v>
      </c>
      <c r="F1944" t="inlineStr">
        <is>
          <t>BLEKINGE LÄN</t>
        </is>
      </c>
      <c r="G1944" t="inlineStr">
        <is>
          <t>KARLSKRONA</t>
        </is>
      </c>
      <c r="I1944" t="n">
        <v>10.8</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26493-2023</t>
        </is>
      </c>
      <c r="B1945" t="inlineStr">
        <is>
          <t>avverkningsanmälan</t>
        </is>
      </c>
      <c r="C1945" t="inlineStr">
        <is>
          <t>Föryngringsavverkning</t>
        </is>
      </c>
      <c r="D1945" s="1" t="n">
        <v>45092</v>
      </c>
      <c r="E1945" s="1" t="n">
        <v>46216</v>
      </c>
      <c r="F1945" t="inlineStr">
        <is>
          <t>BLEKINGE LÄN</t>
        </is>
      </c>
      <c r="G1945" t="inlineStr">
        <is>
          <t>SÖLVESBORG</t>
        </is>
      </c>
      <c r="I1945" t="n">
        <v>3.2</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13688-2023</t>
        </is>
      </c>
      <c r="B1946" t="inlineStr">
        <is>
          <t>avverkningsanmälan</t>
        </is>
      </c>
      <c r="C1946" t="inlineStr">
        <is>
          <t>Föryngringsavverkning</t>
        </is>
      </c>
      <c r="D1946" s="1" t="n">
        <v>45006</v>
      </c>
      <c r="E1946" s="1" t="n">
        <v>46216</v>
      </c>
      <c r="F1946" t="inlineStr">
        <is>
          <t>BLEKINGE LÄN</t>
        </is>
      </c>
      <c r="G1946" t="inlineStr">
        <is>
          <t>RONNEBY</t>
        </is>
      </c>
      <c r="I1946" t="n">
        <v>1.2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56107-2023</t>
        </is>
      </c>
      <c r="B1947" t="inlineStr">
        <is>
          <t>avverkningsanmälan</t>
        </is>
      </c>
      <c r="C1947" t="inlineStr">
        <is>
          <t>Föryngringsavverkning</t>
        </is>
      </c>
      <c r="D1947" s="1" t="n">
        <v>45233</v>
      </c>
      <c r="E1947" s="1" t="n">
        <v>46216</v>
      </c>
      <c r="F1947" t="inlineStr">
        <is>
          <t>BLEKINGE LÄN</t>
        </is>
      </c>
      <c r="G1947" t="inlineStr">
        <is>
          <t>OLOFSTRÖM</t>
        </is>
      </c>
      <c r="I1947" t="n">
        <v>3.1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22796-2026</t>
        </is>
      </c>
      <c r="B1948" t="inlineStr">
        <is>
          <t>avverkningsanmälan</t>
        </is>
      </c>
      <c r="C1948" t="inlineStr">
        <is>
          <t>Föryngringsavverkning</t>
        </is>
      </c>
      <c r="D1948" s="1" t="n">
        <v>46158</v>
      </c>
      <c r="E1948" s="1" t="n">
        <v>46216</v>
      </c>
      <c r="F1948" t="inlineStr">
        <is>
          <t>BLEKINGE LÄN</t>
        </is>
      </c>
      <c r="G1948" t="inlineStr">
        <is>
          <t>KARLSKRONA</t>
        </is>
      </c>
      <c r="I1948" t="n">
        <v>3.1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22798-2026</t>
        </is>
      </c>
      <c r="B1949" t="inlineStr">
        <is>
          <t>avverkningsanmälan</t>
        </is>
      </c>
      <c r="C1949" t="inlineStr">
        <is>
          <t>Föryngringsavverkning</t>
        </is>
      </c>
      <c r="D1949" s="1" t="n">
        <v>46158</v>
      </c>
      <c r="E1949" s="1" t="n">
        <v>46216</v>
      </c>
      <c r="F1949" t="inlineStr">
        <is>
          <t>BLEKINGE LÄN</t>
        </is>
      </c>
      <c r="G1949" t="inlineStr">
        <is>
          <t>KARLSKRONA</t>
        </is>
      </c>
      <c r="I1949" t="n">
        <v>7.5</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22801-2026</t>
        </is>
      </c>
      <c r="B1950" t="inlineStr">
        <is>
          <t>avverkningsanmälan</t>
        </is>
      </c>
      <c r="C1950" t="inlineStr">
        <is>
          <t>Föryngringsavverkning</t>
        </is>
      </c>
      <c r="D1950" s="1" t="n">
        <v>46158</v>
      </c>
      <c r="E1950" s="1" t="n">
        <v>46216</v>
      </c>
      <c r="F1950" t="inlineStr">
        <is>
          <t>BLEKINGE LÄN</t>
        </is>
      </c>
      <c r="G1950" t="inlineStr">
        <is>
          <t>KARLSKRONA</t>
        </is>
      </c>
      <c r="I1950" t="n">
        <v>5.4</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22802-2026</t>
        </is>
      </c>
      <c r="B1951" t="inlineStr">
        <is>
          <t>avverkningsanmälan</t>
        </is>
      </c>
      <c r="C1951" t="inlineStr">
        <is>
          <t>Föryngringsavverkning</t>
        </is>
      </c>
      <c r="D1951" s="1" t="n">
        <v>46158</v>
      </c>
      <c r="E1951" s="1" t="n">
        <v>46216</v>
      </c>
      <c r="F1951" t="inlineStr">
        <is>
          <t>BLEKINGE LÄN</t>
        </is>
      </c>
      <c r="G1951" t="inlineStr">
        <is>
          <t>KARLSKRONA</t>
        </is>
      </c>
      <c r="I1951" t="n">
        <v>4.3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22561-2023</t>
        </is>
      </c>
      <c r="B1952" t="inlineStr">
        <is>
          <t>avverkningsanmälan</t>
        </is>
      </c>
      <c r="C1952" t="inlineStr">
        <is>
          <t>Föryngringsavverkning</t>
        </is>
      </c>
      <c r="D1952" s="1" t="n">
        <v>45069</v>
      </c>
      <c r="E1952" s="1" t="n">
        <v>46216</v>
      </c>
      <c r="F1952" t="inlineStr">
        <is>
          <t>BLEKINGE LÄN</t>
        </is>
      </c>
      <c r="G1952" t="inlineStr">
        <is>
          <t>SÖLVESBORG</t>
        </is>
      </c>
      <c r="I1952" t="n">
        <v>1.5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19660-2025</t>
        </is>
      </c>
      <c r="B1953" t="inlineStr">
        <is>
          <t>avverkningsanmälan</t>
        </is>
      </c>
      <c r="C1953" t="inlineStr">
        <is>
          <t>Föryngringsavverkning</t>
        </is>
      </c>
      <c r="D1953" s="1" t="n">
        <v>45770</v>
      </c>
      <c r="E1953" s="1" t="n">
        <v>46216</v>
      </c>
      <c r="F1953" t="inlineStr">
        <is>
          <t>BLEKINGE LÄN</t>
        </is>
      </c>
      <c r="G1953" t="inlineStr">
        <is>
          <t>KARLSHAMN</t>
        </is>
      </c>
      <c r="I1953" t="n">
        <v>7.1</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73259-2021</t>
        </is>
      </c>
      <c r="B1954" t="inlineStr">
        <is>
          <t>avverkningsanmälan</t>
        </is>
      </c>
      <c r="C1954" t="inlineStr">
        <is>
          <t>Föryngringsavverkning</t>
        </is>
      </c>
      <c r="D1954" s="1" t="n">
        <v>44550</v>
      </c>
      <c r="E1954" s="1" t="n">
        <v>46216</v>
      </c>
      <c r="F1954" t="inlineStr">
        <is>
          <t>BLEKINGE LÄN</t>
        </is>
      </c>
      <c r="G1954" t="inlineStr">
        <is>
          <t>OLOFSTRÖM</t>
        </is>
      </c>
      <c r="I1954" t="n">
        <v>3.1</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61346-2024</t>
        </is>
      </c>
      <c r="B1955" t="inlineStr">
        <is>
          <t>avverkningsanmälan</t>
        </is>
      </c>
      <c r="C1955" t="inlineStr">
        <is>
          <t>Föryngringsavverkning</t>
        </is>
      </c>
      <c r="D1955" s="1" t="n">
        <v>45646</v>
      </c>
      <c r="E1955" s="1" t="n">
        <v>46216</v>
      </c>
      <c r="F1955" t="inlineStr">
        <is>
          <t>BLEKINGE LÄN</t>
        </is>
      </c>
      <c r="G1955" t="inlineStr">
        <is>
          <t>RONNEBY</t>
        </is>
      </c>
      <c r="I1955" t="n">
        <v>4.6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29248-2026</t>
        </is>
      </c>
      <c r="B1956" t="inlineStr">
        <is>
          <t>avverkningsanmälan</t>
        </is>
      </c>
      <c r="C1956" t="inlineStr">
        <is>
          <t>Föryngringsavverkning</t>
        </is>
      </c>
      <c r="D1956" s="1" t="n">
        <v>46202</v>
      </c>
      <c r="E1956" s="1" t="n">
        <v>46216</v>
      </c>
      <c r="F1956" t="inlineStr">
        <is>
          <t>BLEKINGE LÄN</t>
        </is>
      </c>
      <c r="G1956" t="inlineStr">
        <is>
          <t>KARLSHAMN</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8130-2025</t>
        </is>
      </c>
      <c r="B1957" t="inlineStr">
        <is>
          <t>avverkningsanmälan</t>
        </is>
      </c>
      <c r="C1957" t="inlineStr">
        <is>
          <t>Avverkning för annat ändamål</t>
        </is>
      </c>
      <c r="D1957" s="1" t="n">
        <v>45707</v>
      </c>
      <c r="E1957" s="1" t="n">
        <v>46216</v>
      </c>
      <c r="F1957" t="inlineStr">
        <is>
          <t>BLEKINGE LÄN</t>
        </is>
      </c>
      <c r="G1957" t="inlineStr">
        <is>
          <t>SÖLVESBORG</t>
        </is>
      </c>
      <c r="I1957" t="n">
        <v>0.2</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22799-2026</t>
        </is>
      </c>
      <c r="B1958" t="inlineStr">
        <is>
          <t>avverkningsanmälan</t>
        </is>
      </c>
      <c r="C1958" t="inlineStr">
        <is>
          <t>Föryngringsavverkning</t>
        </is>
      </c>
      <c r="D1958" s="1" t="n">
        <v>46158</v>
      </c>
      <c r="E1958" s="1" t="n">
        <v>46216</v>
      </c>
      <c r="F1958" t="inlineStr">
        <is>
          <t>BLEKINGE LÄN</t>
        </is>
      </c>
      <c r="G1958" t="inlineStr">
        <is>
          <t>KARLSKRONA</t>
        </is>
      </c>
      <c r="I1958" t="n">
        <v>5.8</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16674-2025</t>
        </is>
      </c>
      <c r="B1959" t="inlineStr">
        <is>
          <t>avverkningsanmälan</t>
        </is>
      </c>
      <c r="C1959" t="inlineStr">
        <is>
          <t>Föryngringsavverkning</t>
        </is>
      </c>
      <c r="D1959" s="1" t="n">
        <v>45754</v>
      </c>
      <c r="E1959" s="1" t="n">
        <v>46216</v>
      </c>
      <c r="F1959" t="inlineStr">
        <is>
          <t>BLEKINGE LÄN</t>
        </is>
      </c>
      <c r="G1959" t="inlineStr">
        <is>
          <t>KARLSHAMN</t>
        </is>
      </c>
      <c r="I1959" t="n">
        <v>1.4</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34451-2023</t>
        </is>
      </c>
      <c r="B1960" t="inlineStr">
        <is>
          <t>avverkningsanmälan</t>
        </is>
      </c>
      <c r="C1960" t="inlineStr">
        <is>
          <t>Föryngringsavverkning</t>
        </is>
      </c>
      <c r="D1960" s="1" t="n">
        <v>45139</v>
      </c>
      <c r="E1960" s="1" t="n">
        <v>46216</v>
      </c>
      <c r="F1960" t="inlineStr">
        <is>
          <t>BLEKINGE LÄN</t>
        </is>
      </c>
      <c r="G1960" t="inlineStr">
        <is>
          <t>RONNEBY</t>
        </is>
      </c>
      <c r="I1960" t="n">
        <v>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35097-2025</t>
        </is>
      </c>
      <c r="B1961" t="inlineStr">
        <is>
          <t>avverkningsanmälan</t>
        </is>
      </c>
      <c r="C1961" t="inlineStr">
        <is>
          <t>Föryngringsavverkning</t>
        </is>
      </c>
      <c r="D1961" s="1" t="n">
        <v>45852</v>
      </c>
      <c r="E1961" s="1" t="n">
        <v>46216</v>
      </c>
      <c r="F1961" t="inlineStr">
        <is>
          <t>BLEKINGE LÄN</t>
        </is>
      </c>
      <c r="G1961" t="inlineStr">
        <is>
          <t>OLOFSTRÖM</t>
        </is>
      </c>
      <c r="I1961" t="n">
        <v>1.4</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38956-2023</t>
        </is>
      </c>
      <c r="B1962" t="inlineStr">
        <is>
          <t>avverkningsanmälan</t>
        </is>
      </c>
      <c r="C1962" t="inlineStr">
        <is>
          <t>Föryngringsavverkning</t>
        </is>
      </c>
      <c r="D1962" s="1" t="n">
        <v>45163</v>
      </c>
      <c r="E1962" s="1" t="n">
        <v>46216</v>
      </c>
      <c r="F1962" t="inlineStr">
        <is>
          <t>BLEKINGE LÄN</t>
        </is>
      </c>
      <c r="G1962" t="inlineStr">
        <is>
          <t>OLOFSTRÖM</t>
        </is>
      </c>
      <c r="I1962" t="n">
        <v>2.6</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690-2023</t>
        </is>
      </c>
      <c r="B1963" t="inlineStr">
        <is>
          <t>avverkningsanmälan</t>
        </is>
      </c>
      <c r="C1963" t="inlineStr">
        <is>
          <t>Föryngringsavverkning</t>
        </is>
      </c>
      <c r="D1963" s="1" t="n">
        <v>44930</v>
      </c>
      <c r="E1963" s="1" t="n">
        <v>46216</v>
      </c>
      <c r="F1963" t="inlineStr">
        <is>
          <t>BLEKINGE LÄN</t>
        </is>
      </c>
      <c r="G1963" t="inlineStr">
        <is>
          <t>KARLSKRONA</t>
        </is>
      </c>
      <c r="I1963" t="n">
        <v>1.5</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38980-2023</t>
        </is>
      </c>
      <c r="B1964" t="inlineStr">
        <is>
          <t>avverkningsanmälan</t>
        </is>
      </c>
      <c r="C1964" t="inlineStr">
        <is>
          <t>Föryngringsavverkning</t>
        </is>
      </c>
      <c r="D1964" s="1" t="n">
        <v>45163</v>
      </c>
      <c r="E1964" s="1" t="n">
        <v>46216</v>
      </c>
      <c r="F1964" t="inlineStr">
        <is>
          <t>BLEKINGE LÄN</t>
        </is>
      </c>
      <c r="G1964" t="inlineStr">
        <is>
          <t>KARLSHAMN</t>
        </is>
      </c>
      <c r="I1964" t="n">
        <v>1.3</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2721-2026</t>
        </is>
      </c>
      <c r="B1965" t="inlineStr">
        <is>
          <t>avverkningsanmälan</t>
        </is>
      </c>
      <c r="C1965" t="inlineStr">
        <is>
          <t>Föryngringsavverkning</t>
        </is>
      </c>
      <c r="D1965" s="1" t="n">
        <v>46037</v>
      </c>
      <c r="E1965" s="1" t="n">
        <v>46216</v>
      </c>
      <c r="F1965" t="inlineStr">
        <is>
          <t>BLEKINGE LÄN</t>
        </is>
      </c>
      <c r="G1965" t="inlineStr">
        <is>
          <t>KARLSKRONA</t>
        </is>
      </c>
      <c r="I1965" t="n">
        <v>0.9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23424-2023</t>
        </is>
      </c>
      <c r="B1966" t="inlineStr">
        <is>
          <t>avverkningsanmälan</t>
        </is>
      </c>
      <c r="C1966" t="inlineStr">
        <is>
          <t>Föryngringsavverkning</t>
        </is>
      </c>
      <c r="D1966" s="1" t="n">
        <v>45076</v>
      </c>
      <c r="E1966" s="1" t="n">
        <v>46216</v>
      </c>
      <c r="F1966" t="inlineStr">
        <is>
          <t>BLEKINGE LÄN</t>
        </is>
      </c>
      <c r="G1966" t="inlineStr">
        <is>
          <t>RONNEBY</t>
        </is>
      </c>
      <c r="I1966" t="n">
        <v>1.5</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29283-2026</t>
        </is>
      </c>
      <c r="B1967" t="inlineStr">
        <is>
          <t>avverkningsanmälan</t>
        </is>
      </c>
      <c r="C1967" t="inlineStr">
        <is>
          <t>Föryngringsavverkning</t>
        </is>
      </c>
      <c r="D1967" s="1" t="n">
        <v>46202</v>
      </c>
      <c r="E1967" s="1" t="n">
        <v>46216</v>
      </c>
      <c r="F1967" t="inlineStr">
        <is>
          <t>BLEKINGE LÄN</t>
        </is>
      </c>
      <c r="G1967" t="inlineStr">
        <is>
          <t>RONNEBY</t>
        </is>
      </c>
      <c r="I1967" t="n">
        <v>1.3</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33577-2022</t>
        </is>
      </c>
      <c r="B1968" t="inlineStr">
        <is>
          <t>avverkningsanmälan</t>
        </is>
      </c>
      <c r="C1968" t="inlineStr">
        <is>
          <t>Föryngringsavverkning</t>
        </is>
      </c>
      <c r="D1968" s="1" t="n">
        <v>44789</v>
      </c>
      <c r="E1968" s="1" t="n">
        <v>46216</v>
      </c>
      <c r="F1968" t="inlineStr">
        <is>
          <t>BLEKINGE LÄN</t>
        </is>
      </c>
      <c r="G1968" t="inlineStr">
        <is>
          <t>OLOFSTRÖM</t>
        </is>
      </c>
      <c r="I1968" t="n">
        <v>7.3</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29246-2026</t>
        </is>
      </c>
      <c r="B1969" t="inlineStr">
        <is>
          <t>avverkningsanmälan</t>
        </is>
      </c>
      <c r="C1969" t="inlineStr">
        <is>
          <t>Föryngringsavverkning</t>
        </is>
      </c>
      <c r="D1969" s="1" t="n">
        <v>46202</v>
      </c>
      <c r="E1969" s="1" t="n">
        <v>46216</v>
      </c>
      <c r="F1969" t="inlineStr">
        <is>
          <t>BLEKINGE LÄN</t>
        </is>
      </c>
      <c r="G1969" t="inlineStr">
        <is>
          <t>KARLSHAMN</t>
        </is>
      </c>
      <c r="I1969" t="n">
        <v>2.8</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7194-2026</t>
        </is>
      </c>
      <c r="B1970" t="inlineStr">
        <is>
          <t>avverkningsanmälan</t>
        </is>
      </c>
      <c r="C1970" t="inlineStr">
        <is>
          <t>Föryngringsavverkning</t>
        </is>
      </c>
      <c r="D1970" s="1" t="n">
        <v>46058</v>
      </c>
      <c r="E1970" s="1" t="n">
        <v>46216</v>
      </c>
      <c r="F1970" t="inlineStr">
        <is>
          <t>BLEKINGE LÄN</t>
        </is>
      </c>
      <c r="G1970" t="inlineStr">
        <is>
          <t>KARLSKRONA</t>
        </is>
      </c>
      <c r="I1970" t="n">
        <v>2.3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39925-2022</t>
        </is>
      </c>
      <c r="B1971" t="inlineStr">
        <is>
          <t>avverkningsanmälan</t>
        </is>
      </c>
      <c r="C1971" t="inlineStr">
        <is>
          <t>Föryngringsavverkning</t>
        </is>
      </c>
      <c r="D1971" s="1" t="n">
        <v>44819</v>
      </c>
      <c r="E1971" s="1" t="n">
        <v>46216</v>
      </c>
      <c r="F1971" t="inlineStr">
        <is>
          <t>BLEKINGE LÄN</t>
        </is>
      </c>
      <c r="G1971" t="inlineStr">
        <is>
          <t>RONNEBY</t>
        </is>
      </c>
      <c r="I1971" t="n">
        <v>3.6</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15196-2022</t>
        </is>
      </c>
      <c r="B1972" t="inlineStr">
        <is>
          <t>avverkningsanmälan</t>
        </is>
      </c>
      <c r="C1972" t="inlineStr">
        <is>
          <t>Föryngringsavverkning</t>
        </is>
      </c>
      <c r="D1972" s="1" t="n">
        <v>44658</v>
      </c>
      <c r="E1972" s="1" t="n">
        <v>46216</v>
      </c>
      <c r="F1972" t="inlineStr">
        <is>
          <t>BLEKINGE LÄN</t>
        </is>
      </c>
      <c r="G1972" t="inlineStr">
        <is>
          <t>RONNEBY</t>
        </is>
      </c>
      <c r="I1972" t="n">
        <v>3.9</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23382-2026</t>
        </is>
      </c>
      <c r="B1973" t="inlineStr">
        <is>
          <t>avverkningsanmälan</t>
        </is>
      </c>
      <c r="C1973" t="inlineStr">
        <is>
          <t>Föryngringsavverkning</t>
        </is>
      </c>
      <c r="D1973" s="1" t="n">
        <v>46162</v>
      </c>
      <c r="E1973" s="1" t="n">
        <v>46216</v>
      </c>
      <c r="F1973" t="inlineStr">
        <is>
          <t>BLEKINGE LÄN</t>
        </is>
      </c>
      <c r="G1973" t="inlineStr">
        <is>
          <t>RONNEBY</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2206-2024</t>
        </is>
      </c>
      <c r="B1974" t="inlineStr">
        <is>
          <t>avverkningsanmälan</t>
        </is>
      </c>
      <c r="C1974" t="inlineStr">
        <is>
          <t>Föryngringsavverkning</t>
        </is>
      </c>
      <c r="D1974" s="1" t="n">
        <v>45309</v>
      </c>
      <c r="E1974" s="1" t="n">
        <v>46216</v>
      </c>
      <c r="F1974" t="inlineStr">
        <is>
          <t>BLEKINGE LÄN</t>
        </is>
      </c>
      <c r="G1974" t="inlineStr">
        <is>
          <t>KARLSHAMN</t>
        </is>
      </c>
      <c r="I1974" t="n">
        <v>4.9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49688-2024</t>
        </is>
      </c>
      <c r="B1975" t="inlineStr">
        <is>
          <t>avverkningsanmälan</t>
        </is>
      </c>
      <c r="C1975" t="inlineStr">
        <is>
          <t>Föryngringsavverkning</t>
        </is>
      </c>
      <c r="D1975" s="1" t="n">
        <v>45596</v>
      </c>
      <c r="E1975" s="1" t="n">
        <v>46216</v>
      </c>
      <c r="F1975" t="inlineStr">
        <is>
          <t>BLEKINGE LÄN</t>
        </is>
      </c>
      <c r="G1975" t="inlineStr">
        <is>
          <t>KARLSHAMN</t>
        </is>
      </c>
      <c r="I1975" t="n">
        <v>10</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49689-2024</t>
        </is>
      </c>
      <c r="B1976" t="inlineStr">
        <is>
          <t>avverkningsanmälan</t>
        </is>
      </c>
      <c r="C1976" t="inlineStr">
        <is>
          <t>Föryngringsavverkning</t>
        </is>
      </c>
      <c r="D1976" s="1" t="n">
        <v>45596</v>
      </c>
      <c r="E1976" s="1" t="n">
        <v>46216</v>
      </c>
      <c r="F1976" t="inlineStr">
        <is>
          <t>BLEKINGE LÄN</t>
        </is>
      </c>
      <c r="G1976" t="inlineStr">
        <is>
          <t>KARLSHAMN</t>
        </is>
      </c>
      <c r="I1976" t="n">
        <v>1.5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9153-2026</t>
        </is>
      </c>
      <c r="B1977" t="inlineStr">
        <is>
          <t>avverkningsanmälan</t>
        </is>
      </c>
      <c r="C1977" t="inlineStr">
        <is>
          <t>Föryngringsavverkning</t>
        </is>
      </c>
      <c r="D1977" s="1" t="n">
        <v>46070</v>
      </c>
      <c r="E1977" s="1" t="n">
        <v>46216</v>
      </c>
      <c r="F1977" t="inlineStr">
        <is>
          <t>BLEKINGE LÄN</t>
        </is>
      </c>
      <c r="G1977" t="inlineStr">
        <is>
          <t>KARLSKRONA</t>
        </is>
      </c>
      <c r="I1977" t="n">
        <v>4.8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51477-2021</t>
        </is>
      </c>
      <c r="B1978" t="inlineStr">
        <is>
          <t>avverkningsanmälan</t>
        </is>
      </c>
      <c r="C1978" t="inlineStr">
        <is>
          <t>Avverkning för annat ändamål</t>
        </is>
      </c>
      <c r="D1978" s="1" t="n">
        <v>44461</v>
      </c>
      <c r="E1978" s="1" t="n">
        <v>46216</v>
      </c>
      <c r="F1978" t="inlineStr">
        <is>
          <t>BLEKINGE LÄN</t>
        </is>
      </c>
      <c r="G1978" t="inlineStr">
        <is>
          <t>KARLSKRONA</t>
        </is>
      </c>
      <c r="I1978" t="n">
        <v>0.5</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23237-2026</t>
        </is>
      </c>
      <c r="B1979" t="inlineStr">
        <is>
          <t>avverkningsanmälan</t>
        </is>
      </c>
      <c r="C1979" t="inlineStr">
        <is>
          <t>Föryngringsavverkning</t>
        </is>
      </c>
      <c r="D1979" s="1" t="n">
        <v>46162</v>
      </c>
      <c r="E1979" s="1" t="n">
        <v>46216</v>
      </c>
      <c r="F1979" t="inlineStr">
        <is>
          <t>BLEKINGE LÄN</t>
        </is>
      </c>
      <c r="G1979" t="inlineStr">
        <is>
          <t>KARLSKRONA</t>
        </is>
      </c>
      <c r="I1979" t="n">
        <v>1.3</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4338-2025</t>
        </is>
      </c>
      <c r="B1980" t="inlineStr">
        <is>
          <t>avverkningsanmälan</t>
        </is>
      </c>
      <c r="C1980" t="inlineStr">
        <is>
          <t>Föryngringsavverkning</t>
        </is>
      </c>
      <c r="D1980" s="1" t="n">
        <v>45685</v>
      </c>
      <c r="E1980" s="1" t="n">
        <v>46216</v>
      </c>
      <c r="F1980" t="inlineStr">
        <is>
          <t>BLEKINGE LÄN</t>
        </is>
      </c>
      <c r="G1980" t="inlineStr">
        <is>
          <t>RONNEBY</t>
        </is>
      </c>
      <c r="I1980" t="n">
        <v>1.1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48846-2024</t>
        </is>
      </c>
      <c r="B1981" t="inlineStr">
        <is>
          <t>avverkningsanmälan</t>
        </is>
      </c>
      <c r="C1981" t="inlineStr">
        <is>
          <t>Föryngringsavverkning</t>
        </is>
      </c>
      <c r="D1981" s="1" t="n">
        <v>45593</v>
      </c>
      <c r="E1981" s="1" t="n">
        <v>46216</v>
      </c>
      <c r="F1981" t="inlineStr">
        <is>
          <t>BLEKINGE LÄN</t>
        </is>
      </c>
      <c r="G1981" t="inlineStr">
        <is>
          <t>OLOFSTRÖM</t>
        </is>
      </c>
      <c r="I1981" t="n">
        <v>0.5</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38090-2024</t>
        </is>
      </c>
      <c r="B1982" t="inlineStr">
        <is>
          <t>avverkningsanmälan</t>
        </is>
      </c>
      <c r="C1982" t="inlineStr">
        <is>
          <t>Föryngringsavverkning</t>
        </is>
      </c>
      <c r="D1982" s="1" t="n">
        <v>45545</v>
      </c>
      <c r="E1982" s="1" t="n">
        <v>46216</v>
      </c>
      <c r="F1982" t="inlineStr">
        <is>
          <t>BLEKINGE LÄN</t>
        </is>
      </c>
      <c r="G1982" t="inlineStr">
        <is>
          <t>RONNEBY</t>
        </is>
      </c>
      <c r="I1982" t="n">
        <v>2.2</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32172-2023</t>
        </is>
      </c>
      <c r="B1983" t="inlineStr">
        <is>
          <t>avverkningsanmälan</t>
        </is>
      </c>
      <c r="C1983" t="inlineStr">
        <is>
          <t>Föryngringsavverkning</t>
        </is>
      </c>
      <c r="D1983" s="1" t="n">
        <v>45119</v>
      </c>
      <c r="E1983" s="1" t="n">
        <v>46216</v>
      </c>
      <c r="F1983" t="inlineStr">
        <is>
          <t>BLEKINGE LÄN</t>
        </is>
      </c>
      <c r="G1983" t="inlineStr">
        <is>
          <t>RONNEBY</t>
        </is>
      </c>
      <c r="I1983" t="n">
        <v>0.7</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4359-2026</t>
        </is>
      </c>
      <c r="B1984" t="inlineStr">
        <is>
          <t>avverkningsanmälan</t>
        </is>
      </c>
      <c r="C1984" t="inlineStr">
        <is>
          <t>Föryngringsavverkning</t>
        </is>
      </c>
      <c r="D1984" s="1" t="n">
        <v>46045</v>
      </c>
      <c r="E1984" s="1" t="n">
        <v>46216</v>
      </c>
      <c r="F1984" t="inlineStr">
        <is>
          <t>BLEKINGE LÄN</t>
        </is>
      </c>
      <c r="G1984" t="inlineStr">
        <is>
          <t>KARLSHAMN</t>
        </is>
      </c>
      <c r="I1984" t="n">
        <v>4.8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43235-2024</t>
        </is>
      </c>
      <c r="B1985" t="inlineStr">
        <is>
          <t>avverkningsanmälan</t>
        </is>
      </c>
      <c r="C1985" t="inlineStr">
        <is>
          <t>Föryngringsavverkning</t>
        </is>
      </c>
      <c r="D1985" s="1" t="n">
        <v>45567</v>
      </c>
      <c r="E1985" s="1" t="n">
        <v>46216</v>
      </c>
      <c r="F1985" t="inlineStr">
        <is>
          <t>BLEKINGE LÄN</t>
        </is>
      </c>
      <c r="G1985" t="inlineStr">
        <is>
          <t>KARLSHAMN</t>
        </is>
      </c>
      <c r="I1985" t="n">
        <v>0.5</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26478-2023</t>
        </is>
      </c>
      <c r="B1986" t="inlineStr">
        <is>
          <t>avverkningsanmälan</t>
        </is>
      </c>
      <c r="C1986" t="inlineStr">
        <is>
          <t>Föryngringsavverkning</t>
        </is>
      </c>
      <c r="D1986" s="1" t="n">
        <v>45092</v>
      </c>
      <c r="E1986" s="1" t="n">
        <v>46216</v>
      </c>
      <c r="F1986" t="inlineStr">
        <is>
          <t>BLEKINGE LÄN</t>
        </is>
      </c>
      <c r="G1986" t="inlineStr">
        <is>
          <t>SÖLVESBORG</t>
        </is>
      </c>
      <c r="I1986" t="n">
        <v>4.8</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26486-2023</t>
        </is>
      </c>
      <c r="B1987" t="inlineStr">
        <is>
          <t>avverkningsanmälan</t>
        </is>
      </c>
      <c r="C1987" t="inlineStr">
        <is>
          <t>Föryngringsavverkning</t>
        </is>
      </c>
      <c r="D1987" s="1" t="n">
        <v>45092</v>
      </c>
      <c r="E1987" s="1" t="n">
        <v>46216</v>
      </c>
      <c r="F1987" t="inlineStr">
        <is>
          <t>BLEKINGE LÄN</t>
        </is>
      </c>
      <c r="G1987" t="inlineStr">
        <is>
          <t>KARLSKRONA</t>
        </is>
      </c>
      <c r="I1987" t="n">
        <v>8.6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65026-2023</t>
        </is>
      </c>
      <c r="B1988" t="inlineStr">
        <is>
          <t>avverkningsanmälan</t>
        </is>
      </c>
      <c r="C1988" t="inlineStr">
        <is>
          <t>Föryngringsavverkning</t>
        </is>
      </c>
      <c r="D1988" s="1" t="n">
        <v>45282</v>
      </c>
      <c r="E1988" s="1" t="n">
        <v>46216</v>
      </c>
      <c r="F1988" t="inlineStr">
        <is>
          <t>BLEKINGE LÄN</t>
        </is>
      </c>
      <c r="G1988" t="inlineStr">
        <is>
          <t>OLOFSTRÖM</t>
        </is>
      </c>
      <c r="I1988" t="n">
        <v>2</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42401-2024</t>
        </is>
      </c>
      <c r="B1989" t="inlineStr">
        <is>
          <t>avverkningsanmälan</t>
        </is>
      </c>
      <c r="C1989" t="inlineStr">
        <is>
          <t>Föryngringsavverkning</t>
        </is>
      </c>
      <c r="D1989" s="1" t="n">
        <v>45565</v>
      </c>
      <c r="E1989" s="1" t="n">
        <v>46216</v>
      </c>
      <c r="F1989" t="inlineStr">
        <is>
          <t>BLEKINGE LÄN</t>
        </is>
      </c>
      <c r="G1989" t="inlineStr">
        <is>
          <t>KARLSHAMN</t>
        </is>
      </c>
      <c r="I1989" t="n">
        <v>1.7</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46883-2023</t>
        </is>
      </c>
      <c r="B1990" t="inlineStr">
        <is>
          <t>avverkningsanmälan</t>
        </is>
      </c>
      <c r="C1990" t="inlineStr">
        <is>
          <t>Föryngringsavverkning</t>
        </is>
      </c>
      <c r="D1990" s="1" t="n">
        <v>45201</v>
      </c>
      <c r="E1990" s="1" t="n">
        <v>46216</v>
      </c>
      <c r="F1990" t="inlineStr">
        <is>
          <t>BLEKINGE LÄN</t>
        </is>
      </c>
      <c r="G1990" t="inlineStr">
        <is>
          <t>RONNEBY</t>
        </is>
      </c>
      <c r="I1990" t="n">
        <v>2.8</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11242-2023</t>
        </is>
      </c>
      <c r="B1991" t="inlineStr">
        <is>
          <t>avverkningsanmälan</t>
        </is>
      </c>
      <c r="C1991" t="inlineStr">
        <is>
          <t>Föryngringsavverkning</t>
        </is>
      </c>
      <c r="D1991" s="1" t="n">
        <v>44992</v>
      </c>
      <c r="E1991" s="1" t="n">
        <v>46216</v>
      </c>
      <c r="F1991" t="inlineStr">
        <is>
          <t>BLEKINGE LÄN</t>
        </is>
      </c>
      <c r="G1991" t="inlineStr">
        <is>
          <t>RONNEBY</t>
        </is>
      </c>
      <c r="H1991" t="inlineStr">
        <is>
          <t>Övriga Aktiebolag</t>
        </is>
      </c>
      <c r="I1991" t="n">
        <v>0.8</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21442-2023</t>
        </is>
      </c>
      <c r="B1992" t="inlineStr">
        <is>
          <t>avverkningsanmälan</t>
        </is>
      </c>
      <c r="C1992" t="inlineStr">
        <is>
          <t>Föryngringsavverkning</t>
        </is>
      </c>
      <c r="D1992" s="1" t="n">
        <v>45063</v>
      </c>
      <c r="E1992" s="1" t="n">
        <v>46216</v>
      </c>
      <c r="F1992" t="inlineStr">
        <is>
          <t>BLEKINGE LÄN</t>
        </is>
      </c>
      <c r="G1992" t="inlineStr">
        <is>
          <t>RONNEBY</t>
        </is>
      </c>
      <c r="H1992" t="inlineStr">
        <is>
          <t>Övriga Aktiebolag</t>
        </is>
      </c>
      <c r="I1992" t="n">
        <v>7.4</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43606-2022</t>
        </is>
      </c>
      <c r="B1993" t="inlineStr">
        <is>
          <t>avverkningsanmälan</t>
        </is>
      </c>
      <c r="C1993" t="inlineStr">
        <is>
          <t>Föryngringsavverkning</t>
        </is>
      </c>
      <c r="D1993" s="1" t="n">
        <v>44837</v>
      </c>
      <c r="E1993" s="1" t="n">
        <v>46216</v>
      </c>
      <c r="F1993" t="inlineStr">
        <is>
          <t>BLEKINGE LÄN</t>
        </is>
      </c>
      <c r="G1993" t="inlineStr">
        <is>
          <t>KARLSKRONA</t>
        </is>
      </c>
      <c r="I1993" t="n">
        <v>1.9</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28704-2022</t>
        </is>
      </c>
      <c r="B1994" t="inlineStr">
        <is>
          <t>avverkningsanmälan</t>
        </is>
      </c>
      <c r="C1994" t="inlineStr">
        <is>
          <t>Föryngringsavverkning</t>
        </is>
      </c>
      <c r="D1994" s="1" t="n">
        <v>44748</v>
      </c>
      <c r="E1994" s="1" t="n">
        <v>46216</v>
      </c>
      <c r="F1994" t="inlineStr">
        <is>
          <t>BLEKINGE LÄN</t>
        </is>
      </c>
      <c r="G1994" t="inlineStr">
        <is>
          <t>RONNEBY</t>
        </is>
      </c>
      <c r="I1994" t="n">
        <v>2</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4366-2026</t>
        </is>
      </c>
      <c r="B1995" t="inlineStr">
        <is>
          <t>avverkningsanmälan</t>
        </is>
      </c>
      <c r="C1995" t="inlineStr">
        <is>
          <t>Föryngringsavverkning</t>
        </is>
      </c>
      <c r="D1995" s="1" t="n">
        <v>46045</v>
      </c>
      <c r="E1995" s="1" t="n">
        <v>46216</v>
      </c>
      <c r="F1995" t="inlineStr">
        <is>
          <t>BLEKINGE LÄN</t>
        </is>
      </c>
      <c r="G1995" t="inlineStr">
        <is>
          <t>KARLSHAMN</t>
        </is>
      </c>
      <c r="I1995" t="n">
        <v>1.3</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23911-2023</t>
        </is>
      </c>
      <c r="B1996" t="inlineStr">
        <is>
          <t>avverkningsanmälan</t>
        </is>
      </c>
      <c r="C1996" t="inlineStr">
        <is>
          <t>Föryngringsavverkning</t>
        </is>
      </c>
      <c r="D1996" s="1" t="n">
        <v>45078</v>
      </c>
      <c r="E1996" s="1" t="n">
        <v>46216</v>
      </c>
      <c r="F1996" t="inlineStr">
        <is>
          <t>BLEKINGE LÄN</t>
        </is>
      </c>
      <c r="G1996" t="inlineStr">
        <is>
          <t>OLOFSTRÖM</t>
        </is>
      </c>
      <c r="I1996" t="n">
        <v>1.6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23707-2024</t>
        </is>
      </c>
      <c r="B1997" t="inlineStr">
        <is>
          <t>avverkningsanmälan</t>
        </is>
      </c>
      <c r="C1997" t="inlineStr">
        <is>
          <t>Föryngringsavverkning</t>
        </is>
      </c>
      <c r="D1997" s="1" t="n">
        <v>45454</v>
      </c>
      <c r="E1997" s="1" t="n">
        <v>46216</v>
      </c>
      <c r="F1997" t="inlineStr">
        <is>
          <t>BLEKINGE LÄN</t>
        </is>
      </c>
      <c r="G1997" t="inlineStr">
        <is>
          <t>KARLSKRONA</t>
        </is>
      </c>
      <c r="I1997" t="n">
        <v>4</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23376-2026</t>
        </is>
      </c>
      <c r="B1998" t="inlineStr">
        <is>
          <t>avverkningsanmälan</t>
        </is>
      </c>
      <c r="C1998" t="inlineStr">
        <is>
          <t>Föryngringsavverkning</t>
        </is>
      </c>
      <c r="D1998" s="1" t="n">
        <v>46162</v>
      </c>
      <c r="E1998" s="1" t="n">
        <v>46216</v>
      </c>
      <c r="F1998" t="inlineStr">
        <is>
          <t>BLEKINGE LÄN</t>
        </is>
      </c>
      <c r="G1998" t="inlineStr">
        <is>
          <t>KARLSKRONA</t>
        </is>
      </c>
      <c r="I1998" t="n">
        <v>0.8</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23501-2026</t>
        </is>
      </c>
      <c r="B1999" t="inlineStr">
        <is>
          <t>avverkningsanmälan</t>
        </is>
      </c>
      <c r="C1999" t="inlineStr">
        <is>
          <t>Föryngringsavverkning</t>
        </is>
      </c>
      <c r="D1999" s="1" t="n">
        <v>46163</v>
      </c>
      <c r="E1999" s="1" t="n">
        <v>46216</v>
      </c>
      <c r="F1999" t="inlineStr">
        <is>
          <t>BLEKINGE LÄN</t>
        </is>
      </c>
      <c r="G1999" t="inlineStr">
        <is>
          <t>KARLSKRONA</t>
        </is>
      </c>
      <c r="I1999" t="n">
        <v>2.8</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16316-2026</t>
        </is>
      </c>
      <c r="B2000" t="inlineStr">
        <is>
          <t>avverkningsanmälan</t>
        </is>
      </c>
      <c r="C2000" t="inlineStr">
        <is>
          <t>Föryngringsavverkning</t>
        </is>
      </c>
      <c r="D2000" s="1" t="n">
        <v>46111</v>
      </c>
      <c r="E2000" s="1" t="n">
        <v>46216</v>
      </c>
      <c r="F2000" t="inlineStr">
        <is>
          <t>BLEKINGE LÄN</t>
        </is>
      </c>
      <c r="G2000" t="inlineStr">
        <is>
          <t>KARLSKRONA</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29987-2026</t>
        </is>
      </c>
      <c r="B2001" t="inlineStr">
        <is>
          <t>avverkningsanmälan</t>
        </is>
      </c>
      <c r="C2001" t="inlineStr">
        <is>
          <t>Föryngringsavverkning</t>
        </is>
      </c>
      <c r="D2001" s="1" t="n">
        <v>46205</v>
      </c>
      <c r="E2001" s="1" t="n">
        <v>46216</v>
      </c>
      <c r="F2001" t="inlineStr">
        <is>
          <t>BLEKINGE LÄN</t>
        </is>
      </c>
      <c r="G2001" t="inlineStr">
        <is>
          <t>RONNEBY</t>
        </is>
      </c>
      <c r="I2001" t="n">
        <v>4.6</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40324-2023</t>
        </is>
      </c>
      <c r="B2002" t="inlineStr">
        <is>
          <t>avverkningsanmälan</t>
        </is>
      </c>
      <c r="C2002" t="inlineStr">
        <is>
          <t>Föryngringsavverkning</t>
        </is>
      </c>
      <c r="D2002" s="1" t="n">
        <v>45169</v>
      </c>
      <c r="E2002" s="1" t="n">
        <v>46216</v>
      </c>
      <c r="F2002" t="inlineStr">
        <is>
          <t>BLEKINGE LÄN</t>
        </is>
      </c>
      <c r="G2002" t="inlineStr">
        <is>
          <t>KARLSKRONA</t>
        </is>
      </c>
      <c r="I2002" t="n">
        <v>2.7</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23385-2026</t>
        </is>
      </c>
      <c r="B2003" t="inlineStr">
        <is>
          <t>avverkningsanmälan</t>
        </is>
      </c>
      <c r="C2003" t="inlineStr">
        <is>
          <t>Föryngringsavverkning</t>
        </is>
      </c>
      <c r="D2003" s="1" t="n">
        <v>46162</v>
      </c>
      <c r="E2003" s="1" t="n">
        <v>46216</v>
      </c>
      <c r="F2003" t="inlineStr">
        <is>
          <t>BLEKINGE LÄN</t>
        </is>
      </c>
      <c r="G2003" t="inlineStr">
        <is>
          <t>RONNEBY</t>
        </is>
      </c>
      <c r="I2003" t="n">
        <v>0.7</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23250-2026</t>
        </is>
      </c>
      <c r="B2004" t="inlineStr">
        <is>
          <t>avverkningsanmälan</t>
        </is>
      </c>
      <c r="C2004" t="inlineStr">
        <is>
          <t>Föryngringsavverkning</t>
        </is>
      </c>
      <c r="D2004" s="1" t="n">
        <v>46162</v>
      </c>
      <c r="E2004" s="1" t="n">
        <v>46216</v>
      </c>
      <c r="F2004" t="inlineStr">
        <is>
          <t>BLEKINGE LÄN</t>
        </is>
      </c>
      <c r="G2004" t="inlineStr">
        <is>
          <t>KARLSKRONA</t>
        </is>
      </c>
      <c r="I2004" t="n">
        <v>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29648-2026</t>
        </is>
      </c>
      <c r="B2005" t="inlineStr">
        <is>
          <t>avverkningsanmälan</t>
        </is>
      </c>
      <c r="C2005" t="inlineStr">
        <is>
          <t>Föryngringsavverkning</t>
        </is>
      </c>
      <c r="D2005" s="1" t="n">
        <v>46199</v>
      </c>
      <c r="E2005" s="1" t="n">
        <v>46216</v>
      </c>
      <c r="F2005" t="inlineStr">
        <is>
          <t>BLEKINGE LÄN</t>
        </is>
      </c>
      <c r="G2005" t="inlineStr">
        <is>
          <t>RONNEBY</t>
        </is>
      </c>
      <c r="I2005" t="n">
        <v>5.5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23380-2026</t>
        </is>
      </c>
      <c r="B2006" t="inlineStr">
        <is>
          <t>avverkningsanmälan</t>
        </is>
      </c>
      <c r="C2006" t="inlineStr">
        <is>
          <t>Föryngringsavverkning</t>
        </is>
      </c>
      <c r="D2006" s="1" t="n">
        <v>46162</v>
      </c>
      <c r="E2006" s="1" t="n">
        <v>46216</v>
      </c>
      <c r="F2006" t="inlineStr">
        <is>
          <t>BLEKINGE LÄN</t>
        </is>
      </c>
      <c r="G2006" t="inlineStr">
        <is>
          <t>RONNEBY</t>
        </is>
      </c>
      <c r="I2006" t="n">
        <v>0.7</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44407-2024</t>
        </is>
      </c>
      <c r="B2007" t="inlineStr">
        <is>
          <t>avverkningsanmälan</t>
        </is>
      </c>
      <c r="C2007" t="inlineStr">
        <is>
          <t>Föryngringsavverkning</t>
        </is>
      </c>
      <c r="D2007" s="1" t="n">
        <v>45573</v>
      </c>
      <c r="E2007" s="1" t="n">
        <v>46216</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23820-2023</t>
        </is>
      </c>
      <c r="B2008" t="inlineStr">
        <is>
          <t>avverkningsanmälan</t>
        </is>
      </c>
      <c r="C2008" t="inlineStr">
        <is>
          <t>Föryngringsavverkning</t>
        </is>
      </c>
      <c r="D2008" s="1" t="n">
        <v>45078</v>
      </c>
      <c r="E2008" s="1" t="n">
        <v>46216</v>
      </c>
      <c r="F2008" t="inlineStr">
        <is>
          <t>BLEKINGE LÄN</t>
        </is>
      </c>
      <c r="G2008" t="inlineStr">
        <is>
          <t>RONNEBY</t>
        </is>
      </c>
      <c r="I2008" t="n">
        <v>2.3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51169-2025</t>
        </is>
      </c>
      <c r="B2009" t="inlineStr">
        <is>
          <t>avverkningsanmälan</t>
        </is>
      </c>
      <c r="C2009" t="inlineStr">
        <is>
          <t>Föryngringsavverkning</t>
        </is>
      </c>
      <c r="D2009" s="1" t="n">
        <v>45947</v>
      </c>
      <c r="E2009" s="1" t="n">
        <v>46216</v>
      </c>
      <c r="F2009" t="inlineStr">
        <is>
          <t>BLEKINGE LÄN</t>
        </is>
      </c>
      <c r="G2009" t="inlineStr">
        <is>
          <t>KARLSHAMN</t>
        </is>
      </c>
      <c r="I2009" t="n">
        <v>0.7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4469-2024</t>
        </is>
      </c>
      <c r="B2010" t="inlineStr">
        <is>
          <t>avverkningsanmälan</t>
        </is>
      </c>
      <c r="C2010" t="inlineStr">
        <is>
          <t>Föryngringsavverkning</t>
        </is>
      </c>
      <c r="D2010" s="1" t="n">
        <v>45327</v>
      </c>
      <c r="E2010" s="1" t="n">
        <v>46216</v>
      </c>
      <c r="F2010" t="inlineStr">
        <is>
          <t>BLEKINGE LÄN</t>
        </is>
      </c>
      <c r="G2010" t="inlineStr">
        <is>
          <t>RONNEBY</t>
        </is>
      </c>
      <c r="I2010" t="n">
        <v>5.8</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50198-2024</t>
        </is>
      </c>
      <c r="B2011" t="inlineStr">
        <is>
          <t>avverkningsanmälan</t>
        </is>
      </c>
      <c r="C2011" t="inlineStr">
        <is>
          <t>Föryngringsavverkning</t>
        </is>
      </c>
      <c r="D2011" s="1" t="n">
        <v>45600</v>
      </c>
      <c r="E2011" s="1" t="n">
        <v>46216</v>
      </c>
      <c r="F2011" t="inlineStr">
        <is>
          <t>BLEKINGE LÄN</t>
        </is>
      </c>
      <c r="G2011" t="inlineStr">
        <is>
          <t>RONNEBY</t>
        </is>
      </c>
      <c r="I2011" t="n">
        <v>2.7</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53366-2021</t>
        </is>
      </c>
      <c r="B2012" t="inlineStr">
        <is>
          <t>avverkningsanmälan</t>
        </is>
      </c>
      <c r="C2012" t="inlineStr">
        <is>
          <t>Föryngringsavverkning</t>
        </is>
      </c>
      <c r="D2012" s="1" t="n">
        <v>44466</v>
      </c>
      <c r="E2012" s="1" t="n">
        <v>46216</v>
      </c>
      <c r="F2012" t="inlineStr">
        <is>
          <t>BLEKINGE LÄN</t>
        </is>
      </c>
      <c r="G2012" t="inlineStr">
        <is>
          <t>RONNEBY</t>
        </is>
      </c>
      <c r="I2012" t="n">
        <v>4.1</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15384-2023</t>
        </is>
      </c>
      <c r="B2013" t="inlineStr">
        <is>
          <t>avverkningsanmälan</t>
        </is>
      </c>
      <c r="C2013" t="inlineStr">
        <is>
          <t>Föryngringsavverkning</t>
        </is>
      </c>
      <c r="D2013" s="1" t="n">
        <v>45019</v>
      </c>
      <c r="E2013" s="1" t="n">
        <v>46216</v>
      </c>
      <c r="F2013" t="inlineStr">
        <is>
          <t>BLEKINGE LÄN</t>
        </is>
      </c>
      <c r="G2013" t="inlineStr">
        <is>
          <t>OLOFSTRÖM</t>
        </is>
      </c>
      <c r="I2013" t="n">
        <v>0.8</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18124-2025</t>
        </is>
      </c>
      <c r="B2014" t="inlineStr">
        <is>
          <t>avverkningsanmälan</t>
        </is>
      </c>
      <c r="C2014" t="inlineStr">
        <is>
          <t>Föryngringsavverkning</t>
        </is>
      </c>
      <c r="D2014" s="1" t="n">
        <v>45761</v>
      </c>
      <c r="E2014" s="1" t="n">
        <v>46216</v>
      </c>
      <c r="F2014" t="inlineStr">
        <is>
          <t>BLEKINGE LÄN</t>
        </is>
      </c>
      <c r="G2014" t="inlineStr">
        <is>
          <t>KARLSKRONA</t>
        </is>
      </c>
      <c r="I2014" t="n">
        <v>4.6</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65798-2021</t>
        </is>
      </c>
      <c r="B2015" t="inlineStr">
        <is>
          <t>avverkningsanmälan</t>
        </is>
      </c>
      <c r="C2015" t="inlineStr">
        <is>
          <t>Avverkning för annat ändamål</t>
        </is>
      </c>
      <c r="D2015" s="1" t="n">
        <v>44517</v>
      </c>
      <c r="E2015" s="1" t="n">
        <v>46216</v>
      </c>
      <c r="F2015" t="inlineStr">
        <is>
          <t>BLEKINGE LÄN</t>
        </is>
      </c>
      <c r="G2015" t="inlineStr">
        <is>
          <t>KARLSKRONA</t>
        </is>
      </c>
      <c r="I2015" t="n">
        <v>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16532-2023</t>
        </is>
      </c>
      <c r="B2016" t="inlineStr">
        <is>
          <t>avverkningsanmälan</t>
        </is>
      </c>
      <c r="C2016" t="inlineStr">
        <is>
          <t>Föryngringsavverkning</t>
        </is>
      </c>
      <c r="D2016" s="1" t="n">
        <v>45027</v>
      </c>
      <c r="E2016" s="1" t="n">
        <v>46216</v>
      </c>
      <c r="F2016" t="inlineStr">
        <is>
          <t>BLEKINGE LÄN</t>
        </is>
      </c>
      <c r="G2016" t="inlineStr">
        <is>
          <t>KARLSKRONA</t>
        </is>
      </c>
      <c r="I2016" t="n">
        <v>1.7</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9302-2023</t>
        </is>
      </c>
      <c r="B2017" t="inlineStr">
        <is>
          <t>avverkningsanmälan</t>
        </is>
      </c>
      <c r="C2017" t="inlineStr">
        <is>
          <t>Föryngringsavverkning</t>
        </is>
      </c>
      <c r="D2017" s="1" t="n">
        <v>44980</v>
      </c>
      <c r="E2017" s="1" t="n">
        <v>46216</v>
      </c>
      <c r="F2017" t="inlineStr">
        <is>
          <t>BLEKINGE LÄN</t>
        </is>
      </c>
      <c r="G2017" t="inlineStr">
        <is>
          <t>RONNEBY</t>
        </is>
      </c>
      <c r="H2017" t="inlineStr">
        <is>
          <t>Övriga Aktiebolag</t>
        </is>
      </c>
      <c r="I2017" t="n">
        <v>4.9</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45573-2023</t>
        </is>
      </c>
      <c r="B2018" t="inlineStr">
        <is>
          <t>avverkningsanmälan</t>
        </is>
      </c>
      <c r="C2018" t="inlineStr">
        <is>
          <t>Föryngringsavverkning</t>
        </is>
      </c>
      <c r="D2018" s="1" t="n">
        <v>45194</v>
      </c>
      <c r="E2018" s="1" t="n">
        <v>46216</v>
      </c>
      <c r="F2018" t="inlineStr">
        <is>
          <t>BLEKINGE LÄN</t>
        </is>
      </c>
      <c r="G2018" t="inlineStr">
        <is>
          <t>KARLSKRONA</t>
        </is>
      </c>
      <c r="I2018" t="n">
        <v>3.8</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23699-2026</t>
        </is>
      </c>
      <c r="B2019" t="inlineStr">
        <is>
          <t>avverkningsanmälan</t>
        </is>
      </c>
      <c r="C2019" t="inlineStr">
        <is>
          <t>Föryngringsavverkning</t>
        </is>
      </c>
      <c r="D2019" s="1" t="n">
        <v>46164</v>
      </c>
      <c r="E2019" s="1" t="n">
        <v>46216</v>
      </c>
      <c r="F2019" t="inlineStr">
        <is>
          <t>BLEKINGE LÄN</t>
        </is>
      </c>
      <c r="G2019" t="inlineStr">
        <is>
          <t>KARLSHAMN</t>
        </is>
      </c>
      <c r="I2019" t="n">
        <v>2.2</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48004-2023</t>
        </is>
      </c>
      <c r="B2020" t="inlineStr">
        <is>
          <t>avverkningsanmälan</t>
        </is>
      </c>
      <c r="C2020" t="inlineStr">
        <is>
          <t>Föryngringsavverkning</t>
        </is>
      </c>
      <c r="D2020" s="1" t="n">
        <v>45204</v>
      </c>
      <c r="E2020" s="1" t="n">
        <v>46216</v>
      </c>
      <c r="F2020" t="inlineStr">
        <is>
          <t>BLEKINGE LÄN</t>
        </is>
      </c>
      <c r="G2020" t="inlineStr">
        <is>
          <t>OLOFSTRÖM</t>
        </is>
      </c>
      <c r="I2020" t="n">
        <v>0.5</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48005-2023</t>
        </is>
      </c>
      <c r="B2021" t="inlineStr">
        <is>
          <t>avverkningsanmälan</t>
        </is>
      </c>
      <c r="C2021" t="inlineStr">
        <is>
          <t>Föryngringsavverkning</t>
        </is>
      </c>
      <c r="D2021" s="1" t="n">
        <v>45204</v>
      </c>
      <c r="E2021" s="1" t="n">
        <v>46216</v>
      </c>
      <c r="F2021" t="inlineStr">
        <is>
          <t>BLEKINGE LÄN</t>
        </is>
      </c>
      <c r="G2021" t="inlineStr">
        <is>
          <t>OLOFSTRÖM</t>
        </is>
      </c>
      <c r="I2021" t="n">
        <v>0.5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30407-2026</t>
        </is>
      </c>
      <c r="B2022" t="inlineStr">
        <is>
          <t>avverkningsanmälan</t>
        </is>
      </c>
      <c r="C2022" t="inlineStr">
        <is>
          <t>Föryngringsavverkning</t>
        </is>
      </c>
      <c r="D2022" s="1" t="n">
        <v>46209</v>
      </c>
      <c r="E2022" s="1" t="n">
        <v>46216</v>
      </c>
      <c r="F2022" t="inlineStr">
        <is>
          <t>BLEKINGE LÄN</t>
        </is>
      </c>
      <c r="G2022" t="inlineStr">
        <is>
          <t>RONNEBY</t>
        </is>
      </c>
      <c r="I2022" t="n">
        <v>1.6</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41058-2024</t>
        </is>
      </c>
      <c r="B2023" t="inlineStr">
        <is>
          <t>avverkningsanmälan</t>
        </is>
      </c>
      <c r="C2023" t="inlineStr">
        <is>
          <t>Föryngringsavverkning</t>
        </is>
      </c>
      <c r="D2023" s="1" t="n">
        <v>45559</v>
      </c>
      <c r="E2023" s="1" t="n">
        <v>46216</v>
      </c>
      <c r="F2023" t="inlineStr">
        <is>
          <t>BLEKINGE LÄN</t>
        </is>
      </c>
      <c r="G2023" t="inlineStr">
        <is>
          <t>RONNEBY</t>
        </is>
      </c>
      <c r="H2023" t="inlineStr">
        <is>
          <t>Övriga Aktiebolag</t>
        </is>
      </c>
      <c r="I2023" t="n">
        <v>3.2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54854-2023</t>
        </is>
      </c>
      <c r="B2024" t="inlineStr">
        <is>
          <t>avverkningsanmälan</t>
        </is>
      </c>
      <c r="C2024" t="inlineStr">
        <is>
          <t>Föryngringsavverkning</t>
        </is>
      </c>
      <c r="D2024" s="1" t="n">
        <v>45236</v>
      </c>
      <c r="E2024" s="1" t="n">
        <v>46216</v>
      </c>
      <c r="F2024" t="inlineStr">
        <is>
          <t>BLEKINGE LÄN</t>
        </is>
      </c>
      <c r="G2024" t="inlineStr">
        <is>
          <t>KARLSHAMN</t>
        </is>
      </c>
      <c r="I2024" t="n">
        <v>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23726-2026</t>
        </is>
      </c>
      <c r="B2025" t="inlineStr">
        <is>
          <t>avverkningsanmälan</t>
        </is>
      </c>
      <c r="C2025" t="inlineStr">
        <is>
          <t>Föryngringsavverkning</t>
        </is>
      </c>
      <c r="D2025" s="1" t="n">
        <v>46164</v>
      </c>
      <c r="E2025" s="1" t="n">
        <v>46216</v>
      </c>
      <c r="F2025" t="inlineStr">
        <is>
          <t>BLEKINGE LÄN</t>
        </is>
      </c>
      <c r="G2025" t="inlineStr">
        <is>
          <t>KARLSKRONA</t>
        </is>
      </c>
      <c r="I2025" t="n">
        <v>1.9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2195-2024</t>
        </is>
      </c>
      <c r="B2026" t="inlineStr">
        <is>
          <t>avverkningsanmälan</t>
        </is>
      </c>
      <c r="C2026" t="inlineStr">
        <is>
          <t>Föryngringsavverkning</t>
        </is>
      </c>
      <c r="D2026" s="1" t="n">
        <v>45309</v>
      </c>
      <c r="E2026" s="1" t="n">
        <v>46216</v>
      </c>
      <c r="F2026" t="inlineStr">
        <is>
          <t>BLEKINGE LÄN</t>
        </is>
      </c>
      <c r="G2026" t="inlineStr">
        <is>
          <t>KARLSKRONA</t>
        </is>
      </c>
      <c r="I2026" t="n">
        <v>8.199999999999999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30408-2026</t>
        </is>
      </c>
      <c r="B2027" t="inlineStr">
        <is>
          <t>avverkningsanmälan</t>
        </is>
      </c>
      <c r="C2027" t="inlineStr">
        <is>
          <t>Föryngringsavverkning</t>
        </is>
      </c>
      <c r="D2027" s="1" t="n">
        <v>46209</v>
      </c>
      <c r="E2027" s="1" t="n">
        <v>46216</v>
      </c>
      <c r="F2027" t="inlineStr">
        <is>
          <t>BLEKINGE LÄN</t>
        </is>
      </c>
      <c r="G2027" t="inlineStr">
        <is>
          <t>RONNEBY</t>
        </is>
      </c>
      <c r="I2027" t="n">
        <v>1.3</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30134-2026</t>
        </is>
      </c>
      <c r="B2028" t="inlineStr">
        <is>
          <t>avverkningsanmälan</t>
        </is>
      </c>
      <c r="C2028" t="inlineStr">
        <is>
          <t>Föryngringsavverkning</t>
        </is>
      </c>
      <c r="D2028" s="1" t="n">
        <v>46206</v>
      </c>
      <c r="E2028" s="1" t="n">
        <v>46216</v>
      </c>
      <c r="F2028" t="inlineStr">
        <is>
          <t>BLEKINGE LÄN</t>
        </is>
      </c>
      <c r="G2028" t="inlineStr">
        <is>
          <t>KARLSKRONA</t>
        </is>
      </c>
      <c r="I2028" t="n">
        <v>0.8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3574-2023</t>
        </is>
      </c>
      <c r="B2029" t="inlineStr">
        <is>
          <t>avverkningsanmälan</t>
        </is>
      </c>
      <c r="C2029" t="inlineStr">
        <is>
          <t>Föryngringsavverkning</t>
        </is>
      </c>
      <c r="D2029" s="1" t="n">
        <v>44950</v>
      </c>
      <c r="E2029" s="1" t="n">
        <v>46216</v>
      </c>
      <c r="F2029" t="inlineStr">
        <is>
          <t>BLEKINGE LÄN</t>
        </is>
      </c>
      <c r="G2029" t="inlineStr">
        <is>
          <t>RONNEBY</t>
        </is>
      </c>
      <c r="I2029" t="n">
        <v>2.7</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59710-2024</t>
        </is>
      </c>
      <c r="B2030" t="inlineStr">
        <is>
          <t>avverkningsanmälan</t>
        </is>
      </c>
      <c r="C2030" t="inlineStr">
        <is>
          <t>Föryngringsavverkning</t>
        </is>
      </c>
      <c r="D2030" s="1" t="n">
        <v>45639</v>
      </c>
      <c r="E2030" s="1" t="n">
        <v>46216</v>
      </c>
      <c r="F2030" t="inlineStr">
        <is>
          <t>BLEKINGE LÄN</t>
        </is>
      </c>
      <c r="G2030" t="inlineStr">
        <is>
          <t>OLOFSTRÖM</t>
        </is>
      </c>
      <c r="I2030" t="n">
        <v>6.7</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20606-2022</t>
        </is>
      </c>
      <c r="B2031" t="inlineStr">
        <is>
          <t>avverkningsanmälan</t>
        </is>
      </c>
      <c r="C2031" t="inlineStr">
        <is>
          <t>Föryngringsavverkning</t>
        </is>
      </c>
      <c r="D2031" s="1" t="n">
        <v>44700</v>
      </c>
      <c r="E2031" s="1" t="n">
        <v>46216</v>
      </c>
      <c r="F2031" t="inlineStr">
        <is>
          <t>BLEKINGE LÄN</t>
        </is>
      </c>
      <c r="G2031" t="inlineStr">
        <is>
          <t>KARLSKRONA</t>
        </is>
      </c>
      <c r="I2031" t="n">
        <v>0.8</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10920-2025</t>
        </is>
      </c>
      <c r="B2032" t="inlineStr">
        <is>
          <t>avverkningsanmälan</t>
        </is>
      </c>
      <c r="C2032" t="inlineStr">
        <is>
          <t>Föryngringsavverkning</t>
        </is>
      </c>
      <c r="D2032" s="1" t="n">
        <v>45722</v>
      </c>
      <c r="E2032" s="1" t="n">
        <v>46216</v>
      </c>
      <c r="F2032" t="inlineStr">
        <is>
          <t>BLEKINGE LÄN</t>
        </is>
      </c>
      <c r="G2032" t="inlineStr">
        <is>
          <t>RONNEBY</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2414-2025</t>
        </is>
      </c>
      <c r="B2033" t="inlineStr">
        <is>
          <t>avverkningsanmälan</t>
        </is>
      </c>
      <c r="C2033" t="inlineStr">
        <is>
          <t>Föryngringsavverkning</t>
        </is>
      </c>
      <c r="D2033" s="1" t="n">
        <v>45674</v>
      </c>
      <c r="E2033" s="1" t="n">
        <v>46216</v>
      </c>
      <c r="F2033" t="inlineStr">
        <is>
          <t>BLEKINGE LÄN</t>
        </is>
      </c>
      <c r="G2033" t="inlineStr">
        <is>
          <t>KARLSKRONA</t>
        </is>
      </c>
      <c r="I2033" t="n">
        <v>0.8</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44584-2023</t>
        </is>
      </c>
      <c r="B2034" t="inlineStr">
        <is>
          <t>avverkningsanmälan</t>
        </is>
      </c>
      <c r="C2034" t="inlineStr">
        <is>
          <t>Föryngringsavverkning</t>
        </is>
      </c>
      <c r="D2034" s="1" t="n">
        <v>45183</v>
      </c>
      <c r="E2034" s="1" t="n">
        <v>46216</v>
      </c>
      <c r="F2034" t="inlineStr">
        <is>
          <t>BLEKINGE LÄN</t>
        </is>
      </c>
      <c r="G2034" t="inlineStr">
        <is>
          <t>KARLSKRONA</t>
        </is>
      </c>
      <c r="I2034" t="n">
        <v>1.4</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7066-2022</t>
        </is>
      </c>
      <c r="B2035" t="inlineStr">
        <is>
          <t>avverkningsanmälan</t>
        </is>
      </c>
      <c r="C2035" t="inlineStr">
        <is>
          <t>Föryngringsavverkning</t>
        </is>
      </c>
      <c r="D2035" s="1" t="n">
        <v>44603</v>
      </c>
      <c r="E2035" s="1" t="n">
        <v>46216</v>
      </c>
      <c r="F2035" t="inlineStr">
        <is>
          <t>BLEKINGE LÄN</t>
        </is>
      </c>
      <c r="G2035" t="inlineStr">
        <is>
          <t>KARLSKRONA</t>
        </is>
      </c>
      <c r="I2035" t="n">
        <v>1.3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23697-2026</t>
        </is>
      </c>
      <c r="B2036" t="inlineStr">
        <is>
          <t>avverkningsanmälan</t>
        </is>
      </c>
      <c r="C2036" t="inlineStr">
        <is>
          <t>Föryngringsavverkning</t>
        </is>
      </c>
      <c r="D2036" s="1" t="n">
        <v>46164</v>
      </c>
      <c r="E2036" s="1" t="n">
        <v>46216</v>
      </c>
      <c r="F2036" t="inlineStr">
        <is>
          <t>BLEKINGE LÄN</t>
        </is>
      </c>
      <c r="G2036" t="inlineStr">
        <is>
          <t>RONNEBY</t>
        </is>
      </c>
      <c r="I2036" t="n">
        <v>2.2</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23698-2026</t>
        </is>
      </c>
      <c r="B2037" t="inlineStr">
        <is>
          <t>avverkningsanmälan</t>
        </is>
      </c>
      <c r="C2037" t="inlineStr">
        <is>
          <t>Föryngringsavverkning</t>
        </is>
      </c>
      <c r="D2037" s="1" t="n">
        <v>46164</v>
      </c>
      <c r="E2037" s="1" t="n">
        <v>46216</v>
      </c>
      <c r="F2037" t="inlineStr">
        <is>
          <t>BLEKINGE LÄN</t>
        </is>
      </c>
      <c r="G2037" t="inlineStr">
        <is>
          <t>KARLSHAMN</t>
        </is>
      </c>
      <c r="I2037" t="n">
        <v>7.2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30120-2026</t>
        </is>
      </c>
      <c r="B2038" t="inlineStr">
        <is>
          <t>avverkningsanmälan</t>
        </is>
      </c>
      <c r="C2038" t="inlineStr">
        <is>
          <t>Föryngringsavverkning</t>
        </is>
      </c>
      <c r="D2038" s="1" t="n">
        <v>46206</v>
      </c>
      <c r="E2038" s="1" t="n">
        <v>46216</v>
      </c>
      <c r="F2038" t="inlineStr">
        <is>
          <t>BLEKINGE LÄN</t>
        </is>
      </c>
      <c r="G2038" t="inlineStr">
        <is>
          <t>KARLSKRONA</t>
        </is>
      </c>
      <c r="I2038" t="n">
        <v>2.3</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34746-2023</t>
        </is>
      </c>
      <c r="B2039" t="inlineStr">
        <is>
          <t>avverkningsanmälan</t>
        </is>
      </c>
      <c r="C2039" t="inlineStr">
        <is>
          <t>Föryngringsavverkning</t>
        </is>
      </c>
      <c r="D2039" s="1" t="n">
        <v>45141</v>
      </c>
      <c r="E2039" s="1" t="n">
        <v>46216</v>
      </c>
      <c r="F2039" t="inlineStr">
        <is>
          <t>BLEKINGE LÄN</t>
        </is>
      </c>
      <c r="G2039" t="inlineStr">
        <is>
          <t>OLOFSTRÖM</t>
        </is>
      </c>
      <c r="I2039" t="n">
        <v>1.2</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23927-2026</t>
        </is>
      </c>
      <c r="B2040" t="inlineStr">
        <is>
          <t>avverkningsanmälan</t>
        </is>
      </c>
      <c r="C2040" t="inlineStr">
        <is>
          <t>Föryngringsavverkning</t>
        </is>
      </c>
      <c r="D2040" s="1" t="n">
        <v>46167</v>
      </c>
      <c r="E2040" s="1" t="n">
        <v>46216</v>
      </c>
      <c r="F2040" t="inlineStr">
        <is>
          <t>BLEKINGE LÄN</t>
        </is>
      </c>
      <c r="G2040" t="inlineStr">
        <is>
          <t>KARLSKRONA</t>
        </is>
      </c>
      <c r="I2040" t="n">
        <v>2</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52701-2023</t>
        </is>
      </c>
      <c r="B2041" t="inlineStr">
        <is>
          <t>avverkningsanmälan</t>
        </is>
      </c>
      <c r="C2041" t="inlineStr">
        <is>
          <t>Föryngringsavverkning</t>
        </is>
      </c>
      <c r="D2041" s="1" t="n">
        <v>45225</v>
      </c>
      <c r="E2041" s="1" t="n">
        <v>46216</v>
      </c>
      <c r="F2041" t="inlineStr">
        <is>
          <t>BLEKINGE LÄN</t>
        </is>
      </c>
      <c r="G2041" t="inlineStr">
        <is>
          <t>KARLSKRONA</t>
        </is>
      </c>
      <c r="I2041" t="n">
        <v>1.2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17394-2025</t>
        </is>
      </c>
      <c r="B2042" t="inlineStr">
        <is>
          <t>avverkningsanmälan</t>
        </is>
      </c>
      <c r="C2042" t="inlineStr">
        <is>
          <t>Avverkning för annat ändamål</t>
        </is>
      </c>
      <c r="D2042" s="1" t="n">
        <v>45757</v>
      </c>
      <c r="E2042" s="1" t="n">
        <v>46216</v>
      </c>
      <c r="F2042" t="inlineStr">
        <is>
          <t>BLEKINGE LÄN</t>
        </is>
      </c>
      <c r="G2042" t="inlineStr">
        <is>
          <t>KARLSHAMN</t>
        </is>
      </c>
      <c r="I2042" t="n">
        <v>3.2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23687-2026</t>
        </is>
      </c>
      <c r="B2043" t="inlineStr">
        <is>
          <t>avverkningsanmälan</t>
        </is>
      </c>
      <c r="C2043" t="inlineStr">
        <is>
          <t>Föryngringsavverkning</t>
        </is>
      </c>
      <c r="D2043" s="1" t="n">
        <v>46164</v>
      </c>
      <c r="E2043" s="1" t="n">
        <v>46216</v>
      </c>
      <c r="F2043" t="inlineStr">
        <is>
          <t>BLEKINGE LÄN</t>
        </is>
      </c>
      <c r="G2043" t="inlineStr">
        <is>
          <t>KARLSKRONA</t>
        </is>
      </c>
      <c r="I2043" t="n">
        <v>3.7</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23693-2026</t>
        </is>
      </c>
      <c r="B2044" t="inlineStr">
        <is>
          <t>avverkningsanmälan</t>
        </is>
      </c>
      <c r="C2044" t="inlineStr">
        <is>
          <t>Föryngringsavverkning</t>
        </is>
      </c>
      <c r="D2044" s="1" t="n">
        <v>46164</v>
      </c>
      <c r="E2044" s="1" t="n">
        <v>46216</v>
      </c>
      <c r="F2044" t="inlineStr">
        <is>
          <t>BLEKINGE LÄN</t>
        </is>
      </c>
      <c r="G2044" t="inlineStr">
        <is>
          <t>KARLSKRONA</t>
        </is>
      </c>
      <c r="I2044" t="n">
        <v>3.5</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23715-2026</t>
        </is>
      </c>
      <c r="B2045" t="inlineStr">
        <is>
          <t>avverkningsanmälan</t>
        </is>
      </c>
      <c r="C2045" t="inlineStr">
        <is>
          <t>Föryngringsavverkning</t>
        </is>
      </c>
      <c r="D2045" s="1" t="n">
        <v>46164</v>
      </c>
      <c r="E2045" s="1" t="n">
        <v>46216</v>
      </c>
      <c r="F2045" t="inlineStr">
        <is>
          <t>BLEKINGE LÄN</t>
        </is>
      </c>
      <c r="G2045" t="inlineStr">
        <is>
          <t>KARLSHAMN</t>
        </is>
      </c>
      <c r="I2045" t="n">
        <v>7.2</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14308-2024</t>
        </is>
      </c>
      <c r="B2046" t="inlineStr">
        <is>
          <t>avverkningsanmälan</t>
        </is>
      </c>
      <c r="C2046" t="inlineStr">
        <is>
          <t>Föryngringsavverkning</t>
        </is>
      </c>
      <c r="D2046" s="1" t="n">
        <v>45393</v>
      </c>
      <c r="E2046" s="1" t="n">
        <v>46216</v>
      </c>
      <c r="F2046" t="inlineStr">
        <is>
          <t>BLEKINGE LÄN</t>
        </is>
      </c>
      <c r="G2046" t="inlineStr">
        <is>
          <t>KARLSKRONA</t>
        </is>
      </c>
      <c r="I2046" t="n">
        <v>6</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9259-2022</t>
        </is>
      </c>
      <c r="B2047" t="inlineStr">
        <is>
          <t>avverkningsanmälan</t>
        </is>
      </c>
      <c r="C2047" t="inlineStr">
        <is>
          <t>Föryngringsavverkning</t>
        </is>
      </c>
      <c r="D2047" s="1" t="n">
        <v>44616</v>
      </c>
      <c r="E2047" s="1" t="n">
        <v>46216</v>
      </c>
      <c r="F2047" t="inlineStr">
        <is>
          <t>BLEKINGE LÄN</t>
        </is>
      </c>
      <c r="G2047" t="inlineStr">
        <is>
          <t>OLOFSTRÖM</t>
        </is>
      </c>
      <c r="I2047" t="n">
        <v>3.1</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9306-2022</t>
        </is>
      </c>
      <c r="B2048" t="inlineStr">
        <is>
          <t>avverkningsanmälan</t>
        </is>
      </c>
      <c r="C2048" t="inlineStr">
        <is>
          <t>Föryngringsavverkning</t>
        </is>
      </c>
      <c r="D2048" s="1" t="n">
        <v>44616</v>
      </c>
      <c r="E2048" s="1" t="n">
        <v>46216</v>
      </c>
      <c r="F2048" t="inlineStr">
        <is>
          <t>BLEKINGE LÄN</t>
        </is>
      </c>
      <c r="G2048" t="inlineStr">
        <is>
          <t>KARLSKRONA</t>
        </is>
      </c>
      <c r="I2048" t="n">
        <v>4.9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6681-2025</t>
        </is>
      </c>
      <c r="B2049" t="inlineStr">
        <is>
          <t>avverkningsanmälan</t>
        </is>
      </c>
      <c r="C2049" t="inlineStr">
        <is>
          <t>Föryngringsavverkning</t>
        </is>
      </c>
      <c r="D2049" s="1" t="n">
        <v>45700</v>
      </c>
      <c r="E2049" s="1" t="n">
        <v>46216</v>
      </c>
      <c r="F2049" t="inlineStr">
        <is>
          <t>BLEKINGE LÄN</t>
        </is>
      </c>
      <c r="G2049" t="inlineStr">
        <is>
          <t>OLOFSTRÖM</t>
        </is>
      </c>
      <c r="I2049" t="n">
        <v>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41243-2023</t>
        </is>
      </c>
      <c r="B2050" t="inlineStr">
        <is>
          <t>avverkningsanmälan</t>
        </is>
      </c>
      <c r="C2050" t="inlineStr">
        <is>
          <t>Föryngringsavverkning</t>
        </is>
      </c>
      <c r="D2050" s="1" t="n">
        <v>45174</v>
      </c>
      <c r="E2050" s="1" t="n">
        <v>46216</v>
      </c>
      <c r="F2050" t="inlineStr">
        <is>
          <t>BLEKINGE LÄN</t>
        </is>
      </c>
      <c r="G2050" t="inlineStr">
        <is>
          <t>KARLSKRONA</t>
        </is>
      </c>
      <c r="I2050" t="n">
        <v>2.8</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23072-2023</t>
        </is>
      </c>
      <c r="B2051" t="inlineStr">
        <is>
          <t>avverkningsanmälan</t>
        </is>
      </c>
      <c r="C2051" t="inlineStr">
        <is>
          <t>Föryngringsavverkning</t>
        </is>
      </c>
      <c r="D2051" s="1" t="n">
        <v>45070</v>
      </c>
      <c r="E2051" s="1" t="n">
        <v>46216</v>
      </c>
      <c r="F2051" t="inlineStr">
        <is>
          <t>BLEKINGE LÄN</t>
        </is>
      </c>
      <c r="G2051" t="inlineStr">
        <is>
          <t>KARLSKRONA</t>
        </is>
      </c>
      <c r="I2051" t="n">
        <v>1.2</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23683-2026</t>
        </is>
      </c>
      <c r="B2052" t="inlineStr">
        <is>
          <t>avverkningsanmälan</t>
        </is>
      </c>
      <c r="C2052" t="inlineStr">
        <is>
          <t>Föryngringsavverkning</t>
        </is>
      </c>
      <c r="D2052" s="1" t="n">
        <v>46164</v>
      </c>
      <c r="E2052" s="1" t="n">
        <v>46216</v>
      </c>
      <c r="F2052" t="inlineStr">
        <is>
          <t>BLEKINGE LÄN</t>
        </is>
      </c>
      <c r="G2052" t="inlineStr">
        <is>
          <t>KARLSKRONA</t>
        </is>
      </c>
      <c r="I2052" t="n">
        <v>1.6</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23710-2026</t>
        </is>
      </c>
      <c r="B2053" t="inlineStr">
        <is>
          <t>avverkningsanmälan</t>
        </is>
      </c>
      <c r="C2053" t="inlineStr">
        <is>
          <t>Föryngringsavverkning</t>
        </is>
      </c>
      <c r="D2053" s="1" t="n">
        <v>46164</v>
      </c>
      <c r="E2053" s="1" t="n">
        <v>46216</v>
      </c>
      <c r="F2053" t="inlineStr">
        <is>
          <t>BLEKINGE LÄN</t>
        </is>
      </c>
      <c r="G2053" t="inlineStr">
        <is>
          <t>KARLSHAMN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20822-2023</t>
        </is>
      </c>
      <c r="B2054" t="inlineStr">
        <is>
          <t>avverkningsanmälan</t>
        </is>
      </c>
      <c r="C2054" t="inlineStr">
        <is>
          <t>Föryngringsavverkning</t>
        </is>
      </c>
      <c r="D2054" s="1" t="n">
        <v>45058</v>
      </c>
      <c r="E2054" s="1" t="n">
        <v>46216</v>
      </c>
      <c r="F2054" t="inlineStr">
        <is>
          <t>BLEKINGE LÄN</t>
        </is>
      </c>
      <c r="G2054" t="inlineStr">
        <is>
          <t>RONNEBY</t>
        </is>
      </c>
      <c r="I2054" t="n">
        <v>0.5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41665-2024</t>
        </is>
      </c>
      <c r="B2055" t="inlineStr">
        <is>
          <t>avverkningsanmälan</t>
        </is>
      </c>
      <c r="C2055" t="inlineStr">
        <is>
          <t>Föryngringsavverkning</t>
        </is>
      </c>
      <c r="D2055" s="1" t="n">
        <v>45560</v>
      </c>
      <c r="E2055" s="1" t="n">
        <v>46216</v>
      </c>
      <c r="F2055" t="inlineStr">
        <is>
          <t>BLEKINGE LÄN</t>
        </is>
      </c>
      <c r="G2055" t="inlineStr">
        <is>
          <t>RONNEBY</t>
        </is>
      </c>
      <c r="H2055" t="inlineStr">
        <is>
          <t>Övriga Aktiebolag</t>
        </is>
      </c>
      <c r="I2055" t="n">
        <v>0.7</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26644-2022</t>
        </is>
      </c>
      <c r="B2056" t="inlineStr">
        <is>
          <t>avverkningsanmälan</t>
        </is>
      </c>
      <c r="C2056" t="inlineStr">
        <is>
          <t>Föryngringsavverkning</t>
        </is>
      </c>
      <c r="D2056" s="1" t="n">
        <v>44739</v>
      </c>
      <c r="E2056" s="1" t="n">
        <v>46216</v>
      </c>
      <c r="F2056" t="inlineStr">
        <is>
          <t>BLEKINGE LÄN</t>
        </is>
      </c>
      <c r="G2056" t="inlineStr">
        <is>
          <t>RONNEBY</t>
        </is>
      </c>
      <c r="I2056" t="n">
        <v>4</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42464-2023</t>
        </is>
      </c>
      <c r="B2057" t="inlineStr">
        <is>
          <t>avverkningsanmälan</t>
        </is>
      </c>
      <c r="C2057" t="inlineStr">
        <is>
          <t>Föryngringsavverkning</t>
        </is>
      </c>
      <c r="D2057" s="1" t="n">
        <v>45180</v>
      </c>
      <c r="E2057" s="1" t="n">
        <v>46216</v>
      </c>
      <c r="F2057" t="inlineStr">
        <is>
          <t>BLEKINGE LÄN</t>
        </is>
      </c>
      <c r="G2057" t="inlineStr">
        <is>
          <t>OLOFSTRÖM</t>
        </is>
      </c>
      <c r="I2057" t="n">
        <v>2.6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31289-2023</t>
        </is>
      </c>
      <c r="B2058" t="inlineStr">
        <is>
          <t>avverkningsanmälan</t>
        </is>
      </c>
      <c r="C2058" t="inlineStr">
        <is>
          <t>Föryngringsavverkning</t>
        </is>
      </c>
      <c r="D2058" s="1" t="n">
        <v>45114</v>
      </c>
      <c r="E2058" s="1" t="n">
        <v>46216</v>
      </c>
      <c r="F2058" t="inlineStr">
        <is>
          <t>BLEKINGE LÄN</t>
        </is>
      </c>
      <c r="G2058" t="inlineStr">
        <is>
          <t>KARLSHAMN</t>
        </is>
      </c>
      <c r="I2058" t="n">
        <v>6.4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45407-2023</t>
        </is>
      </c>
      <c r="B2059" t="inlineStr">
        <is>
          <t>avverkningsanmälan</t>
        </is>
      </c>
      <c r="C2059" t="inlineStr">
        <is>
          <t>Föryngringsavverkning</t>
        </is>
      </c>
      <c r="D2059" s="1" t="n">
        <v>45194</v>
      </c>
      <c r="E2059" s="1" t="n">
        <v>46216</v>
      </c>
      <c r="F2059" t="inlineStr">
        <is>
          <t>BLEKINGE LÄN</t>
        </is>
      </c>
      <c r="G2059" t="inlineStr">
        <is>
          <t>RONNEBY</t>
        </is>
      </c>
      <c r="I2059" t="n">
        <v>6.3</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45206-2022</t>
        </is>
      </c>
      <c r="B2060" t="inlineStr">
        <is>
          <t>avverkningsanmälan</t>
        </is>
      </c>
      <c r="C2060" t="inlineStr">
        <is>
          <t>Föryngringsavverkning</t>
        </is>
      </c>
      <c r="D2060" s="1" t="n">
        <v>44844</v>
      </c>
      <c r="E2060" s="1" t="n">
        <v>46216</v>
      </c>
      <c r="F2060" t="inlineStr">
        <is>
          <t>BLEKINGE LÄN</t>
        </is>
      </c>
      <c r="G2060" t="inlineStr">
        <is>
          <t>KARLSHAMN</t>
        </is>
      </c>
      <c r="I2060" t="n">
        <v>1.4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50131-2025</t>
        </is>
      </c>
      <c r="B2061" t="inlineStr">
        <is>
          <t>avverkningsanmälan</t>
        </is>
      </c>
      <c r="C2061" t="inlineStr">
        <is>
          <t>Föryngringsavverkning</t>
        </is>
      </c>
      <c r="D2061" s="1" t="n">
        <v>45943</v>
      </c>
      <c r="E2061" s="1" t="n">
        <v>46216</v>
      </c>
      <c r="F2061" t="inlineStr">
        <is>
          <t>BLEKINGE LÄN</t>
        </is>
      </c>
      <c r="G2061" t="inlineStr">
        <is>
          <t>KARLSHAMN</t>
        </is>
      </c>
      <c r="I2061" t="n">
        <v>0.6</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17820-2023</t>
        </is>
      </c>
      <c r="B2062" t="inlineStr">
        <is>
          <t>avverkningsanmälan</t>
        </is>
      </c>
      <c r="C2062" t="inlineStr">
        <is>
          <t>Föryngringsavverkning</t>
        </is>
      </c>
      <c r="D2062" s="1" t="n">
        <v>45037</v>
      </c>
      <c r="E2062" s="1" t="n">
        <v>46216</v>
      </c>
      <c r="F2062" t="inlineStr">
        <is>
          <t>BLEKINGE LÄN</t>
        </is>
      </c>
      <c r="G2062" t="inlineStr">
        <is>
          <t>KARLSKRONA</t>
        </is>
      </c>
      <c r="I2062" t="n">
        <v>0.5</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50150-2025</t>
        </is>
      </c>
      <c r="B2063" t="inlineStr">
        <is>
          <t>avverkningsanmälan</t>
        </is>
      </c>
      <c r="C2063" t="inlineStr">
        <is>
          <t>Föryngringsavverkning</t>
        </is>
      </c>
      <c r="D2063" s="1" t="n">
        <v>45943</v>
      </c>
      <c r="E2063" s="1" t="n">
        <v>46216</v>
      </c>
      <c r="F2063" t="inlineStr">
        <is>
          <t>BLEKINGE LÄN</t>
        </is>
      </c>
      <c r="G2063" t="inlineStr">
        <is>
          <t>KARLSHAMN</t>
        </is>
      </c>
      <c r="I2063" t="n">
        <v>2.3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26485-2023</t>
        </is>
      </c>
      <c r="B2064" t="inlineStr">
        <is>
          <t>avverkningsanmälan</t>
        </is>
      </c>
      <c r="C2064" t="inlineStr">
        <is>
          <t>Föryngringsavverkning</t>
        </is>
      </c>
      <c r="D2064" s="1" t="n">
        <v>45092</v>
      </c>
      <c r="E2064" s="1" t="n">
        <v>46216</v>
      </c>
      <c r="F2064" t="inlineStr">
        <is>
          <t>BLEKINGE LÄN</t>
        </is>
      </c>
      <c r="G2064" t="inlineStr">
        <is>
          <t>KARLSKRONA</t>
        </is>
      </c>
      <c r="I2064" t="n">
        <v>39.4</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46820-2022</t>
        </is>
      </c>
      <c r="B2065" t="inlineStr">
        <is>
          <t>avverkningsanmälan</t>
        </is>
      </c>
      <c r="C2065" t="inlineStr">
        <is>
          <t>Avverkning för annat ändamål</t>
        </is>
      </c>
      <c r="D2065" s="1" t="n">
        <v>44851</v>
      </c>
      <c r="E2065" s="1" t="n">
        <v>46216</v>
      </c>
      <c r="F2065" t="inlineStr">
        <is>
          <t>BLEKINGE LÄN</t>
        </is>
      </c>
      <c r="G2065" t="inlineStr">
        <is>
          <t>OLOFSTRÖM</t>
        </is>
      </c>
      <c r="I2065" t="n">
        <v>2.3</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15444-2022</t>
        </is>
      </c>
      <c r="B2066" t="inlineStr">
        <is>
          <t>avverkningsanmälan</t>
        </is>
      </c>
      <c r="C2066" t="inlineStr">
        <is>
          <t>Föryngringsavverkning</t>
        </is>
      </c>
      <c r="D2066" s="1" t="n">
        <v>44660</v>
      </c>
      <c r="E2066" s="1" t="n">
        <v>46216</v>
      </c>
      <c r="F2066" t="inlineStr">
        <is>
          <t>BLEKINGE LÄN</t>
        </is>
      </c>
      <c r="G2066" t="inlineStr">
        <is>
          <t>KARLSHAMN</t>
        </is>
      </c>
      <c r="H2066" t="inlineStr">
        <is>
          <t>Kommuner</t>
        </is>
      </c>
      <c r="I2066" t="n">
        <v>1.3</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60071-2022</t>
        </is>
      </c>
      <c r="B2067" t="inlineStr">
        <is>
          <t>avverkningsanmälan</t>
        </is>
      </c>
      <c r="C2067" t="inlineStr">
        <is>
          <t>Avverkning för annat ändamål</t>
        </is>
      </c>
      <c r="D2067" s="1" t="n">
        <v>44909</v>
      </c>
      <c r="E2067" s="1" t="n">
        <v>46216</v>
      </c>
      <c r="F2067" t="inlineStr">
        <is>
          <t>BLEKINGE LÄN</t>
        </is>
      </c>
      <c r="G2067" t="inlineStr">
        <is>
          <t>KARLSKRONA</t>
        </is>
      </c>
      <c r="I2067" t="n">
        <v>2.8</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27277-2026</t>
        </is>
      </c>
      <c r="B2068" t="inlineStr">
        <is>
          <t>avverkningsanmälan</t>
        </is>
      </c>
      <c r="C2068" t="inlineStr">
        <is>
          <t>Avverkning för annat ändamål</t>
        </is>
      </c>
      <c r="D2068" s="1" t="n">
        <v>46188</v>
      </c>
      <c r="E2068" s="1" t="n">
        <v>46216</v>
      </c>
      <c r="F2068" t="inlineStr">
        <is>
          <t>BLEKINGE LÄN</t>
        </is>
      </c>
      <c r="G2068" t="inlineStr">
        <is>
          <t>KARLSKRONA</t>
        </is>
      </c>
      <c r="I2068" t="n">
        <v>1.4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24244-2026</t>
        </is>
      </c>
      <c r="B2069" t="inlineStr">
        <is>
          <t>avverkningsanmälan</t>
        </is>
      </c>
      <c r="C2069" t="inlineStr">
        <is>
          <t>Föryngringsavverkning</t>
        </is>
      </c>
      <c r="D2069" s="1" t="n">
        <v>46168</v>
      </c>
      <c r="E2069" s="1" t="n">
        <v>46216</v>
      </c>
      <c r="F2069" t="inlineStr">
        <is>
          <t>BLEKINGE LÄN</t>
        </is>
      </c>
      <c r="G2069" t="inlineStr">
        <is>
          <t>RONNEBY</t>
        </is>
      </c>
      <c r="I2069" t="n">
        <v>2.6</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24249-2026</t>
        </is>
      </c>
      <c r="B2070" t="inlineStr">
        <is>
          <t>avverkningsanmälan</t>
        </is>
      </c>
      <c r="C2070" t="inlineStr">
        <is>
          <t>Föryngringsavverkning</t>
        </is>
      </c>
      <c r="D2070" s="1" t="n">
        <v>46168</v>
      </c>
      <c r="E2070" s="1" t="n">
        <v>46216</v>
      </c>
      <c r="F2070" t="inlineStr">
        <is>
          <t>BLEKINGE LÄN</t>
        </is>
      </c>
      <c r="G2070" t="inlineStr">
        <is>
          <t>RONNEBY</t>
        </is>
      </c>
      <c r="I2070" t="n">
        <v>1.4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24320-2026</t>
        </is>
      </c>
      <c r="B2071" t="inlineStr">
        <is>
          <t>avverkningsanmälan</t>
        </is>
      </c>
      <c r="C2071" t="inlineStr">
        <is>
          <t>Föryngringsavverkning</t>
        </is>
      </c>
      <c r="D2071" s="1" t="n">
        <v>46169</v>
      </c>
      <c r="E2071" s="1" t="n">
        <v>46216</v>
      </c>
      <c r="F2071" t="inlineStr">
        <is>
          <t>BLEKINGE LÄN</t>
        </is>
      </c>
      <c r="G2071" t="inlineStr">
        <is>
          <t>OLOFSTRÖM</t>
        </is>
      </c>
      <c r="I2071" t="n">
        <v>0.9</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23410-2023</t>
        </is>
      </c>
      <c r="B2072" t="inlineStr">
        <is>
          <t>avverkningsanmälan</t>
        </is>
      </c>
      <c r="C2072" t="inlineStr">
        <is>
          <t>Föryngringsavverkning</t>
        </is>
      </c>
      <c r="D2072" s="1" t="n">
        <v>45076</v>
      </c>
      <c r="E2072" s="1" t="n">
        <v>46216</v>
      </c>
      <c r="F2072" t="inlineStr">
        <is>
          <t>BLEKINGE LÄN</t>
        </is>
      </c>
      <c r="G2072" t="inlineStr">
        <is>
          <t>KARLSKRONA</t>
        </is>
      </c>
      <c r="I2072" t="n">
        <v>2.4</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24375-2026</t>
        </is>
      </c>
      <c r="B2073" t="inlineStr">
        <is>
          <t>avverkningsanmälan</t>
        </is>
      </c>
      <c r="C2073" t="inlineStr">
        <is>
          <t>Föryngringsavverkning</t>
        </is>
      </c>
      <c r="D2073" s="1" t="n">
        <v>46169</v>
      </c>
      <c r="E2073" s="1" t="n">
        <v>46216</v>
      </c>
      <c r="F2073" t="inlineStr">
        <is>
          <t>BLEKINGE LÄN</t>
        </is>
      </c>
      <c r="G2073" t="inlineStr">
        <is>
          <t>KARLSKRONA</t>
        </is>
      </c>
      <c r="I2073" t="n">
        <v>1.2</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24382-2026</t>
        </is>
      </c>
      <c r="B2074" t="inlineStr">
        <is>
          <t>avverkningsanmälan</t>
        </is>
      </c>
      <c r="C2074" t="inlineStr">
        <is>
          <t>Föryngringsavverkning</t>
        </is>
      </c>
      <c r="D2074" s="1" t="n">
        <v>46169</v>
      </c>
      <c r="E2074" s="1" t="n">
        <v>46216</v>
      </c>
      <c r="F2074" t="inlineStr">
        <is>
          <t>BLEKINGE LÄN</t>
        </is>
      </c>
      <c r="G2074" t="inlineStr">
        <is>
          <t>KARLSKRONA</t>
        </is>
      </c>
      <c r="H2074" t="inlineStr">
        <is>
          <t>Övriga statliga verk och myndigheter</t>
        </is>
      </c>
      <c r="I2074" t="n">
        <v>1</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20580-2023</t>
        </is>
      </c>
      <c r="B2075" t="inlineStr">
        <is>
          <t>avverkningsanmälan</t>
        </is>
      </c>
      <c r="C2075" t="inlineStr">
        <is>
          <t>Föryngringsavverkning</t>
        </is>
      </c>
      <c r="D2075" s="1" t="n">
        <v>45057</v>
      </c>
      <c r="E2075" s="1" t="n">
        <v>46216</v>
      </c>
      <c r="F2075" t="inlineStr">
        <is>
          <t>BLEKINGE LÄN</t>
        </is>
      </c>
      <c r="G2075" t="inlineStr">
        <is>
          <t>RONNEBY</t>
        </is>
      </c>
      <c r="I2075" t="n">
        <v>1.1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30564-2026</t>
        </is>
      </c>
      <c r="B2076" t="inlineStr">
        <is>
          <t>avverkningsanmälan</t>
        </is>
      </c>
      <c r="C2076" t="inlineStr">
        <is>
          <t>Föryngringsavverkning</t>
        </is>
      </c>
      <c r="D2076" s="1" t="n">
        <v>46210</v>
      </c>
      <c r="E2076" s="1" t="n">
        <v>46216</v>
      </c>
      <c r="F2076" t="inlineStr">
        <is>
          <t>BLEKINGE LÄN</t>
        </is>
      </c>
      <c r="G2076" t="inlineStr">
        <is>
          <t>RONNEBY</t>
        </is>
      </c>
      <c r="I2076" t="n">
        <v>1.3</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50129-2025</t>
        </is>
      </c>
      <c r="B2077" t="inlineStr">
        <is>
          <t>avverkningsanmälan</t>
        </is>
      </c>
      <c r="C2077" t="inlineStr">
        <is>
          <t>Föryngringsavverkning</t>
        </is>
      </c>
      <c r="D2077" s="1" t="n">
        <v>45943</v>
      </c>
      <c r="E2077" s="1" t="n">
        <v>46216</v>
      </c>
      <c r="F2077" t="inlineStr">
        <is>
          <t>BLEKINGE LÄN</t>
        </is>
      </c>
      <c r="G2077" t="inlineStr">
        <is>
          <t>KARLSHAMN</t>
        </is>
      </c>
      <c r="I2077" t="n">
        <v>2</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58059-2022</t>
        </is>
      </c>
      <c r="B2078" t="inlineStr">
        <is>
          <t>avverkningsanmälan</t>
        </is>
      </c>
      <c r="C2078" t="inlineStr">
        <is>
          <t>Föryngringsavverkning</t>
        </is>
      </c>
      <c r="D2078" s="1" t="n">
        <v>44900</v>
      </c>
      <c r="E2078" s="1" t="n">
        <v>46216</v>
      </c>
      <c r="F2078" t="inlineStr">
        <is>
          <t>BLEKINGE LÄN</t>
        </is>
      </c>
      <c r="G2078" t="inlineStr">
        <is>
          <t>KARLSKRONA</t>
        </is>
      </c>
      <c r="I2078" t="n">
        <v>1.5</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56660-2023</t>
        </is>
      </c>
      <c r="B2079" t="inlineStr">
        <is>
          <t>avverkningsanmälan</t>
        </is>
      </c>
      <c r="C2079" t="inlineStr">
        <is>
          <t>Föryngringsavverkning</t>
        </is>
      </c>
      <c r="D2079" s="1" t="n">
        <v>45243</v>
      </c>
      <c r="E2079" s="1" t="n">
        <v>46216</v>
      </c>
      <c r="F2079" t="inlineStr">
        <is>
          <t>BLEKINGE LÄN</t>
        </is>
      </c>
      <c r="G2079" t="inlineStr">
        <is>
          <t>OLOFSTRÖM</t>
        </is>
      </c>
      <c r="I2079" t="n">
        <v>3.3</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24245-2026</t>
        </is>
      </c>
      <c r="B2080" t="inlineStr">
        <is>
          <t>avverkningsanmälan</t>
        </is>
      </c>
      <c r="C2080" t="inlineStr">
        <is>
          <t>Föryngringsavverkning</t>
        </is>
      </c>
      <c r="D2080" s="1" t="n">
        <v>46168</v>
      </c>
      <c r="E2080" s="1" t="n">
        <v>46216</v>
      </c>
      <c r="F2080" t="inlineStr">
        <is>
          <t>BLEKINGE LÄN</t>
        </is>
      </c>
      <c r="G2080" t="inlineStr">
        <is>
          <t>RONNEBY</t>
        </is>
      </c>
      <c r="I2080" t="n">
        <v>0.5</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38793-2022</t>
        </is>
      </c>
      <c r="B2081" t="inlineStr">
        <is>
          <t>avverkningsanmälan</t>
        </is>
      </c>
      <c r="C2081" t="inlineStr">
        <is>
          <t>Avverkning för annat ändamål</t>
        </is>
      </c>
      <c r="D2081" s="1" t="n">
        <v>44816</v>
      </c>
      <c r="E2081" s="1" t="n">
        <v>46216</v>
      </c>
      <c r="F2081" t="inlineStr">
        <is>
          <t>BLEKINGE LÄN</t>
        </is>
      </c>
      <c r="G2081" t="inlineStr">
        <is>
          <t>KARLSHAMN</t>
        </is>
      </c>
      <c r="I2081" t="n">
        <v>1.1</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24880-2022</t>
        </is>
      </c>
      <c r="B2082" t="inlineStr">
        <is>
          <t>avverkningsanmälan</t>
        </is>
      </c>
      <c r="C2082" t="inlineStr">
        <is>
          <t>Föryngringsavverkning</t>
        </is>
      </c>
      <c r="D2082" s="1" t="n">
        <v>44728</v>
      </c>
      <c r="E2082" s="1" t="n">
        <v>46216</v>
      </c>
      <c r="F2082" t="inlineStr">
        <is>
          <t>BLEKINGE LÄN</t>
        </is>
      </c>
      <c r="G2082" t="inlineStr">
        <is>
          <t>KARLSHAMN</t>
        </is>
      </c>
      <c r="I2082" t="n">
        <v>1.7</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61882-2023</t>
        </is>
      </c>
      <c r="B2083" t="inlineStr">
        <is>
          <t>avverkningsanmälan</t>
        </is>
      </c>
      <c r="C2083" t="inlineStr">
        <is>
          <t>Föryngringsavverkning</t>
        </is>
      </c>
      <c r="D2083" s="1" t="n">
        <v>45266</v>
      </c>
      <c r="E2083" s="1" t="n">
        <v>46216</v>
      </c>
      <c r="F2083" t="inlineStr">
        <is>
          <t>BLEKINGE LÄN</t>
        </is>
      </c>
      <c r="G2083" t="inlineStr">
        <is>
          <t>KARLSKRONA</t>
        </is>
      </c>
      <c r="I2083" t="n">
        <v>1.3</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14335-2023</t>
        </is>
      </c>
      <c r="B2084" t="inlineStr">
        <is>
          <t>avverkningsanmälan</t>
        </is>
      </c>
      <c r="C2084" t="inlineStr">
        <is>
          <t>Föryngringsavverkning</t>
        </is>
      </c>
      <c r="D2084" s="1" t="n">
        <v>45012</v>
      </c>
      <c r="E2084" s="1" t="n">
        <v>46216</v>
      </c>
      <c r="F2084" t="inlineStr">
        <is>
          <t>BLEKINGE LÄN</t>
        </is>
      </c>
      <c r="G2084" t="inlineStr">
        <is>
          <t>RONNEBY</t>
        </is>
      </c>
      <c r="I2084" t="n">
        <v>1.2</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14357-2023</t>
        </is>
      </c>
      <c r="B2085" t="inlineStr">
        <is>
          <t>avverkningsanmälan</t>
        </is>
      </c>
      <c r="C2085" t="inlineStr">
        <is>
          <t>Föryngringsavverkning</t>
        </is>
      </c>
      <c r="D2085" s="1" t="n">
        <v>45012</v>
      </c>
      <c r="E2085" s="1" t="n">
        <v>46216</v>
      </c>
      <c r="F2085" t="inlineStr">
        <is>
          <t>BLEKINGE LÄN</t>
        </is>
      </c>
      <c r="G2085" t="inlineStr">
        <is>
          <t>RONNEBY</t>
        </is>
      </c>
      <c r="I2085" t="n">
        <v>1</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30545-2026</t>
        </is>
      </c>
      <c r="B2086" t="inlineStr">
        <is>
          <t>avverkningsanmälan</t>
        </is>
      </c>
      <c r="C2086" t="inlineStr">
        <is>
          <t>Föryngringsavverkning</t>
        </is>
      </c>
      <c r="D2086" s="1" t="n">
        <v>46210</v>
      </c>
      <c r="E2086" s="1" t="n">
        <v>46216</v>
      </c>
      <c r="F2086" t="inlineStr">
        <is>
          <t>BLEKINGE LÄN</t>
        </is>
      </c>
      <c r="G2086" t="inlineStr">
        <is>
          <t>RONNEBY</t>
        </is>
      </c>
      <c r="I2086" t="n">
        <v>2.3</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62246-2022</t>
        </is>
      </c>
      <c r="B2087" t="inlineStr">
        <is>
          <t>avverkningsanmälan</t>
        </is>
      </c>
      <c r="C2087" t="inlineStr">
        <is>
          <t>Föryngringsavverkning</t>
        </is>
      </c>
      <c r="D2087" s="1" t="n">
        <v>44922</v>
      </c>
      <c r="E2087" s="1" t="n">
        <v>46216</v>
      </c>
      <c r="F2087" t="inlineStr">
        <is>
          <t>BLEKINGE LÄN</t>
        </is>
      </c>
      <c r="G2087" t="inlineStr">
        <is>
          <t>OLOFSTRÖM</t>
        </is>
      </c>
      <c r="I2087" t="n">
        <v>4.5</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58552-2022</t>
        </is>
      </c>
      <c r="B2088" t="inlineStr">
        <is>
          <t>avverkningsanmälan</t>
        </is>
      </c>
      <c r="C2088" t="inlineStr">
        <is>
          <t>Föryngringsavverkning</t>
        </is>
      </c>
      <c r="D2088" s="1" t="n">
        <v>44902</v>
      </c>
      <c r="E2088" s="1" t="n">
        <v>46216</v>
      </c>
      <c r="F2088" t="inlineStr">
        <is>
          <t>BLEKINGE LÄN</t>
        </is>
      </c>
      <c r="G2088" t="inlineStr">
        <is>
          <t>RONNEBY</t>
        </is>
      </c>
      <c r="I2088" t="n">
        <v>2.1</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13765-2026</t>
        </is>
      </c>
      <c r="B2089" t="inlineStr">
        <is>
          <t>avverkningsanmälan</t>
        </is>
      </c>
      <c r="C2089" t="inlineStr">
        <is>
          <t>Föryngringsavverkning</t>
        </is>
      </c>
      <c r="D2089" s="1" t="n">
        <v>46097</v>
      </c>
      <c r="E2089" s="1" t="n">
        <v>46216</v>
      </c>
      <c r="F2089" t="inlineStr">
        <is>
          <t>BLEKINGE LÄN</t>
        </is>
      </c>
      <c r="G2089" t="inlineStr">
        <is>
          <t>OLOFSTRÖM</t>
        </is>
      </c>
      <c r="H2089" t="inlineStr">
        <is>
          <t>Övriga Aktiebolag</t>
        </is>
      </c>
      <c r="I2089" t="n">
        <v>3</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24604-2026</t>
        </is>
      </c>
      <c r="B2090" t="inlineStr">
        <is>
          <t>avverkningsanmälan</t>
        </is>
      </c>
      <c r="C2090" t="inlineStr">
        <is>
          <t>Föryngringsavverkning</t>
        </is>
      </c>
      <c r="D2090" s="1" t="n">
        <v>46170</v>
      </c>
      <c r="E2090" s="1" t="n">
        <v>46216</v>
      </c>
      <c r="F2090" t="inlineStr">
        <is>
          <t>BLEKINGE LÄN</t>
        </is>
      </c>
      <c r="G2090" t="inlineStr">
        <is>
          <t>KARLSHAMN</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55350-2023</t>
        </is>
      </c>
      <c r="B2091" t="inlineStr">
        <is>
          <t>avverkningsanmälan</t>
        </is>
      </c>
      <c r="C2091" t="inlineStr">
        <is>
          <t>Föryngringsavverkning</t>
        </is>
      </c>
      <c r="D2091" s="1" t="n">
        <v>45238</v>
      </c>
      <c r="E2091" s="1" t="n">
        <v>46216</v>
      </c>
      <c r="F2091" t="inlineStr">
        <is>
          <t>BLEKINGE LÄN</t>
        </is>
      </c>
      <c r="G2091" t="inlineStr">
        <is>
          <t>RONNEBY</t>
        </is>
      </c>
      <c r="I2091" t="n">
        <v>0.5</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8235-2023</t>
        </is>
      </c>
      <c r="B2092" t="inlineStr">
        <is>
          <t>avverkningsanmälan</t>
        </is>
      </c>
      <c r="C2092" t="inlineStr">
        <is>
          <t>Föryngringsavverkning</t>
        </is>
      </c>
      <c r="D2092" s="1" t="n">
        <v>44974</v>
      </c>
      <c r="E2092" s="1" t="n">
        <v>46216</v>
      </c>
      <c r="F2092" t="inlineStr">
        <is>
          <t>BLEKINGE LÄN</t>
        </is>
      </c>
      <c r="G2092" t="inlineStr">
        <is>
          <t>OLOFSTRÖM</t>
        </is>
      </c>
      <c r="I2092" t="n">
        <v>3.2</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8238-2023</t>
        </is>
      </c>
      <c r="B2093" t="inlineStr">
        <is>
          <t>avverkningsanmälan</t>
        </is>
      </c>
      <c r="C2093" t="inlineStr">
        <is>
          <t>Föryngringsavverkning</t>
        </is>
      </c>
      <c r="D2093" s="1" t="n">
        <v>44974</v>
      </c>
      <c r="E2093" s="1" t="n">
        <v>46216</v>
      </c>
      <c r="F2093" t="inlineStr">
        <is>
          <t>BLEKINGE LÄN</t>
        </is>
      </c>
      <c r="G2093" t="inlineStr">
        <is>
          <t>OLOFSTRÖM</t>
        </is>
      </c>
      <c r="I2093" t="n">
        <v>3</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11141-2025</t>
        </is>
      </c>
      <c r="B2094" t="inlineStr">
        <is>
          <t>avverkningsanmälan</t>
        </is>
      </c>
      <c r="C2094" t="inlineStr">
        <is>
          <t>Föryngringsavverkning</t>
        </is>
      </c>
      <c r="D2094" s="1" t="n">
        <v>45723</v>
      </c>
      <c r="E2094" s="1" t="n">
        <v>46216</v>
      </c>
      <c r="F2094" t="inlineStr">
        <is>
          <t>BLEKINGE LÄN</t>
        </is>
      </c>
      <c r="G2094" t="inlineStr">
        <is>
          <t>OLOFSTRÖM</t>
        </is>
      </c>
      <c r="I2094" t="n">
        <v>0.1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24487-2026</t>
        </is>
      </c>
      <c r="B2095" t="inlineStr">
        <is>
          <t>avverkningsanmälan</t>
        </is>
      </c>
      <c r="C2095" t="inlineStr">
        <is>
          <t>Föryngringsavverkning</t>
        </is>
      </c>
      <c r="D2095" s="1" t="n">
        <v>46170</v>
      </c>
      <c r="E2095" s="1" t="n">
        <v>46216</v>
      </c>
      <c r="F2095" t="inlineStr">
        <is>
          <t>BLEKINGE LÄN</t>
        </is>
      </c>
      <c r="G2095" t="inlineStr">
        <is>
          <t>KARLSHAMN</t>
        </is>
      </c>
      <c r="I2095" t="n">
        <v>1.2</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43814-2024</t>
        </is>
      </c>
      <c r="B2096" t="inlineStr">
        <is>
          <t>avverkningsanmälan</t>
        </is>
      </c>
      <c r="C2096" t="inlineStr">
        <is>
          <t>Föryngringsavverkning</t>
        </is>
      </c>
      <c r="D2096" s="1" t="n">
        <v>45571</v>
      </c>
      <c r="E2096" s="1" t="n">
        <v>46216</v>
      </c>
      <c r="F2096" t="inlineStr">
        <is>
          <t>BLEKINGE LÄN</t>
        </is>
      </c>
      <c r="G2096" t="inlineStr">
        <is>
          <t>OLOFSTRÖM</t>
        </is>
      </c>
      <c r="H2096" t="inlineStr">
        <is>
          <t>Sveaskog</t>
        </is>
      </c>
      <c r="I2096" t="n">
        <v>0.4</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43820-2024</t>
        </is>
      </c>
      <c r="B2097" t="inlineStr">
        <is>
          <t>avverkningsanmälan</t>
        </is>
      </c>
      <c r="C2097" t="inlineStr">
        <is>
          <t>Avverkning för annat ändamål</t>
        </is>
      </c>
      <c r="D2097" s="1" t="n">
        <v>45571</v>
      </c>
      <c r="E2097" s="1" t="n">
        <v>46216</v>
      </c>
      <c r="F2097" t="inlineStr">
        <is>
          <t>BLEKINGE LÄN</t>
        </is>
      </c>
      <c r="G2097" t="inlineStr">
        <is>
          <t>KARLSKRONA</t>
        </is>
      </c>
      <c r="I2097" t="n">
        <v>0.5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24472-2026</t>
        </is>
      </c>
      <c r="B2098" t="inlineStr">
        <is>
          <t>avverkningsanmälan</t>
        </is>
      </c>
      <c r="C2098" t="inlineStr">
        <is>
          <t>Föryngringsavverkning</t>
        </is>
      </c>
      <c r="D2098" s="1" t="n">
        <v>46170</v>
      </c>
      <c r="E2098" s="1" t="n">
        <v>46216</v>
      </c>
      <c r="F2098" t="inlineStr">
        <is>
          <t>BLEKINGE LÄN</t>
        </is>
      </c>
      <c r="G2098" t="inlineStr">
        <is>
          <t>KARLSHAMN</t>
        </is>
      </c>
      <c r="I2098" t="n">
        <v>2.5</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60469-2023</t>
        </is>
      </c>
      <c r="B2099" t="inlineStr">
        <is>
          <t>avverkningsanmälan</t>
        </is>
      </c>
      <c r="C2099" t="inlineStr">
        <is>
          <t>Föryngringsavverkning</t>
        </is>
      </c>
      <c r="D2099" s="1" t="n">
        <v>45258</v>
      </c>
      <c r="E2099" s="1" t="n">
        <v>46216</v>
      </c>
      <c r="F2099" t="inlineStr">
        <is>
          <t>BLEKINGE LÄN</t>
        </is>
      </c>
      <c r="G2099" t="inlineStr">
        <is>
          <t>SÖLVESBORG</t>
        </is>
      </c>
      <c r="I2099" t="n">
        <v>8.4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47848-2021</t>
        </is>
      </c>
      <c r="B2100" t="inlineStr">
        <is>
          <t>avverkningsanmälan</t>
        </is>
      </c>
      <c r="C2100" t="inlineStr">
        <is>
          <t>Föryngringsavverkning</t>
        </is>
      </c>
      <c r="D2100" s="1" t="n">
        <v>44448</v>
      </c>
      <c r="E2100" s="1" t="n">
        <v>46216</v>
      </c>
      <c r="F2100" t="inlineStr">
        <is>
          <t>BLEKINGE LÄN</t>
        </is>
      </c>
      <c r="G2100" t="inlineStr">
        <is>
          <t>KARLSHAMN</t>
        </is>
      </c>
      <c r="I2100" t="n">
        <v>3.6</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42613-2024</t>
        </is>
      </c>
      <c r="B2101" t="inlineStr">
        <is>
          <t>avverkningsanmälan</t>
        </is>
      </c>
      <c r="C2101" t="inlineStr">
        <is>
          <t>Föryngringsavverkning</t>
        </is>
      </c>
      <c r="D2101" s="1" t="n">
        <v>45565</v>
      </c>
      <c r="E2101" s="1" t="n">
        <v>46216</v>
      </c>
      <c r="F2101" t="inlineStr">
        <is>
          <t>BLEKINGE LÄN</t>
        </is>
      </c>
      <c r="G2101" t="inlineStr">
        <is>
          <t>KARLSKRONA</t>
        </is>
      </c>
      <c r="I2101" t="n">
        <v>0.6</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24602-2026</t>
        </is>
      </c>
      <c r="B2102" t="inlineStr">
        <is>
          <t>avverkningsanmälan</t>
        </is>
      </c>
      <c r="C2102" t="inlineStr">
        <is>
          <t>Föryngringsavverkning</t>
        </is>
      </c>
      <c r="D2102" s="1" t="n">
        <v>46170</v>
      </c>
      <c r="E2102" s="1" t="n">
        <v>46216</v>
      </c>
      <c r="F2102" t="inlineStr">
        <is>
          <t>BLEKINGE LÄN</t>
        </is>
      </c>
      <c r="G2102" t="inlineStr">
        <is>
          <t>KARLSHAMN</t>
        </is>
      </c>
      <c r="I2102" t="n">
        <v>3.6</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7246-2024</t>
        </is>
      </c>
      <c r="B2103" t="inlineStr">
        <is>
          <t>avverkningsanmälan</t>
        </is>
      </c>
      <c r="C2103" t="inlineStr">
        <is>
          <t>Föryngringsavverkning</t>
        </is>
      </c>
      <c r="D2103" s="1" t="n">
        <v>45344</v>
      </c>
      <c r="E2103" s="1" t="n">
        <v>46216</v>
      </c>
      <c r="F2103" t="inlineStr">
        <is>
          <t>BLEKINGE LÄN</t>
        </is>
      </c>
      <c r="G2103" t="inlineStr">
        <is>
          <t>KARLSHAMN</t>
        </is>
      </c>
      <c r="I2103" t="n">
        <v>0.9</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23858-2022</t>
        </is>
      </c>
      <c r="B2104" t="inlineStr">
        <is>
          <t>avverkningsanmälan</t>
        </is>
      </c>
      <c r="C2104" t="inlineStr">
        <is>
          <t>Föryngringsavverkning</t>
        </is>
      </c>
      <c r="D2104" s="1" t="n">
        <v>44722</v>
      </c>
      <c r="E2104" s="1" t="n">
        <v>46216</v>
      </c>
      <c r="F2104" t="inlineStr">
        <is>
          <t>BLEKINGE LÄN</t>
        </is>
      </c>
      <c r="G2104" t="inlineStr">
        <is>
          <t>KARLSKRONA</t>
        </is>
      </c>
      <c r="I2104" t="n">
        <v>1.8</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24531-2026</t>
        </is>
      </c>
      <c r="B2105" t="inlineStr">
        <is>
          <t>avverkningsanmälan</t>
        </is>
      </c>
      <c r="C2105" t="inlineStr">
        <is>
          <t>Föryngringsavverkning</t>
        </is>
      </c>
      <c r="D2105" s="1" t="n">
        <v>46170</v>
      </c>
      <c r="E2105" s="1" t="n">
        <v>46216</v>
      </c>
      <c r="F2105" t="inlineStr">
        <is>
          <t>BLEKINGE LÄN</t>
        </is>
      </c>
      <c r="G2105" t="inlineStr">
        <is>
          <t>KARLSHAMN</t>
        </is>
      </c>
      <c r="I2105" t="n">
        <v>5.2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9602-2023</t>
        </is>
      </c>
      <c r="B2106" t="inlineStr">
        <is>
          <t>avverkningsanmälan</t>
        </is>
      </c>
      <c r="C2106" t="inlineStr">
        <is>
          <t>Föryngringsavverkning</t>
        </is>
      </c>
      <c r="D2106" s="1" t="n">
        <v>44983</v>
      </c>
      <c r="E2106" s="1" t="n">
        <v>46216</v>
      </c>
      <c r="F2106" t="inlineStr">
        <is>
          <t>BLEKINGE LÄN</t>
        </is>
      </c>
      <c r="G2106" t="inlineStr">
        <is>
          <t>SÖLVESBORG</t>
        </is>
      </c>
      <c r="I2106" t="n">
        <v>2.8</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24785-2026</t>
        </is>
      </c>
      <c r="B2107" t="inlineStr">
        <is>
          <t>avverkningsanmälan</t>
        </is>
      </c>
      <c r="C2107" t="inlineStr">
        <is>
          <t>Föryngringsavverkning</t>
        </is>
      </c>
      <c r="D2107" s="1" t="n">
        <v>46171</v>
      </c>
      <c r="E2107" s="1" t="n">
        <v>46216</v>
      </c>
      <c r="F2107" t="inlineStr">
        <is>
          <t>BLEKINGE LÄN</t>
        </is>
      </c>
      <c r="G2107" t="inlineStr">
        <is>
          <t>RONNEBY</t>
        </is>
      </c>
      <c r="H2107" t="inlineStr">
        <is>
          <t>Övriga Aktiebolag</t>
        </is>
      </c>
      <c r="I2107" t="n">
        <v>2.6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16297-2022</t>
        </is>
      </c>
      <c r="B2108" t="inlineStr">
        <is>
          <t>avverkningsanmälan</t>
        </is>
      </c>
      <c r="C2108" t="inlineStr">
        <is>
          <t>Föryngringsavverkning</t>
        </is>
      </c>
      <c r="D2108" s="1" t="n">
        <v>44670</v>
      </c>
      <c r="E2108" s="1" t="n">
        <v>46216</v>
      </c>
      <c r="F2108" t="inlineStr">
        <is>
          <t>BLEKINGE LÄN</t>
        </is>
      </c>
      <c r="G2108" t="inlineStr">
        <is>
          <t>SÖLVESBORG</t>
        </is>
      </c>
      <c r="I2108" t="n">
        <v>1.3</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24603-2026</t>
        </is>
      </c>
      <c r="B2109" t="inlineStr">
        <is>
          <t>avverkningsanmälan</t>
        </is>
      </c>
      <c r="C2109" t="inlineStr">
        <is>
          <t>Föryngringsavverkning</t>
        </is>
      </c>
      <c r="D2109" s="1" t="n">
        <v>46170</v>
      </c>
      <c r="E2109" s="1" t="n">
        <v>46216</v>
      </c>
      <c r="F2109" t="inlineStr">
        <is>
          <t>BLEKINGE LÄN</t>
        </is>
      </c>
      <c r="G2109" t="inlineStr">
        <is>
          <t>KARLSHAMN</t>
        </is>
      </c>
      <c r="I2109" t="n">
        <v>3.2</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58804-2022</t>
        </is>
      </c>
      <c r="B2110" t="inlineStr">
        <is>
          <t>avverkningsanmälan</t>
        </is>
      </c>
      <c r="C2110" t="inlineStr">
        <is>
          <t>Föryngringsavverkning</t>
        </is>
      </c>
      <c r="D2110" s="1" t="n">
        <v>44903</v>
      </c>
      <c r="E2110" s="1" t="n">
        <v>46216</v>
      </c>
      <c r="F2110" t="inlineStr">
        <is>
          <t>BLEKINGE LÄN</t>
        </is>
      </c>
      <c r="G2110" t="inlineStr">
        <is>
          <t>KARLSKRONA</t>
        </is>
      </c>
      <c r="I2110" t="n">
        <v>7.7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15361-2024</t>
        </is>
      </c>
      <c r="B2111" t="inlineStr">
        <is>
          <t>avverkningsanmälan</t>
        </is>
      </c>
      <c r="C2111" t="inlineStr">
        <is>
          <t>Föryngringsavverkning</t>
        </is>
      </c>
      <c r="D2111" s="1" t="n">
        <v>45400</v>
      </c>
      <c r="E2111" s="1" t="n">
        <v>46216</v>
      </c>
      <c r="F2111" t="inlineStr">
        <is>
          <t>BLEKINGE LÄN</t>
        </is>
      </c>
      <c r="G2111" t="inlineStr">
        <is>
          <t>KARLSHAMN</t>
        </is>
      </c>
      <c r="I2111" t="n">
        <v>0.8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16787-2023</t>
        </is>
      </c>
      <c r="B2112" t="inlineStr">
        <is>
          <t>avverkningsanmälan</t>
        </is>
      </c>
      <c r="C2112" t="inlineStr">
        <is>
          <t>Avverkning för annat ändamål</t>
        </is>
      </c>
      <c r="D2112" s="1" t="n">
        <v>45032</v>
      </c>
      <c r="E2112" s="1" t="n">
        <v>46216</v>
      </c>
      <c r="F2112" t="inlineStr">
        <is>
          <t>BLEKINGE LÄN</t>
        </is>
      </c>
      <c r="G2112" t="inlineStr">
        <is>
          <t>OLOFSTRÖM</t>
        </is>
      </c>
      <c r="I2112" t="n">
        <v>0.2</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36966-2023</t>
        </is>
      </c>
      <c r="B2113" t="inlineStr">
        <is>
          <t>avverkningsanmälan</t>
        </is>
      </c>
      <c r="C2113" t="inlineStr">
        <is>
          <t>Föryngringsavverkning</t>
        </is>
      </c>
      <c r="D2113" s="1" t="n">
        <v>45154</v>
      </c>
      <c r="E2113" s="1" t="n">
        <v>46216</v>
      </c>
      <c r="F2113" t="inlineStr">
        <is>
          <t>BLEKINGE LÄN</t>
        </is>
      </c>
      <c r="G2113" t="inlineStr">
        <is>
          <t>KARLSKRONA</t>
        </is>
      </c>
      <c r="I2113" t="n">
        <v>0.6</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3477-2024</t>
        </is>
      </c>
      <c r="B2114" t="inlineStr">
        <is>
          <t>avverkningsanmälan</t>
        </is>
      </c>
      <c r="C2114" t="inlineStr">
        <is>
          <t>Föryngringsavverkning</t>
        </is>
      </c>
      <c r="D2114" s="1" t="n">
        <v>45320</v>
      </c>
      <c r="E2114" s="1" t="n">
        <v>46216</v>
      </c>
      <c r="F2114" t="inlineStr">
        <is>
          <t>BLEKINGE LÄN</t>
        </is>
      </c>
      <c r="G2114" t="inlineStr">
        <is>
          <t>OLOFSTRÖM</t>
        </is>
      </c>
      <c r="I2114" t="n">
        <v>2.4</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48933-2024</t>
        </is>
      </c>
      <c r="B2115" t="inlineStr">
        <is>
          <t>avverkningsanmälan</t>
        </is>
      </c>
      <c r="C2115" t="inlineStr">
        <is>
          <t>Föryngringsavverkning</t>
        </is>
      </c>
      <c r="D2115" s="1" t="n">
        <v>45594</v>
      </c>
      <c r="E2115" s="1" t="n">
        <v>46216</v>
      </c>
      <c r="F2115" t="inlineStr">
        <is>
          <t>BLEKINGE LÄN</t>
        </is>
      </c>
      <c r="G2115" t="inlineStr">
        <is>
          <t>OLOFSTRÖM</t>
        </is>
      </c>
      <c r="I2115" t="n">
        <v>8.300000000000001</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3099-2023</t>
        </is>
      </c>
      <c r="B2116" t="inlineStr">
        <is>
          <t>avverkningsanmälan</t>
        </is>
      </c>
      <c r="C2116" t="inlineStr">
        <is>
          <t>Föryngringsavverkning</t>
        </is>
      </c>
      <c r="D2116" s="1" t="n">
        <v>44946</v>
      </c>
      <c r="E2116" s="1" t="n">
        <v>46216</v>
      </c>
      <c r="F2116" t="inlineStr">
        <is>
          <t>BLEKINGE LÄN</t>
        </is>
      </c>
      <c r="G2116" t="inlineStr">
        <is>
          <t>KARLSHAMN</t>
        </is>
      </c>
      <c r="I2116" t="n">
        <v>5.7</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21997-2022</t>
        </is>
      </c>
      <c r="B2117" t="inlineStr">
        <is>
          <t>avverkningsanmälan</t>
        </is>
      </c>
      <c r="C2117" t="inlineStr">
        <is>
          <t>Föryngringsavverkning</t>
        </is>
      </c>
      <c r="D2117" s="1" t="n">
        <v>44711</v>
      </c>
      <c r="E2117" s="1" t="n">
        <v>46216</v>
      </c>
      <c r="F2117" t="inlineStr">
        <is>
          <t>BLEKINGE LÄN</t>
        </is>
      </c>
      <c r="G2117" t="inlineStr">
        <is>
          <t>KARLSKRONA</t>
        </is>
      </c>
      <c r="I2117" t="n">
        <v>1.2</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19515-2022</t>
        </is>
      </c>
      <c r="B2118" t="inlineStr">
        <is>
          <t>avverkningsanmälan</t>
        </is>
      </c>
      <c r="C2118" t="inlineStr">
        <is>
          <t>Föryngringsavverkning</t>
        </is>
      </c>
      <c r="D2118" s="1" t="n">
        <v>44693</v>
      </c>
      <c r="E2118" s="1" t="n">
        <v>46216</v>
      </c>
      <c r="F2118" t="inlineStr">
        <is>
          <t>BLEKINGE LÄN</t>
        </is>
      </c>
      <c r="G2118" t="inlineStr">
        <is>
          <t>KARLSKRONA</t>
        </is>
      </c>
      <c r="I2118" t="n">
        <v>5.1</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3024-2022</t>
        </is>
      </c>
      <c r="B2119" t="inlineStr">
        <is>
          <t>avverkningsanmälan</t>
        </is>
      </c>
      <c r="C2119" t="inlineStr">
        <is>
          <t>Föryngringsavverkning</t>
        </is>
      </c>
      <c r="D2119" s="1" t="n">
        <v>44581</v>
      </c>
      <c r="E2119" s="1" t="n">
        <v>46216</v>
      </c>
      <c r="F2119" t="inlineStr">
        <is>
          <t>BLEKINGE LÄN</t>
        </is>
      </c>
      <c r="G2119" t="inlineStr">
        <is>
          <t>KARLSKRONA</t>
        </is>
      </c>
      <c r="I2119" t="n">
        <v>1.3</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50709-2024</t>
        </is>
      </c>
      <c r="B2120" t="inlineStr">
        <is>
          <t>avverkningsanmälan</t>
        </is>
      </c>
      <c r="C2120" t="inlineStr">
        <is>
          <t>Föryngringsavverkning</t>
        </is>
      </c>
      <c r="D2120" s="1" t="n">
        <v>45602</v>
      </c>
      <c r="E2120" s="1" t="n">
        <v>46216</v>
      </c>
      <c r="F2120" t="inlineStr">
        <is>
          <t>BLEKINGE LÄN</t>
        </is>
      </c>
      <c r="G2120" t="inlineStr">
        <is>
          <t>OLOFSTRÖM</t>
        </is>
      </c>
      <c r="I2120" t="n">
        <v>2.3</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23099-2023</t>
        </is>
      </c>
      <c r="B2121" t="inlineStr">
        <is>
          <t>avverkningsanmälan</t>
        </is>
      </c>
      <c r="C2121" t="inlineStr">
        <is>
          <t>Föryngringsavverkning</t>
        </is>
      </c>
      <c r="D2121" s="1" t="n">
        <v>45075</v>
      </c>
      <c r="E2121" s="1" t="n">
        <v>46216</v>
      </c>
      <c r="F2121" t="inlineStr">
        <is>
          <t>BLEKINGE LÄN</t>
        </is>
      </c>
      <c r="G2121" t="inlineStr">
        <is>
          <t>KARLSKRONA</t>
        </is>
      </c>
      <c r="I2121" t="n">
        <v>1.6</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53994-2024</t>
        </is>
      </c>
      <c r="B2122" t="inlineStr">
        <is>
          <t>avverkningsanmälan</t>
        </is>
      </c>
      <c r="C2122" t="inlineStr">
        <is>
          <t>Föryngringsavverkning</t>
        </is>
      </c>
      <c r="D2122" s="1" t="n">
        <v>45616</v>
      </c>
      <c r="E2122" s="1" t="n">
        <v>46216</v>
      </c>
      <c r="F2122" t="inlineStr">
        <is>
          <t>BLEKINGE LÄN</t>
        </is>
      </c>
      <c r="G2122" t="inlineStr">
        <is>
          <t>KARLSKRONA</t>
        </is>
      </c>
      <c r="I2122" t="n">
        <v>2.3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5552-2025</t>
        </is>
      </c>
      <c r="B2123" t="inlineStr">
        <is>
          <t>avverkningsanmälan</t>
        </is>
      </c>
      <c r="C2123" t="inlineStr">
        <is>
          <t>Föryngringsavverkning</t>
        </is>
      </c>
      <c r="D2123" s="1" t="n">
        <v>45693</v>
      </c>
      <c r="E2123" s="1" t="n">
        <v>46216</v>
      </c>
      <c r="F2123" t="inlineStr">
        <is>
          <t>BLEKINGE LÄN</t>
        </is>
      </c>
      <c r="G2123" t="inlineStr">
        <is>
          <t>OLOFSTRÖM</t>
        </is>
      </c>
      <c r="I2123" t="n">
        <v>0.3</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21150-2023</t>
        </is>
      </c>
      <c r="B2124" t="inlineStr">
        <is>
          <t>avverkningsanmälan</t>
        </is>
      </c>
      <c r="C2124" t="inlineStr">
        <is>
          <t>Föryngringsavverkning</t>
        </is>
      </c>
      <c r="D2124" s="1" t="n">
        <v>45062</v>
      </c>
      <c r="E2124" s="1" t="n">
        <v>46216</v>
      </c>
      <c r="F2124" t="inlineStr">
        <is>
          <t>BLEKINGE LÄN</t>
        </is>
      </c>
      <c r="G2124" t="inlineStr">
        <is>
          <t>KARLSKRONA</t>
        </is>
      </c>
      <c r="I2124" t="n">
        <v>8.5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33742-2024</t>
        </is>
      </c>
      <c r="B2125" t="inlineStr">
        <is>
          <t>avverkningsanmälan</t>
        </is>
      </c>
      <c r="C2125" t="inlineStr">
        <is>
          <t>Föryngringsavverkning</t>
        </is>
      </c>
      <c r="D2125" s="1" t="n">
        <v>45520</v>
      </c>
      <c r="E2125" s="1" t="n">
        <v>46216</v>
      </c>
      <c r="F2125" t="inlineStr">
        <is>
          <t>BLEKINGE LÄN</t>
        </is>
      </c>
      <c r="G2125" t="inlineStr">
        <is>
          <t>SÖLVESBORG</t>
        </is>
      </c>
      <c r="I2125" t="n">
        <v>0.4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61956-2023</t>
        </is>
      </c>
      <c r="B2126" t="inlineStr">
        <is>
          <t>avverkningsanmälan</t>
        </is>
      </c>
      <c r="C2126" t="inlineStr">
        <is>
          <t>Föryngringsavverkning</t>
        </is>
      </c>
      <c r="D2126" s="1" t="n">
        <v>45266</v>
      </c>
      <c r="E2126" s="1" t="n">
        <v>46216</v>
      </c>
      <c r="F2126" t="inlineStr">
        <is>
          <t>BLEKINGE LÄN</t>
        </is>
      </c>
      <c r="G2126" t="inlineStr">
        <is>
          <t>KARLSHAMN</t>
        </is>
      </c>
      <c r="I2126" t="n">
        <v>0.3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38341-2024</t>
        </is>
      </c>
      <c r="B2127" t="inlineStr">
        <is>
          <t>avverkningsanmälan</t>
        </is>
      </c>
      <c r="C2127" t="inlineStr">
        <is>
          <t>Föryngringsavverkning</t>
        </is>
      </c>
      <c r="D2127" s="1" t="n">
        <v>45545</v>
      </c>
      <c r="E2127" s="1" t="n">
        <v>46216</v>
      </c>
      <c r="F2127" t="inlineStr">
        <is>
          <t>BLEKINGE LÄN</t>
        </is>
      </c>
      <c r="G2127" t="inlineStr">
        <is>
          <t>RONNEBY</t>
        </is>
      </c>
      <c r="H2127" t="inlineStr">
        <is>
          <t>Övriga Aktiebolag</t>
        </is>
      </c>
      <c r="I2127" t="n">
        <v>1.1</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30740-2023</t>
        </is>
      </c>
      <c r="B2128" t="inlineStr">
        <is>
          <t>avverkningsanmälan</t>
        </is>
      </c>
      <c r="C2128" t="inlineStr">
        <is>
          <t>Föryngringsavverkning</t>
        </is>
      </c>
      <c r="D2128" s="1" t="n">
        <v>45112</v>
      </c>
      <c r="E2128" s="1" t="n">
        <v>46216</v>
      </c>
      <c r="F2128" t="inlineStr">
        <is>
          <t>BLEKINGE LÄN</t>
        </is>
      </c>
      <c r="G2128" t="inlineStr">
        <is>
          <t>OLOFSTRÖM</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30954-2023</t>
        </is>
      </c>
      <c r="B2129" t="inlineStr">
        <is>
          <t>avverkningsanmälan</t>
        </is>
      </c>
      <c r="C2129" t="inlineStr">
        <is>
          <t>Föryngringsavverkning</t>
        </is>
      </c>
      <c r="D2129" s="1" t="n">
        <v>45113</v>
      </c>
      <c r="E2129" s="1" t="n">
        <v>46216</v>
      </c>
      <c r="F2129" t="inlineStr">
        <is>
          <t>BLEKINGE LÄN</t>
        </is>
      </c>
      <c r="G2129" t="inlineStr">
        <is>
          <t>KARLSKRONA</t>
        </is>
      </c>
      <c r="I2129" t="n">
        <v>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10630-2023</t>
        </is>
      </c>
      <c r="B2130" t="inlineStr">
        <is>
          <t>avverkningsanmälan</t>
        </is>
      </c>
      <c r="C2130" t="inlineStr">
        <is>
          <t>Föryngringsavverkning</t>
        </is>
      </c>
      <c r="D2130" s="1" t="n">
        <v>44984</v>
      </c>
      <c r="E2130" s="1" t="n">
        <v>46216</v>
      </c>
      <c r="F2130" t="inlineStr">
        <is>
          <t>BLEKINGE LÄN</t>
        </is>
      </c>
      <c r="G2130" t="inlineStr">
        <is>
          <t>OLOFSTRÖM</t>
        </is>
      </c>
      <c r="I2130" t="n">
        <v>0.8</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2133-2025</t>
        </is>
      </c>
      <c r="B2131" t="inlineStr">
        <is>
          <t>avverkningsanmälan</t>
        </is>
      </c>
      <c r="C2131" t="inlineStr">
        <is>
          <t>Föryngringsavverkning</t>
        </is>
      </c>
      <c r="D2131" s="1" t="n">
        <v>45672</v>
      </c>
      <c r="E2131" s="1" t="n">
        <v>46216</v>
      </c>
      <c r="F2131" t="inlineStr">
        <is>
          <t>BLEKINGE LÄN</t>
        </is>
      </c>
      <c r="G2131" t="inlineStr">
        <is>
          <t>KARLSKRONA</t>
        </is>
      </c>
      <c r="I2131" t="n">
        <v>0.7</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65035-2023</t>
        </is>
      </c>
      <c r="B2132" t="inlineStr">
        <is>
          <t>avverkningsanmälan</t>
        </is>
      </c>
      <c r="C2132" t="inlineStr">
        <is>
          <t>Föryngringsavverkning</t>
        </is>
      </c>
      <c r="D2132" s="1" t="n">
        <v>45282</v>
      </c>
      <c r="E2132" s="1" t="n">
        <v>46216</v>
      </c>
      <c r="F2132" t="inlineStr">
        <is>
          <t>BLEKINGE LÄN</t>
        </is>
      </c>
      <c r="G2132" t="inlineStr">
        <is>
          <t>OLOFSTRÖM</t>
        </is>
      </c>
      <c r="I2132" t="n">
        <v>1.9</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972-2024</t>
        </is>
      </c>
      <c r="B2133" t="inlineStr">
        <is>
          <t>avverkningsanmälan</t>
        </is>
      </c>
      <c r="C2133" t="inlineStr">
        <is>
          <t>Föryngringsavverkning</t>
        </is>
      </c>
      <c r="D2133" s="1" t="n">
        <v>45301</v>
      </c>
      <c r="E2133" s="1" t="n">
        <v>46216</v>
      </c>
      <c r="F2133" t="inlineStr">
        <is>
          <t>BLEKINGE LÄN</t>
        </is>
      </c>
      <c r="G2133" t="inlineStr">
        <is>
          <t>KARLSKRONA</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32008-2023</t>
        </is>
      </c>
      <c r="B2134" t="inlineStr">
        <is>
          <t>avverkningsanmälan</t>
        </is>
      </c>
      <c r="C2134" t="inlineStr">
        <is>
          <t>Föryngringsavverkning</t>
        </is>
      </c>
      <c r="D2134" s="1" t="n">
        <v>45107</v>
      </c>
      <c r="E2134" s="1" t="n">
        <v>46216</v>
      </c>
      <c r="F2134" t="inlineStr">
        <is>
          <t>BLEKINGE LÄN</t>
        </is>
      </c>
      <c r="G2134" t="inlineStr">
        <is>
          <t>OLOFSTRÖM</t>
        </is>
      </c>
      <c r="I2134" t="n">
        <v>1.4</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6421-2024</t>
        </is>
      </c>
      <c r="B2135" t="inlineStr">
        <is>
          <t>avverkningsanmälan</t>
        </is>
      </c>
      <c r="C2135" t="inlineStr">
        <is>
          <t>Föryngringsavverkning</t>
        </is>
      </c>
      <c r="D2135" s="1" t="n">
        <v>45338</v>
      </c>
      <c r="E2135" s="1" t="n">
        <v>46216</v>
      </c>
      <c r="F2135" t="inlineStr">
        <is>
          <t>BLEKINGE LÄN</t>
        </is>
      </c>
      <c r="G2135" t="inlineStr">
        <is>
          <t>OLOFSTRÖM</t>
        </is>
      </c>
      <c r="I2135" t="n">
        <v>0.8</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53188-2023</t>
        </is>
      </c>
      <c r="B2136" t="inlineStr">
        <is>
          <t>avverkningsanmälan</t>
        </is>
      </c>
      <c r="C2136" t="inlineStr">
        <is>
          <t>Föryngringsavverkning</t>
        </is>
      </c>
      <c r="D2136" s="1" t="n">
        <v>45229</v>
      </c>
      <c r="E2136" s="1" t="n">
        <v>46216</v>
      </c>
      <c r="F2136" t="inlineStr">
        <is>
          <t>BLEKINGE LÄN</t>
        </is>
      </c>
      <c r="G2136" t="inlineStr">
        <is>
          <t>RONNEBY</t>
        </is>
      </c>
      <c r="I2136" t="n">
        <v>0.7</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17170-2023</t>
        </is>
      </c>
      <c r="B2137" t="inlineStr">
        <is>
          <t>avverkningsanmälan</t>
        </is>
      </c>
      <c r="C2137" t="inlineStr">
        <is>
          <t>Föryngringsavverkning</t>
        </is>
      </c>
      <c r="D2137" s="1" t="n">
        <v>45030</v>
      </c>
      <c r="E2137" s="1" t="n">
        <v>46216</v>
      </c>
      <c r="F2137" t="inlineStr">
        <is>
          <t>BLEKINGE LÄN</t>
        </is>
      </c>
      <c r="G2137" t="inlineStr">
        <is>
          <t>KARLSKRONA</t>
        </is>
      </c>
      <c r="I2137" t="n">
        <v>1.6</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7596-2024</t>
        </is>
      </c>
      <c r="B2138" t="inlineStr">
        <is>
          <t>avverkningsanmälan</t>
        </is>
      </c>
      <c r="C2138" t="inlineStr">
        <is>
          <t>Föryngringsavverkning</t>
        </is>
      </c>
      <c r="D2138" s="1" t="n">
        <v>45348</v>
      </c>
      <c r="E2138" s="1" t="n">
        <v>46216</v>
      </c>
      <c r="F2138" t="inlineStr">
        <is>
          <t>BLEKINGE LÄN</t>
        </is>
      </c>
      <c r="G2138" t="inlineStr">
        <is>
          <t>KARLSKRONA</t>
        </is>
      </c>
      <c r="I2138" t="n">
        <v>1.4</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28615-2022</t>
        </is>
      </c>
      <c r="B2139" t="inlineStr">
        <is>
          <t>avverkningsanmälan</t>
        </is>
      </c>
      <c r="C2139" t="inlineStr">
        <is>
          <t>Föryngringsavverkning</t>
        </is>
      </c>
      <c r="D2139" s="1" t="n">
        <v>44748</v>
      </c>
      <c r="E2139" s="1" t="n">
        <v>46216</v>
      </c>
      <c r="F2139" t="inlineStr">
        <is>
          <t>BLEKINGE LÄN</t>
        </is>
      </c>
      <c r="G2139" t="inlineStr">
        <is>
          <t>KARLSKRONA</t>
        </is>
      </c>
      <c r="I2139" t="n">
        <v>3</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20516-2025</t>
        </is>
      </c>
      <c r="B2140" t="inlineStr">
        <is>
          <t>avverkningsanmälan</t>
        </is>
      </c>
      <c r="C2140" t="inlineStr">
        <is>
          <t>Föryngringsavverkning</t>
        </is>
      </c>
      <c r="D2140" s="1" t="n">
        <v>45775</v>
      </c>
      <c r="E2140" s="1" t="n">
        <v>46216</v>
      </c>
      <c r="F2140" t="inlineStr">
        <is>
          <t>BLEKINGE LÄN</t>
        </is>
      </c>
      <c r="G2140" t="inlineStr">
        <is>
          <t>KARLSKRONA</t>
        </is>
      </c>
      <c r="I2140" t="n">
        <v>9.6</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19108-2023</t>
        </is>
      </c>
      <c r="B2141" t="inlineStr">
        <is>
          <t>avverkningsanmälan</t>
        </is>
      </c>
      <c r="C2141" t="inlineStr">
        <is>
          <t>Föryngringsavverkning</t>
        </is>
      </c>
      <c r="D2141" s="1" t="n">
        <v>45048</v>
      </c>
      <c r="E2141" s="1" t="n">
        <v>46216</v>
      </c>
      <c r="F2141" t="inlineStr">
        <is>
          <t>BLEKINGE LÄN</t>
        </is>
      </c>
      <c r="G2141" t="inlineStr">
        <is>
          <t>KARLSKRONA</t>
        </is>
      </c>
      <c r="I2141" t="n">
        <v>2.2</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29015-2023</t>
        </is>
      </c>
      <c r="B2142" t="inlineStr">
        <is>
          <t>avverkningsanmälan</t>
        </is>
      </c>
      <c r="C2142" t="inlineStr">
        <is>
          <t>Föryngringsavverkning</t>
        </is>
      </c>
      <c r="D2142" s="1" t="n">
        <v>45104</v>
      </c>
      <c r="E2142" s="1" t="n">
        <v>46216</v>
      </c>
      <c r="F2142" t="inlineStr">
        <is>
          <t>BLEKINGE LÄN</t>
        </is>
      </c>
      <c r="G2142" t="inlineStr">
        <is>
          <t>RONNEBY</t>
        </is>
      </c>
      <c r="H2142" t="inlineStr">
        <is>
          <t>Övriga Aktiebolag</t>
        </is>
      </c>
      <c r="I2142" t="n">
        <v>10.9</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16292-2023</t>
        </is>
      </c>
      <c r="B2143" t="inlineStr">
        <is>
          <t>avverkningsanmälan</t>
        </is>
      </c>
      <c r="C2143" t="inlineStr">
        <is>
          <t>Föryngringsavverkning</t>
        </is>
      </c>
      <c r="D2143" s="1" t="n">
        <v>45028</v>
      </c>
      <c r="E2143" s="1" t="n">
        <v>46216</v>
      </c>
      <c r="F2143" t="inlineStr">
        <is>
          <t>BLEKINGE LÄN</t>
        </is>
      </c>
      <c r="G2143" t="inlineStr">
        <is>
          <t>KARLSKRONA</t>
        </is>
      </c>
      <c r="I2143" t="n">
        <v>1.7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29024-2023</t>
        </is>
      </c>
      <c r="B2144" t="inlineStr">
        <is>
          <t>avverkningsanmälan</t>
        </is>
      </c>
      <c r="C2144" t="inlineStr">
        <is>
          <t>Föryngringsavverkning</t>
        </is>
      </c>
      <c r="D2144" s="1" t="n">
        <v>45104</v>
      </c>
      <c r="E2144" s="1" t="n">
        <v>46216</v>
      </c>
      <c r="F2144" t="inlineStr">
        <is>
          <t>BLEKINGE LÄN</t>
        </is>
      </c>
      <c r="G2144" t="inlineStr">
        <is>
          <t>RONNEBY</t>
        </is>
      </c>
      <c r="H2144" t="inlineStr">
        <is>
          <t>Övriga Aktiebolag</t>
        </is>
      </c>
      <c r="I2144" t="n">
        <v>1.7</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44452-2024</t>
        </is>
      </c>
      <c r="B2145" t="inlineStr">
        <is>
          <t>avverkningsanmälan</t>
        </is>
      </c>
      <c r="C2145" t="inlineStr">
        <is>
          <t>Föryngringsavverkning</t>
        </is>
      </c>
      <c r="D2145" s="1" t="n">
        <v>45574</v>
      </c>
      <c r="E2145" s="1" t="n">
        <v>46216</v>
      </c>
      <c r="F2145" t="inlineStr">
        <is>
          <t>BLEKINGE LÄN</t>
        </is>
      </c>
      <c r="G2145" t="inlineStr">
        <is>
          <t>RONNEBY</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23110-2023</t>
        </is>
      </c>
      <c r="B2146" t="inlineStr">
        <is>
          <t>avverkningsanmälan</t>
        </is>
      </c>
      <c r="C2146" t="inlineStr">
        <is>
          <t>Föryngringsavverkning</t>
        </is>
      </c>
      <c r="D2146" s="1" t="n">
        <v>45075</v>
      </c>
      <c r="E2146" s="1" t="n">
        <v>46216</v>
      </c>
      <c r="F2146" t="inlineStr">
        <is>
          <t>BLEKINGE LÄN</t>
        </is>
      </c>
      <c r="G2146" t="inlineStr">
        <is>
          <t>KARLSKRONA</t>
        </is>
      </c>
      <c r="I2146" t="n">
        <v>5.4</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34888-2024</t>
        </is>
      </c>
      <c r="B2147" t="inlineStr">
        <is>
          <t>avverkningsanmälan</t>
        </is>
      </c>
      <c r="C2147" t="inlineStr">
        <is>
          <t>Föryngringsavverkning</t>
        </is>
      </c>
      <c r="D2147" s="1" t="n">
        <v>45527</v>
      </c>
      <c r="E2147" s="1" t="n">
        <v>46216</v>
      </c>
      <c r="F2147" t="inlineStr">
        <is>
          <t>BLEKINGE LÄN</t>
        </is>
      </c>
      <c r="G2147" t="inlineStr">
        <is>
          <t>RONNEBY</t>
        </is>
      </c>
      <c r="I2147" t="n">
        <v>2.9</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51419-2024</t>
        </is>
      </c>
      <c r="B2148" t="inlineStr">
        <is>
          <t>avverkningsanmälan</t>
        </is>
      </c>
      <c r="C2148" t="inlineStr">
        <is>
          <t>Föryngringsavverkning</t>
        </is>
      </c>
      <c r="D2148" s="1" t="n">
        <v>45604</v>
      </c>
      <c r="E2148" s="1" t="n">
        <v>46216</v>
      </c>
      <c r="F2148" t="inlineStr">
        <is>
          <t>BLEKINGE LÄN</t>
        </is>
      </c>
      <c r="G2148" t="inlineStr">
        <is>
          <t>KARLSKRONA</t>
        </is>
      </c>
      <c r="I2148" t="n">
        <v>1</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30660-2024</t>
        </is>
      </c>
      <c r="B2149" t="inlineStr">
        <is>
          <t>avverkningsanmälan</t>
        </is>
      </c>
      <c r="C2149" t="inlineStr">
        <is>
          <t>Föryngringsavverkning</t>
        </is>
      </c>
      <c r="D2149" s="1" t="n">
        <v>45495</v>
      </c>
      <c r="E2149" s="1" t="n">
        <v>46216</v>
      </c>
      <c r="F2149" t="inlineStr">
        <is>
          <t>BLEKINGE LÄN</t>
        </is>
      </c>
      <c r="G2149" t="inlineStr">
        <is>
          <t>KARLSKRONA</t>
        </is>
      </c>
      <c r="I2149" t="n">
        <v>1</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23104-2023</t>
        </is>
      </c>
      <c r="B2150" t="inlineStr">
        <is>
          <t>avverkningsanmälan</t>
        </is>
      </c>
      <c r="C2150" t="inlineStr">
        <is>
          <t>Föryngringsavverkning</t>
        </is>
      </c>
      <c r="D2150" s="1" t="n">
        <v>45075</v>
      </c>
      <c r="E2150" s="1" t="n">
        <v>46216</v>
      </c>
      <c r="F2150" t="inlineStr">
        <is>
          <t>BLEKINGE LÄN</t>
        </is>
      </c>
      <c r="G2150" t="inlineStr">
        <is>
          <t>KARLSKRONA</t>
        </is>
      </c>
      <c r="I2150" t="n">
        <v>4.8</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35622-2024</t>
        </is>
      </c>
      <c r="B2151" t="inlineStr">
        <is>
          <t>avverkningsanmälan</t>
        </is>
      </c>
      <c r="C2151" t="inlineStr">
        <is>
          <t>Föryngringsavverkning</t>
        </is>
      </c>
      <c r="D2151" s="1" t="n">
        <v>45531</v>
      </c>
      <c r="E2151" s="1" t="n">
        <v>46216</v>
      </c>
      <c r="F2151" t="inlineStr">
        <is>
          <t>BLEKINGE LÄN</t>
        </is>
      </c>
      <c r="G2151" t="inlineStr">
        <is>
          <t>RONNEBY</t>
        </is>
      </c>
      <c r="I2151" t="n">
        <v>0.9</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43339-2021</t>
        </is>
      </c>
      <c r="B2152" t="inlineStr">
        <is>
          <t>avverkningsanmälan</t>
        </is>
      </c>
      <c r="C2152" t="inlineStr">
        <is>
          <t>Föryngringsavverkning</t>
        </is>
      </c>
      <c r="D2152" s="1" t="n">
        <v>44432</v>
      </c>
      <c r="E2152" s="1" t="n">
        <v>46216</v>
      </c>
      <c r="F2152" t="inlineStr">
        <is>
          <t>BLEKINGE LÄN</t>
        </is>
      </c>
      <c r="G2152" t="inlineStr">
        <is>
          <t>RONNEBY</t>
        </is>
      </c>
      <c r="I2152" t="n">
        <v>2.5</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41421-2024</t>
        </is>
      </c>
      <c r="B2153" t="inlineStr">
        <is>
          <t>avverkningsanmälan</t>
        </is>
      </c>
      <c r="C2153" t="inlineStr">
        <is>
          <t>Föryngringsavverkning</t>
        </is>
      </c>
      <c r="D2153" s="1" t="n">
        <v>45560</v>
      </c>
      <c r="E2153" s="1" t="n">
        <v>46216</v>
      </c>
      <c r="F2153" t="inlineStr">
        <is>
          <t>BLEKINGE LÄN</t>
        </is>
      </c>
      <c r="G2153" t="inlineStr">
        <is>
          <t>RONNEBY</t>
        </is>
      </c>
      <c r="I2153" t="n">
        <v>2.6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36807-2024</t>
        </is>
      </c>
      <c r="B2154" t="inlineStr">
        <is>
          <t>avverkningsanmälan</t>
        </is>
      </c>
      <c r="C2154" t="inlineStr">
        <is>
          <t>Föryngringsavverkning</t>
        </is>
      </c>
      <c r="D2154" s="1" t="n">
        <v>45538</v>
      </c>
      <c r="E2154" s="1" t="n">
        <v>46216</v>
      </c>
      <c r="F2154" t="inlineStr">
        <is>
          <t>BLEKINGE LÄN</t>
        </is>
      </c>
      <c r="G2154" t="inlineStr">
        <is>
          <t>KARLSKRONA</t>
        </is>
      </c>
      <c r="I2154" t="n">
        <v>3</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48975-2024</t>
        </is>
      </c>
      <c r="B2155" t="inlineStr">
        <is>
          <t>avverkningsanmälan</t>
        </is>
      </c>
      <c r="C2155" t="inlineStr">
        <is>
          <t>Föryngringsavverkning</t>
        </is>
      </c>
      <c r="D2155" s="1" t="n">
        <v>45594</v>
      </c>
      <c r="E2155" s="1" t="n">
        <v>46216</v>
      </c>
      <c r="F2155" t="inlineStr">
        <is>
          <t>BLEKINGE LÄN</t>
        </is>
      </c>
      <c r="G2155" t="inlineStr">
        <is>
          <t>KARLSKRONA</t>
        </is>
      </c>
      <c r="I2155" t="n">
        <v>7.6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40357-2024</t>
        </is>
      </c>
      <c r="B2156" t="inlineStr">
        <is>
          <t>avverkningsanmälan</t>
        </is>
      </c>
      <c r="C2156" t="inlineStr">
        <is>
          <t>Föryngringsavverkning</t>
        </is>
      </c>
      <c r="D2156" s="1" t="n">
        <v>45555</v>
      </c>
      <c r="E2156" s="1" t="n">
        <v>46216</v>
      </c>
      <c r="F2156" t="inlineStr">
        <is>
          <t>BLEKINGE LÄN</t>
        </is>
      </c>
      <c r="G2156" t="inlineStr">
        <is>
          <t>KARLSKRONA</t>
        </is>
      </c>
      <c r="I2156" t="n">
        <v>1.2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7252-2024</t>
        </is>
      </c>
      <c r="B2157" t="inlineStr">
        <is>
          <t>avverkningsanmälan</t>
        </is>
      </c>
      <c r="C2157" t="inlineStr">
        <is>
          <t>Föryngringsavverkning</t>
        </is>
      </c>
      <c r="D2157" s="1" t="n">
        <v>45344</v>
      </c>
      <c r="E2157" s="1" t="n">
        <v>46216</v>
      </c>
      <c r="F2157" t="inlineStr">
        <is>
          <t>BLEKINGE LÄN</t>
        </is>
      </c>
      <c r="G2157" t="inlineStr">
        <is>
          <t>KARLSKRONA</t>
        </is>
      </c>
      <c r="H2157" t="inlineStr">
        <is>
          <t>Kommuner</t>
        </is>
      </c>
      <c r="I2157" t="n">
        <v>2.4</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5227-2025</t>
        </is>
      </c>
      <c r="B2158" t="inlineStr">
        <is>
          <t>avverkningsanmälan</t>
        </is>
      </c>
      <c r="C2158" t="inlineStr">
        <is>
          <t>Föryngringsavverkning</t>
        </is>
      </c>
      <c r="D2158" s="1" t="n">
        <v>45691</v>
      </c>
      <c r="E2158" s="1" t="n">
        <v>46216</v>
      </c>
      <c r="F2158" t="inlineStr">
        <is>
          <t>BLEKINGE LÄN</t>
        </is>
      </c>
      <c r="G2158" t="inlineStr">
        <is>
          <t>RONNEBY</t>
        </is>
      </c>
      <c r="I2158" t="n">
        <v>3.2</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5805-2025</t>
        </is>
      </c>
      <c r="B2159" t="inlineStr">
        <is>
          <t>avverkningsanmälan</t>
        </is>
      </c>
      <c r="C2159" t="inlineStr">
        <is>
          <t>Föryngringsavverkning</t>
        </is>
      </c>
      <c r="D2159" s="1" t="n">
        <v>45694</v>
      </c>
      <c r="E2159" s="1" t="n">
        <v>46216</v>
      </c>
      <c r="F2159" t="inlineStr">
        <is>
          <t>BLEKINGE LÄN</t>
        </is>
      </c>
      <c r="G2159" t="inlineStr">
        <is>
          <t>OLOFSTRÖM</t>
        </is>
      </c>
      <c r="I2159" t="n">
        <v>1.3</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31021-2024</t>
        </is>
      </c>
      <c r="B2160" t="inlineStr">
        <is>
          <t>avverkningsanmälan</t>
        </is>
      </c>
      <c r="C2160" t="inlineStr">
        <is>
          <t>Föryngringsavverkning</t>
        </is>
      </c>
      <c r="D2160" s="1" t="n">
        <v>45499</v>
      </c>
      <c r="E2160" s="1" t="n">
        <v>46216</v>
      </c>
      <c r="F2160" t="inlineStr">
        <is>
          <t>BLEKINGE LÄN</t>
        </is>
      </c>
      <c r="G2160" t="inlineStr">
        <is>
          <t>KARLSKRONA</t>
        </is>
      </c>
      <c r="I2160" t="n">
        <v>6.1</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14429-2024</t>
        </is>
      </c>
      <c r="B2161" t="inlineStr">
        <is>
          <t>avverkningsanmälan</t>
        </is>
      </c>
      <c r="C2161" t="inlineStr">
        <is>
          <t>Föryngringsavverkning</t>
        </is>
      </c>
      <c r="D2161" s="1" t="n">
        <v>45394</v>
      </c>
      <c r="E2161" s="1" t="n">
        <v>46216</v>
      </c>
      <c r="F2161" t="inlineStr">
        <is>
          <t>BLEKINGE LÄN</t>
        </is>
      </c>
      <c r="G2161" t="inlineStr">
        <is>
          <t>RONNEBY</t>
        </is>
      </c>
      <c r="I2161" t="n">
        <v>1.3</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52279-2024</t>
        </is>
      </c>
      <c r="B2162" t="inlineStr">
        <is>
          <t>avverkningsanmälan</t>
        </is>
      </c>
      <c r="C2162" t="inlineStr">
        <is>
          <t>Föryngringsavverkning</t>
        </is>
      </c>
      <c r="D2162" s="1" t="n">
        <v>45608</v>
      </c>
      <c r="E2162" s="1" t="n">
        <v>46216</v>
      </c>
      <c r="F2162" t="inlineStr">
        <is>
          <t>BLEKINGE LÄN</t>
        </is>
      </c>
      <c r="G2162" t="inlineStr">
        <is>
          <t>RONNEBY</t>
        </is>
      </c>
      <c r="I2162" t="n">
        <v>4.6</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6741-2023</t>
        </is>
      </c>
      <c r="B2163" t="inlineStr">
        <is>
          <t>avverkningsanmälan</t>
        </is>
      </c>
      <c r="C2163" t="inlineStr">
        <is>
          <t>Föryngringsavverkning</t>
        </is>
      </c>
      <c r="D2163" s="1" t="n">
        <v>44966</v>
      </c>
      <c r="E2163" s="1" t="n">
        <v>46216</v>
      </c>
      <c r="F2163" t="inlineStr">
        <is>
          <t>BLEKINGE LÄN</t>
        </is>
      </c>
      <c r="G2163" t="inlineStr">
        <is>
          <t>RONNEBY</t>
        </is>
      </c>
      <c r="I2163" t="n">
        <v>1.4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11411-2024</t>
        </is>
      </c>
      <c r="B2164" t="inlineStr">
        <is>
          <t>avverkningsanmälan</t>
        </is>
      </c>
      <c r="C2164" t="inlineStr">
        <is>
          <t>Föryngringsavverkning</t>
        </is>
      </c>
      <c r="D2164" s="1" t="n">
        <v>45372</v>
      </c>
      <c r="E2164" s="1" t="n">
        <v>46216</v>
      </c>
      <c r="F2164" t="inlineStr">
        <is>
          <t>BLEKINGE LÄN</t>
        </is>
      </c>
      <c r="G2164" t="inlineStr">
        <is>
          <t>KARLSKRONA</t>
        </is>
      </c>
      <c r="I2164" t="n">
        <v>5.1</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29077-2023</t>
        </is>
      </c>
      <c r="B2165" t="inlineStr">
        <is>
          <t>avverkningsanmälan</t>
        </is>
      </c>
      <c r="C2165" t="inlineStr">
        <is>
          <t>Föryngringsavverkning</t>
        </is>
      </c>
      <c r="D2165" s="1" t="n">
        <v>45104</v>
      </c>
      <c r="E2165" s="1" t="n">
        <v>46216</v>
      </c>
      <c r="F2165" t="inlineStr">
        <is>
          <t>BLEKINGE LÄN</t>
        </is>
      </c>
      <c r="G2165" t="inlineStr">
        <is>
          <t>RONNEBY</t>
        </is>
      </c>
      <c r="H2165" t="inlineStr">
        <is>
          <t>Övriga Aktiebolag</t>
        </is>
      </c>
      <c r="I2165" t="n">
        <v>10.2</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17073-2024</t>
        </is>
      </c>
      <c r="B2166" t="inlineStr">
        <is>
          <t>avverkningsanmälan</t>
        </is>
      </c>
      <c r="C2166" t="inlineStr">
        <is>
          <t>Föryngringsavverkning</t>
        </is>
      </c>
      <c r="D2166" s="1" t="n">
        <v>45412</v>
      </c>
      <c r="E2166" s="1" t="n">
        <v>46216</v>
      </c>
      <c r="F2166" t="inlineStr">
        <is>
          <t>BLEKINGE LÄN</t>
        </is>
      </c>
      <c r="G2166" t="inlineStr">
        <is>
          <t>KARLSHAMN</t>
        </is>
      </c>
      <c r="H2166" t="inlineStr">
        <is>
          <t>Kyrkan</t>
        </is>
      </c>
      <c r="I2166" t="n">
        <v>2</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31122-2024</t>
        </is>
      </c>
      <c r="B2167" t="inlineStr">
        <is>
          <t>avverkningsanmälan</t>
        </is>
      </c>
      <c r="C2167" t="inlineStr">
        <is>
          <t>Föryngringsavverkning</t>
        </is>
      </c>
      <c r="D2167" s="1" t="n">
        <v>45502</v>
      </c>
      <c r="E2167" s="1" t="n">
        <v>46216</v>
      </c>
      <c r="F2167" t="inlineStr">
        <is>
          <t>BLEKINGE LÄN</t>
        </is>
      </c>
      <c r="G2167" t="inlineStr">
        <is>
          <t>RONNEBY</t>
        </is>
      </c>
      <c r="I2167" t="n">
        <v>7.4</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44425-2024</t>
        </is>
      </c>
      <c r="B2168" t="inlineStr">
        <is>
          <t>avverkningsanmälan</t>
        </is>
      </c>
      <c r="C2168" t="inlineStr">
        <is>
          <t>Föryngringsavverkning</t>
        </is>
      </c>
      <c r="D2168" s="1" t="n">
        <v>45573</v>
      </c>
      <c r="E2168" s="1" t="n">
        <v>46216</v>
      </c>
      <c r="F2168" t="inlineStr">
        <is>
          <t>BLEKINGE LÄN</t>
        </is>
      </c>
      <c r="G2168" t="inlineStr">
        <is>
          <t>KARLSKRONA</t>
        </is>
      </c>
      <c r="I2168" t="n">
        <v>3.3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55270-2024</t>
        </is>
      </c>
      <c r="B2169" t="inlineStr">
        <is>
          <t>avverkningsanmälan</t>
        </is>
      </c>
      <c r="C2169" t="inlineStr">
        <is>
          <t>Föryngringsavverkning</t>
        </is>
      </c>
      <c r="D2169" s="1" t="n">
        <v>45621</v>
      </c>
      <c r="E2169" s="1" t="n">
        <v>46216</v>
      </c>
      <c r="F2169" t="inlineStr">
        <is>
          <t>BLEKINGE LÄN</t>
        </is>
      </c>
      <c r="G2169" t="inlineStr">
        <is>
          <t>KARLSKRONA</t>
        </is>
      </c>
      <c r="I2169" t="n">
        <v>1.7</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37400-2021</t>
        </is>
      </c>
      <c r="B2170" t="inlineStr">
        <is>
          <t>avverkningsanmälan</t>
        </is>
      </c>
      <c r="C2170" t="inlineStr">
        <is>
          <t>Föryngringsavverkning</t>
        </is>
      </c>
      <c r="D2170" s="1" t="n">
        <v>44398</v>
      </c>
      <c r="E2170" s="1" t="n">
        <v>46216</v>
      </c>
      <c r="F2170" t="inlineStr">
        <is>
          <t>BLEKINGE LÄN</t>
        </is>
      </c>
      <c r="G2170" t="inlineStr">
        <is>
          <t>KARLSKRONA</t>
        </is>
      </c>
      <c r="I2170" t="n">
        <v>23.4</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21399-2025</t>
        </is>
      </c>
      <c r="B2171" t="inlineStr">
        <is>
          <t>avverkningsanmälan</t>
        </is>
      </c>
      <c r="C2171" t="inlineStr">
        <is>
          <t>Avverkning för annat ändamål</t>
        </is>
      </c>
      <c r="D2171" s="1" t="n">
        <v>45782</v>
      </c>
      <c r="E2171" s="1" t="n">
        <v>46216</v>
      </c>
      <c r="F2171" t="inlineStr">
        <is>
          <t>BLEKINGE LÄN</t>
        </is>
      </c>
      <c r="G2171" t="inlineStr">
        <is>
          <t>KARLSHAMN</t>
        </is>
      </c>
      <c r="I2171" t="n">
        <v>0.9</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21464-2025</t>
        </is>
      </c>
      <c r="B2172" t="inlineStr">
        <is>
          <t>avverkningsanmälan</t>
        </is>
      </c>
      <c r="C2172" t="inlineStr">
        <is>
          <t>Föryngringsavverkning</t>
        </is>
      </c>
      <c r="D2172" s="1" t="n">
        <v>45782</v>
      </c>
      <c r="E2172" s="1" t="n">
        <v>46216</v>
      </c>
      <c r="F2172" t="inlineStr">
        <is>
          <t>BLEKINGE LÄN</t>
        </is>
      </c>
      <c r="G2172" t="inlineStr">
        <is>
          <t>SÖLVESBORG</t>
        </is>
      </c>
      <c r="I2172" t="n">
        <v>5.5</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21606-2025</t>
        </is>
      </c>
      <c r="B2173" t="inlineStr">
        <is>
          <t>avverkningsanmälan</t>
        </is>
      </c>
      <c r="C2173" t="inlineStr">
        <is>
          <t>Föryngringsavverkning</t>
        </is>
      </c>
      <c r="D2173" s="1" t="n">
        <v>45783</v>
      </c>
      <c r="E2173" s="1" t="n">
        <v>46216</v>
      </c>
      <c r="F2173" t="inlineStr">
        <is>
          <t>BLEKINGE LÄN</t>
        </is>
      </c>
      <c r="G2173" t="inlineStr">
        <is>
          <t>KARLSKRONA</t>
        </is>
      </c>
      <c r="I2173" t="n">
        <v>0.8</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21648-2025</t>
        </is>
      </c>
      <c r="B2174" t="inlineStr">
        <is>
          <t>avverkningsanmälan</t>
        </is>
      </c>
      <c r="C2174" t="inlineStr">
        <is>
          <t>Föryngringsavverkning</t>
        </is>
      </c>
      <c r="D2174" s="1" t="n">
        <v>45783</v>
      </c>
      <c r="E2174" s="1" t="n">
        <v>46216</v>
      </c>
      <c r="F2174" t="inlineStr">
        <is>
          <t>BLEKINGE LÄN</t>
        </is>
      </c>
      <c r="G2174" t="inlineStr">
        <is>
          <t>KARLSKRONA</t>
        </is>
      </c>
      <c r="I2174" t="n">
        <v>0.4</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13535-2024</t>
        </is>
      </c>
      <c r="B2175" t="inlineStr">
        <is>
          <t>avverkningsanmälan</t>
        </is>
      </c>
      <c r="C2175" t="inlineStr">
        <is>
          <t>Föryngringsavverkning</t>
        </is>
      </c>
      <c r="D2175" s="1" t="n">
        <v>45387</v>
      </c>
      <c r="E2175" s="1" t="n">
        <v>46216</v>
      </c>
      <c r="F2175" t="inlineStr">
        <is>
          <t>BLEKINGE LÄN</t>
        </is>
      </c>
      <c r="G2175" t="inlineStr">
        <is>
          <t>KARLSKRONA</t>
        </is>
      </c>
      <c r="I2175" t="n">
        <v>1.7</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22193-2025</t>
        </is>
      </c>
      <c r="B2176" t="inlineStr">
        <is>
          <t>avverkningsanmälan</t>
        </is>
      </c>
      <c r="C2176" t="inlineStr">
        <is>
          <t>Föryngringsavverkning</t>
        </is>
      </c>
      <c r="D2176" s="1" t="n">
        <v>45785</v>
      </c>
      <c r="E2176" s="1" t="n">
        <v>46216</v>
      </c>
      <c r="F2176" t="inlineStr">
        <is>
          <t>BLEKINGE LÄN</t>
        </is>
      </c>
      <c r="G2176" t="inlineStr">
        <is>
          <t>RONNEBY</t>
        </is>
      </c>
      <c r="H2176" t="inlineStr">
        <is>
          <t>Övriga Aktiebolag</t>
        </is>
      </c>
      <c r="I2176" t="n">
        <v>7.2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14475-2025</t>
        </is>
      </c>
      <c r="B2177" t="inlineStr">
        <is>
          <t>avverkningsanmälan</t>
        </is>
      </c>
      <c r="C2177" t="inlineStr">
        <is>
          <t>Föryngringsavverkning</t>
        </is>
      </c>
      <c r="D2177" s="1" t="n">
        <v>45741</v>
      </c>
      <c r="E2177" s="1" t="n">
        <v>46216</v>
      </c>
      <c r="F2177" t="inlineStr">
        <is>
          <t>BLEKINGE LÄN</t>
        </is>
      </c>
      <c r="G2177" t="inlineStr">
        <is>
          <t>SÖLVESBORG</t>
        </is>
      </c>
      <c r="I2177" t="n">
        <v>3.3</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43056-2024</t>
        </is>
      </c>
      <c r="B2178" t="inlineStr">
        <is>
          <t>avverkningsanmälan</t>
        </is>
      </c>
      <c r="C2178" t="inlineStr">
        <is>
          <t>Föryngringsavverkning</t>
        </is>
      </c>
      <c r="D2178" s="1" t="n">
        <v>45567</v>
      </c>
      <c r="E2178" s="1" t="n">
        <v>46216</v>
      </c>
      <c r="F2178" t="inlineStr">
        <is>
          <t>BLEKINGE LÄN</t>
        </is>
      </c>
      <c r="G2178" t="inlineStr">
        <is>
          <t>RONNEBY</t>
        </is>
      </c>
      <c r="I2178" t="n">
        <v>3.3</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56340-2024</t>
        </is>
      </c>
      <c r="B2179" t="inlineStr">
        <is>
          <t>avverkningsanmälan</t>
        </is>
      </c>
      <c r="C2179" t="inlineStr">
        <is>
          <t>Föryngringsavverkning</t>
        </is>
      </c>
      <c r="D2179" s="1" t="n">
        <v>45624</v>
      </c>
      <c r="E2179" s="1" t="n">
        <v>46216</v>
      </c>
      <c r="F2179" t="inlineStr">
        <is>
          <t>BLEKINGE LÄN</t>
        </is>
      </c>
      <c r="G2179" t="inlineStr">
        <is>
          <t>KARLSKRONA</t>
        </is>
      </c>
      <c r="I2179" t="n">
        <v>3.5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7982-2022</t>
        </is>
      </c>
      <c r="B2180" t="inlineStr">
        <is>
          <t>avverkningsanmälan</t>
        </is>
      </c>
      <c r="C2180" t="inlineStr">
        <is>
          <t>Föryngringsavverkning</t>
        </is>
      </c>
      <c r="D2180" s="1" t="n">
        <v>44609</v>
      </c>
      <c r="E2180" s="1" t="n">
        <v>46216</v>
      </c>
      <c r="F2180" t="inlineStr">
        <is>
          <t>BLEKINGE LÄN</t>
        </is>
      </c>
      <c r="G2180" t="inlineStr">
        <is>
          <t>KARLSHAMN</t>
        </is>
      </c>
      <c r="I2180" t="n">
        <v>4.1</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40346-2021</t>
        </is>
      </c>
      <c r="B2181" t="inlineStr">
        <is>
          <t>avverkningsanmälan</t>
        </is>
      </c>
      <c r="C2181" t="inlineStr">
        <is>
          <t>Föryngringsavverkning</t>
        </is>
      </c>
      <c r="D2181" s="1" t="n">
        <v>44419</v>
      </c>
      <c r="E2181" s="1" t="n">
        <v>46216</v>
      </c>
      <c r="F2181" t="inlineStr">
        <is>
          <t>BLEKINGE LÄN</t>
        </is>
      </c>
      <c r="G2181" t="inlineStr">
        <is>
          <t>RONNEBY</t>
        </is>
      </c>
      <c r="H2181" t="inlineStr">
        <is>
          <t>Kommuner</t>
        </is>
      </c>
      <c r="I2181" t="n">
        <v>8.1</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2416-2025</t>
        </is>
      </c>
      <c r="B2182" t="inlineStr">
        <is>
          <t>avverkningsanmälan</t>
        </is>
      </c>
      <c r="C2182" t="inlineStr">
        <is>
          <t>Föryngringsavverkning</t>
        </is>
      </c>
      <c r="D2182" s="1" t="n">
        <v>45674</v>
      </c>
      <c r="E2182" s="1" t="n">
        <v>46216</v>
      </c>
      <c r="F2182" t="inlineStr">
        <is>
          <t>BLEKINGE LÄN</t>
        </is>
      </c>
      <c r="G2182" t="inlineStr">
        <is>
          <t>KARLSKRONA</t>
        </is>
      </c>
      <c r="I2182" t="n">
        <v>2.9</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34884-2024</t>
        </is>
      </c>
      <c r="B2183" t="inlineStr">
        <is>
          <t>avverkningsanmälan</t>
        </is>
      </c>
      <c r="C2183" t="inlineStr">
        <is>
          <t>Föryngringsavverkning</t>
        </is>
      </c>
      <c r="D2183" s="1" t="n">
        <v>45527</v>
      </c>
      <c r="E2183" s="1" t="n">
        <v>46216</v>
      </c>
      <c r="F2183" t="inlineStr">
        <is>
          <t>BLEKINGE LÄN</t>
        </is>
      </c>
      <c r="G2183" t="inlineStr">
        <is>
          <t>RONNEBY</t>
        </is>
      </c>
      <c r="I2183" t="n">
        <v>2.3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9349-2025</t>
        </is>
      </c>
      <c r="B2184" t="inlineStr">
        <is>
          <t>avverkningsanmälan</t>
        </is>
      </c>
      <c r="C2184" t="inlineStr">
        <is>
          <t>Föryngringsavverkning</t>
        </is>
      </c>
      <c r="D2184" s="1" t="n">
        <v>45714</v>
      </c>
      <c r="E2184" s="1" t="n">
        <v>46216</v>
      </c>
      <c r="F2184" t="inlineStr">
        <is>
          <t>BLEKINGE LÄN</t>
        </is>
      </c>
      <c r="G2184" t="inlineStr">
        <is>
          <t>KARLSKRONA</t>
        </is>
      </c>
      <c r="I2184" t="n">
        <v>2.5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56669-2023</t>
        </is>
      </c>
      <c r="B2185" t="inlineStr">
        <is>
          <t>avverkningsanmälan</t>
        </is>
      </c>
      <c r="C2185" t="inlineStr">
        <is>
          <t>Föryngringsavverkning</t>
        </is>
      </c>
      <c r="D2185" s="1" t="n">
        <v>45243</v>
      </c>
      <c r="E2185" s="1" t="n">
        <v>46216</v>
      </c>
      <c r="F2185" t="inlineStr">
        <is>
          <t>BLEKINGE LÄN</t>
        </is>
      </c>
      <c r="G2185" t="inlineStr">
        <is>
          <t>KARLSHAMN</t>
        </is>
      </c>
      <c r="I2185" t="n">
        <v>11.4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445-2024</t>
        </is>
      </c>
      <c r="B2186" t="inlineStr">
        <is>
          <t>avverkningsanmälan</t>
        </is>
      </c>
      <c r="C2186" t="inlineStr">
        <is>
          <t>Föryngringsavverkning</t>
        </is>
      </c>
      <c r="D2186" s="1" t="n">
        <v>45296</v>
      </c>
      <c r="E2186" s="1" t="n">
        <v>46216</v>
      </c>
      <c r="F2186" t="inlineStr">
        <is>
          <t>BLEKINGE LÄN</t>
        </is>
      </c>
      <c r="G2186" t="inlineStr">
        <is>
          <t>SÖLVESBORG</t>
        </is>
      </c>
      <c r="I2186" t="n">
        <v>1.4</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57830-2024</t>
        </is>
      </c>
      <c r="B2187" t="inlineStr">
        <is>
          <t>avverkningsanmälan</t>
        </is>
      </c>
      <c r="C2187" t="inlineStr">
        <is>
          <t>Föryngringsavverkning</t>
        </is>
      </c>
      <c r="D2187" s="1" t="n">
        <v>45631</v>
      </c>
      <c r="E2187" s="1" t="n">
        <v>46216</v>
      </c>
      <c r="F2187" t="inlineStr">
        <is>
          <t>BLEKINGE LÄN</t>
        </is>
      </c>
      <c r="G2187" t="inlineStr">
        <is>
          <t>KARLSKRONA</t>
        </is>
      </c>
      <c r="I2187" t="n">
        <v>4.5</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38463-2024</t>
        </is>
      </c>
      <c r="B2188" t="inlineStr">
        <is>
          <t>avverkningsanmälan</t>
        </is>
      </c>
      <c r="C2188" t="inlineStr">
        <is>
          <t>Föryngringsavverkning</t>
        </is>
      </c>
      <c r="D2188" s="1" t="n">
        <v>45546</v>
      </c>
      <c r="E2188" s="1" t="n">
        <v>46216</v>
      </c>
      <c r="F2188" t="inlineStr">
        <is>
          <t>BLEKINGE LÄN</t>
        </is>
      </c>
      <c r="G2188" t="inlineStr">
        <is>
          <t>RONNEBY</t>
        </is>
      </c>
      <c r="I2188" t="n">
        <v>1.6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22262-2025</t>
        </is>
      </c>
      <c r="B2189" t="inlineStr">
        <is>
          <t>avverkningsanmälan</t>
        </is>
      </c>
      <c r="C2189" t="inlineStr">
        <is>
          <t>Föryngringsavverkning</t>
        </is>
      </c>
      <c r="D2189" s="1" t="n">
        <v>45785</v>
      </c>
      <c r="E2189" s="1" t="n">
        <v>46216</v>
      </c>
      <c r="F2189" t="inlineStr">
        <is>
          <t>BLEKINGE LÄN</t>
        </is>
      </c>
      <c r="G2189" t="inlineStr">
        <is>
          <t>KARLSKRONA</t>
        </is>
      </c>
      <c r="I2189" t="n">
        <v>2</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11168-2025</t>
        </is>
      </c>
      <c r="B2190" t="inlineStr">
        <is>
          <t>avverkningsanmälan</t>
        </is>
      </c>
      <c r="C2190" t="inlineStr">
        <is>
          <t>Föryngringsavverkning</t>
        </is>
      </c>
      <c r="D2190" s="1" t="n">
        <v>45724</v>
      </c>
      <c r="E2190" s="1" t="n">
        <v>46216</v>
      </c>
      <c r="F2190" t="inlineStr">
        <is>
          <t>BLEKINGE LÄN</t>
        </is>
      </c>
      <c r="G2190" t="inlineStr">
        <is>
          <t>RONNEBY</t>
        </is>
      </c>
      <c r="I2190" t="n">
        <v>1.5</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45642-2024</t>
        </is>
      </c>
      <c r="B2191" t="inlineStr">
        <is>
          <t>avverkningsanmälan</t>
        </is>
      </c>
      <c r="C2191" t="inlineStr">
        <is>
          <t>Föryngringsavverkning</t>
        </is>
      </c>
      <c r="D2191" s="1" t="n">
        <v>45579</v>
      </c>
      <c r="E2191" s="1" t="n">
        <v>46216</v>
      </c>
      <c r="F2191" t="inlineStr">
        <is>
          <t>BLEKINGE LÄN</t>
        </is>
      </c>
      <c r="G2191" t="inlineStr">
        <is>
          <t>RONNEBY</t>
        </is>
      </c>
      <c r="I2191" t="n">
        <v>1.4</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60538-2021</t>
        </is>
      </c>
      <c r="B2192" t="inlineStr">
        <is>
          <t>avverkningsanmälan</t>
        </is>
      </c>
      <c r="C2192" t="inlineStr">
        <is>
          <t>Föryngringsavverkning</t>
        </is>
      </c>
      <c r="D2192" s="1" t="n">
        <v>44496</v>
      </c>
      <c r="E2192" s="1" t="n">
        <v>46216</v>
      </c>
      <c r="F2192" t="inlineStr">
        <is>
          <t>BLEKINGE LÄN</t>
        </is>
      </c>
      <c r="G2192" t="inlineStr">
        <is>
          <t>KARLSKRONA</t>
        </is>
      </c>
      <c r="I2192" t="n">
        <v>3.9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43875-2021</t>
        </is>
      </c>
      <c r="B2193" t="inlineStr">
        <is>
          <t>avverkningsanmälan</t>
        </is>
      </c>
      <c r="C2193" t="inlineStr">
        <is>
          <t>Föryngringsavverkning</t>
        </is>
      </c>
      <c r="D2193" s="1" t="n">
        <v>44434</v>
      </c>
      <c r="E2193" s="1" t="n">
        <v>46216</v>
      </c>
      <c r="F2193" t="inlineStr">
        <is>
          <t>BLEKINGE LÄN</t>
        </is>
      </c>
      <c r="G2193" t="inlineStr">
        <is>
          <t>RONNEBY</t>
        </is>
      </c>
      <c r="I2193" t="n">
        <v>1.5</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11305-2025</t>
        </is>
      </c>
      <c r="B2194" t="inlineStr">
        <is>
          <t>avverkningsanmälan</t>
        </is>
      </c>
      <c r="C2194" t="inlineStr">
        <is>
          <t>Föryngringsavverkning</t>
        </is>
      </c>
      <c r="D2194" s="1" t="n">
        <v>45726</v>
      </c>
      <c r="E2194" s="1" t="n">
        <v>46216</v>
      </c>
      <c r="F2194" t="inlineStr">
        <is>
          <t>BLEKINGE LÄN</t>
        </is>
      </c>
      <c r="G2194" t="inlineStr">
        <is>
          <t>OLOFSTRÖM</t>
        </is>
      </c>
      <c r="I2194" t="n">
        <v>3.1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35245-2024</t>
        </is>
      </c>
      <c r="B2195" t="inlineStr">
        <is>
          <t>avverkningsanmälan</t>
        </is>
      </c>
      <c r="C2195" t="inlineStr">
        <is>
          <t>Föryngringsavverkning</t>
        </is>
      </c>
      <c r="D2195" s="1" t="n">
        <v>45530</v>
      </c>
      <c r="E2195" s="1" t="n">
        <v>46216</v>
      </c>
      <c r="F2195" t="inlineStr">
        <is>
          <t>BLEKINGE LÄN</t>
        </is>
      </c>
      <c r="G2195" t="inlineStr">
        <is>
          <t>RONNEBY</t>
        </is>
      </c>
      <c r="I2195" t="n">
        <v>11.2</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61309-2024</t>
        </is>
      </c>
      <c r="B2196" t="inlineStr">
        <is>
          <t>avverkningsanmälan</t>
        </is>
      </c>
      <c r="C2196" t="inlineStr">
        <is>
          <t>Föryngringsavverkning</t>
        </is>
      </c>
      <c r="D2196" s="1" t="n">
        <v>45646</v>
      </c>
      <c r="E2196" s="1" t="n">
        <v>46216</v>
      </c>
      <c r="F2196" t="inlineStr">
        <is>
          <t>BLEKINGE LÄN</t>
        </is>
      </c>
      <c r="G2196" t="inlineStr">
        <is>
          <t>RONNEBY</t>
        </is>
      </c>
      <c r="I2196" t="n">
        <v>1.2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42212-2024</t>
        </is>
      </c>
      <c r="B2197" t="inlineStr">
        <is>
          <t>avverkningsanmälan</t>
        </is>
      </c>
      <c r="C2197" t="inlineStr">
        <is>
          <t>Föryngringsavverkning</t>
        </is>
      </c>
      <c r="D2197" s="1" t="n">
        <v>45562</v>
      </c>
      <c r="E2197" s="1" t="n">
        <v>46216</v>
      </c>
      <c r="F2197" t="inlineStr">
        <is>
          <t>BLEKINGE LÄN</t>
        </is>
      </c>
      <c r="G2197" t="inlineStr">
        <is>
          <t>RONNEBY</t>
        </is>
      </c>
      <c r="I2197" t="n">
        <v>2.2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62025-2024</t>
        </is>
      </c>
      <c r="B2198" t="inlineStr">
        <is>
          <t>avverkningsanmälan</t>
        </is>
      </c>
      <c r="C2198" t="inlineStr">
        <is>
          <t>Föryngringsavverkning</t>
        </is>
      </c>
      <c r="D2198" s="1" t="n">
        <v>45656</v>
      </c>
      <c r="E2198" s="1" t="n">
        <v>46216</v>
      </c>
      <c r="F2198" t="inlineStr">
        <is>
          <t>BLEKINGE LÄN</t>
        </is>
      </c>
      <c r="G2198" t="inlineStr">
        <is>
          <t>KARLSKRONA</t>
        </is>
      </c>
      <c r="I2198" t="n">
        <v>1.1</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23464-2024</t>
        </is>
      </c>
      <c r="B2199" t="inlineStr">
        <is>
          <t>avverkningsanmälan</t>
        </is>
      </c>
      <c r="C2199" t="inlineStr">
        <is>
          <t>Föryngringsavverkning</t>
        </is>
      </c>
      <c r="D2199" s="1" t="n">
        <v>45453</v>
      </c>
      <c r="E2199" s="1" t="n">
        <v>46216</v>
      </c>
      <c r="F2199" t="inlineStr">
        <is>
          <t>BLEKINGE LÄN</t>
        </is>
      </c>
      <c r="G2199" t="inlineStr">
        <is>
          <t>KARLSKRONA</t>
        </is>
      </c>
      <c r="I2199" t="n">
        <v>3.4</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16638-2025</t>
        </is>
      </c>
      <c r="B2200" t="inlineStr">
        <is>
          <t>avverkningsanmälan</t>
        </is>
      </c>
      <c r="C2200" t="inlineStr">
        <is>
          <t>Föryngringsavverkning</t>
        </is>
      </c>
      <c r="D2200" s="1" t="n">
        <v>45754</v>
      </c>
      <c r="E2200" s="1" t="n">
        <v>46216</v>
      </c>
      <c r="F2200" t="inlineStr">
        <is>
          <t>BLEKINGE LÄN</t>
        </is>
      </c>
      <c r="G2200" t="inlineStr">
        <is>
          <t>KARLSKRONA</t>
        </is>
      </c>
      <c r="I2200" t="n">
        <v>1.2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46920-2024</t>
        </is>
      </c>
      <c r="B2201" t="inlineStr">
        <is>
          <t>avverkningsanmälan</t>
        </is>
      </c>
      <c r="C2201" t="inlineStr">
        <is>
          <t>Föryngringsavverkning</t>
        </is>
      </c>
      <c r="D2201" s="1" t="n">
        <v>45583</v>
      </c>
      <c r="E2201" s="1" t="n">
        <v>46216</v>
      </c>
      <c r="F2201" t="inlineStr">
        <is>
          <t>BLEKINGE LÄN</t>
        </is>
      </c>
      <c r="G2201" t="inlineStr">
        <is>
          <t>OLOFSTRÖM</t>
        </is>
      </c>
      <c r="I2201" t="n">
        <v>2.5</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39564-2024</t>
        </is>
      </c>
      <c r="B2202" t="inlineStr">
        <is>
          <t>avverkningsanmälan</t>
        </is>
      </c>
      <c r="C2202" t="inlineStr">
        <is>
          <t>Föryngringsavverkning</t>
        </is>
      </c>
      <c r="D2202" s="1" t="n">
        <v>45551</v>
      </c>
      <c r="E2202" s="1" t="n">
        <v>46216</v>
      </c>
      <c r="F2202" t="inlineStr">
        <is>
          <t>BLEKINGE LÄN</t>
        </is>
      </c>
      <c r="G2202" t="inlineStr">
        <is>
          <t>RONNEBY</t>
        </is>
      </c>
      <c r="I2202" t="n">
        <v>1.7</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6442-2024</t>
        </is>
      </c>
      <c r="B2203" t="inlineStr">
        <is>
          <t>avverkningsanmälan</t>
        </is>
      </c>
      <c r="C2203" t="inlineStr">
        <is>
          <t>Föryngringsavverkning</t>
        </is>
      </c>
      <c r="D2203" s="1" t="n">
        <v>45338</v>
      </c>
      <c r="E2203" s="1" t="n">
        <v>46216</v>
      </c>
      <c r="F2203" t="inlineStr">
        <is>
          <t>BLEKINGE LÄN</t>
        </is>
      </c>
      <c r="G2203" t="inlineStr">
        <is>
          <t>OLOFSTRÖM</t>
        </is>
      </c>
      <c r="H2203" t="inlineStr">
        <is>
          <t>Övriga Aktiebolag</t>
        </is>
      </c>
      <c r="I2203" t="n">
        <v>4.1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5218-2025</t>
        </is>
      </c>
      <c r="B2204" t="inlineStr">
        <is>
          <t>avverkningsanmälan</t>
        </is>
      </c>
      <c r="C2204" t="inlineStr">
        <is>
          <t>Föryngringsavverkning</t>
        </is>
      </c>
      <c r="D2204" s="1" t="n">
        <v>45691</v>
      </c>
      <c r="E2204" s="1" t="n">
        <v>46216</v>
      </c>
      <c r="F2204" t="inlineStr">
        <is>
          <t>BLEKINGE LÄN</t>
        </is>
      </c>
      <c r="G2204" t="inlineStr">
        <is>
          <t>KARLSKRONA</t>
        </is>
      </c>
      <c r="I2204" t="n">
        <v>1</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35694-2024</t>
        </is>
      </c>
      <c r="B2205" t="inlineStr">
        <is>
          <t>avverkningsanmälan</t>
        </is>
      </c>
      <c r="C2205" t="inlineStr">
        <is>
          <t>Föryngringsavverkning</t>
        </is>
      </c>
      <c r="D2205" s="1" t="n">
        <v>45532</v>
      </c>
      <c r="E2205" s="1" t="n">
        <v>46216</v>
      </c>
      <c r="F2205" t="inlineStr">
        <is>
          <t>BLEKINGE LÄN</t>
        </is>
      </c>
      <c r="G2205" t="inlineStr">
        <is>
          <t>KARLSKRONA</t>
        </is>
      </c>
      <c r="I2205" t="n">
        <v>2.2</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64469-2023</t>
        </is>
      </c>
      <c r="B2206" t="inlineStr">
        <is>
          <t>avverkningsanmälan</t>
        </is>
      </c>
      <c r="C2206" t="inlineStr">
        <is>
          <t>Föryngringsavverkning</t>
        </is>
      </c>
      <c r="D2206" s="1" t="n">
        <v>45280</v>
      </c>
      <c r="E2206" s="1" t="n">
        <v>46216</v>
      </c>
      <c r="F2206" t="inlineStr">
        <is>
          <t>BLEKINGE LÄN</t>
        </is>
      </c>
      <c r="G2206" t="inlineStr">
        <is>
          <t>RONNEBY</t>
        </is>
      </c>
      <c r="I2206" t="n">
        <v>1.8</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5317-2024</t>
        </is>
      </c>
      <c r="B2207" t="inlineStr">
        <is>
          <t>avverkningsanmälan</t>
        </is>
      </c>
      <c r="C2207" t="inlineStr">
        <is>
          <t>Avverkning för annat ändamål</t>
        </is>
      </c>
      <c r="D2207" s="1" t="n">
        <v>45331</v>
      </c>
      <c r="E2207" s="1" t="n">
        <v>46216</v>
      </c>
      <c r="F2207" t="inlineStr">
        <is>
          <t>BLEKINGE LÄN</t>
        </is>
      </c>
      <c r="G2207" t="inlineStr">
        <is>
          <t>KARLSHAMN</t>
        </is>
      </c>
      <c r="I2207" t="n">
        <v>3.2</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6270-2025</t>
        </is>
      </c>
      <c r="B2208" t="inlineStr">
        <is>
          <t>avverkningsanmälan</t>
        </is>
      </c>
      <c r="C2208" t="inlineStr">
        <is>
          <t>Föryngringsavverkning</t>
        </is>
      </c>
      <c r="D2208" s="1" t="n">
        <v>45698</v>
      </c>
      <c r="E2208" s="1" t="n">
        <v>46216</v>
      </c>
      <c r="F2208" t="inlineStr">
        <is>
          <t>BLEKINGE LÄN</t>
        </is>
      </c>
      <c r="G2208" t="inlineStr">
        <is>
          <t>OLOFSTRÖM</t>
        </is>
      </c>
      <c r="I2208" t="n">
        <v>2.5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12827-2024</t>
        </is>
      </c>
      <c r="B2209" t="inlineStr">
        <is>
          <t>avverkningsanmälan</t>
        </is>
      </c>
      <c r="C2209" t="inlineStr">
        <is>
          <t>Föryngringsavverkning</t>
        </is>
      </c>
      <c r="D2209" s="1" t="n">
        <v>45384</v>
      </c>
      <c r="E2209" s="1" t="n">
        <v>46216</v>
      </c>
      <c r="F2209" t="inlineStr">
        <is>
          <t>BLEKINGE LÄN</t>
        </is>
      </c>
      <c r="G2209" t="inlineStr">
        <is>
          <t>KARLSKRONA</t>
        </is>
      </c>
      <c r="I2209" t="n">
        <v>2.4</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12788-2025</t>
        </is>
      </c>
      <c r="B2210" t="inlineStr">
        <is>
          <t>avverkningsanmälan</t>
        </is>
      </c>
      <c r="C2210" t="inlineStr">
        <is>
          <t>Föryngringsavverkning</t>
        </is>
      </c>
      <c r="D2210" s="1" t="n">
        <v>45733</v>
      </c>
      <c r="E2210" s="1" t="n">
        <v>46216</v>
      </c>
      <c r="F2210" t="inlineStr">
        <is>
          <t>BLEKINGE LÄN</t>
        </is>
      </c>
      <c r="G2210" t="inlineStr">
        <is>
          <t>OLOFSTRÖM</t>
        </is>
      </c>
      <c r="I2210" t="n">
        <v>1.7</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37415-2024</t>
        </is>
      </c>
      <c r="B2211" t="inlineStr">
        <is>
          <t>avverkningsanmälan</t>
        </is>
      </c>
      <c r="C2211" t="inlineStr">
        <is>
          <t>Föryngringsavverkning</t>
        </is>
      </c>
      <c r="D2211" s="1" t="n">
        <v>45540</v>
      </c>
      <c r="E2211" s="1" t="n">
        <v>46216</v>
      </c>
      <c r="F2211" t="inlineStr">
        <is>
          <t>BLEKINGE LÄN</t>
        </is>
      </c>
      <c r="G2211" t="inlineStr">
        <is>
          <t>KARLSKRONA</t>
        </is>
      </c>
      <c r="I2211" t="n">
        <v>8.300000000000001</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23383-2025</t>
        </is>
      </c>
      <c r="B2212" t="inlineStr">
        <is>
          <t>avverkningsanmälan</t>
        </is>
      </c>
      <c r="C2212" t="inlineStr">
        <is>
          <t>Föryngringsavverkning</t>
        </is>
      </c>
      <c r="D2212" s="1" t="n">
        <v>45791</v>
      </c>
      <c r="E2212" s="1" t="n">
        <v>46216</v>
      </c>
      <c r="F2212" t="inlineStr">
        <is>
          <t>BLEKINGE LÄN</t>
        </is>
      </c>
      <c r="G2212" t="inlineStr">
        <is>
          <t>RONNEBY</t>
        </is>
      </c>
      <c r="H2212" t="inlineStr">
        <is>
          <t>Övriga Aktiebolag</t>
        </is>
      </c>
      <c r="I2212" t="n">
        <v>1.5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24267-2025</t>
        </is>
      </c>
      <c r="B2213" t="inlineStr">
        <is>
          <t>avverkningsanmälan</t>
        </is>
      </c>
      <c r="C2213" t="inlineStr">
        <is>
          <t>Föryngringsavverkning</t>
        </is>
      </c>
      <c r="D2213" s="1" t="n">
        <v>45797</v>
      </c>
      <c r="E2213" s="1" t="n">
        <v>46216</v>
      </c>
      <c r="F2213" t="inlineStr">
        <is>
          <t>BLEKINGE LÄN</t>
        </is>
      </c>
      <c r="G2213" t="inlineStr">
        <is>
          <t>KARLSKRONA</t>
        </is>
      </c>
      <c r="I2213" t="n">
        <v>0.5</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24269-2025</t>
        </is>
      </c>
      <c r="B2214" t="inlineStr">
        <is>
          <t>avverkningsanmälan</t>
        </is>
      </c>
      <c r="C2214" t="inlineStr">
        <is>
          <t>Föryngringsavverkning</t>
        </is>
      </c>
      <c r="D2214" s="1" t="n">
        <v>45797</v>
      </c>
      <c r="E2214" s="1" t="n">
        <v>46216</v>
      </c>
      <c r="F2214" t="inlineStr">
        <is>
          <t>BLEKINGE LÄN</t>
        </is>
      </c>
      <c r="G2214" t="inlineStr">
        <is>
          <t>KARLSKRONA</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24253-2025</t>
        </is>
      </c>
      <c r="B2215" t="inlineStr">
        <is>
          <t>avverkningsanmälan</t>
        </is>
      </c>
      <c r="C2215" t="inlineStr">
        <is>
          <t>Föryngringsavverkning</t>
        </is>
      </c>
      <c r="D2215" s="1" t="n">
        <v>45796</v>
      </c>
      <c r="E2215" s="1" t="n">
        <v>46216</v>
      </c>
      <c r="F2215" t="inlineStr">
        <is>
          <t>BLEKINGE LÄN</t>
        </is>
      </c>
      <c r="G2215" t="inlineStr">
        <is>
          <t>OLOFSTRÖM</t>
        </is>
      </c>
      <c r="I2215" t="n">
        <v>1.4</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24051-2025</t>
        </is>
      </c>
      <c r="B2216" t="inlineStr">
        <is>
          <t>avverkningsanmälan</t>
        </is>
      </c>
      <c r="C2216" t="inlineStr">
        <is>
          <t>Föryngringsavverkning</t>
        </is>
      </c>
      <c r="D2216" s="1" t="n">
        <v>45796</v>
      </c>
      <c r="E2216" s="1" t="n">
        <v>46216</v>
      </c>
      <c r="F2216" t="inlineStr">
        <is>
          <t>BLEKINGE LÄN</t>
        </is>
      </c>
      <c r="G2216" t="inlineStr">
        <is>
          <t>KARLSHAMN</t>
        </is>
      </c>
      <c r="I2216" t="n">
        <v>3.5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24030-2025</t>
        </is>
      </c>
      <c r="B2217" t="inlineStr">
        <is>
          <t>avverkningsanmälan</t>
        </is>
      </c>
      <c r="C2217" t="inlineStr">
        <is>
          <t>Föryngringsavverkning</t>
        </is>
      </c>
      <c r="D2217" s="1" t="n">
        <v>45796</v>
      </c>
      <c r="E2217" s="1" t="n">
        <v>46216</v>
      </c>
      <c r="F2217" t="inlineStr">
        <is>
          <t>BLEKINGE LÄN</t>
        </is>
      </c>
      <c r="G2217" t="inlineStr">
        <is>
          <t>KARLSKRONA</t>
        </is>
      </c>
      <c r="I2217" t="n">
        <v>1</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10997-2024</t>
        </is>
      </c>
      <c r="B2218" t="inlineStr">
        <is>
          <t>avverkningsanmälan</t>
        </is>
      </c>
      <c r="C2218" t="inlineStr">
        <is>
          <t>Föryngringsavverkning</t>
        </is>
      </c>
      <c r="D2218" s="1" t="n">
        <v>45370</v>
      </c>
      <c r="E2218" s="1" t="n">
        <v>46216</v>
      </c>
      <c r="F2218" t="inlineStr">
        <is>
          <t>BLEKINGE LÄN</t>
        </is>
      </c>
      <c r="G2218" t="inlineStr">
        <is>
          <t>SÖLVESBORG</t>
        </is>
      </c>
      <c r="I2218" t="n">
        <v>1</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2156-2025</t>
        </is>
      </c>
      <c r="B2219" t="inlineStr">
        <is>
          <t>avverkningsanmälan</t>
        </is>
      </c>
      <c r="C2219" t="inlineStr">
        <is>
          <t>Föryngringsavverkning</t>
        </is>
      </c>
      <c r="D2219" s="1" t="n">
        <v>45672</v>
      </c>
      <c r="E2219" s="1" t="n">
        <v>46216</v>
      </c>
      <c r="F2219" t="inlineStr">
        <is>
          <t>BLEKINGE LÄN</t>
        </is>
      </c>
      <c r="G2219" t="inlineStr">
        <is>
          <t>RONNEBY</t>
        </is>
      </c>
      <c r="I2219" t="n">
        <v>2.1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5543-2025</t>
        </is>
      </c>
      <c r="B2220" t="inlineStr">
        <is>
          <t>avverkningsanmälan</t>
        </is>
      </c>
      <c r="C2220" t="inlineStr">
        <is>
          <t>Föryngringsavverkning</t>
        </is>
      </c>
      <c r="D2220" s="1" t="n">
        <v>45693</v>
      </c>
      <c r="E2220" s="1" t="n">
        <v>46216</v>
      </c>
      <c r="F2220" t="inlineStr">
        <is>
          <t>BLEKINGE LÄN</t>
        </is>
      </c>
      <c r="G2220" t="inlineStr">
        <is>
          <t>KARLSKRONA</t>
        </is>
      </c>
      <c r="I2220" t="n">
        <v>4.8</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46096-2024</t>
        </is>
      </c>
      <c r="B2221" t="inlineStr">
        <is>
          <t>avverkningsanmälan</t>
        </is>
      </c>
      <c r="C2221" t="inlineStr">
        <is>
          <t>Föryngringsavverkning</t>
        </is>
      </c>
      <c r="D2221" s="1" t="n">
        <v>45581</v>
      </c>
      <c r="E2221" s="1" t="n">
        <v>46216</v>
      </c>
      <c r="F2221" t="inlineStr">
        <is>
          <t>BLEKINGE LÄN</t>
        </is>
      </c>
      <c r="G2221" t="inlineStr">
        <is>
          <t>KARLSKRONA</t>
        </is>
      </c>
      <c r="I2221" t="n">
        <v>1.5</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7835-2023</t>
        </is>
      </c>
      <c r="B2222" t="inlineStr">
        <is>
          <t>avverkningsanmälan</t>
        </is>
      </c>
      <c r="C2222" t="inlineStr">
        <is>
          <t>Föryngringsavverkning</t>
        </is>
      </c>
      <c r="D2222" s="1" t="n">
        <v>44973</v>
      </c>
      <c r="E2222" s="1" t="n">
        <v>46216</v>
      </c>
      <c r="F2222" t="inlineStr">
        <is>
          <t>BLEKINGE LÄN</t>
        </is>
      </c>
      <c r="G2222" t="inlineStr">
        <is>
          <t>RONNEBY</t>
        </is>
      </c>
      <c r="H2222" t="inlineStr">
        <is>
          <t>Övriga Aktiebolag</t>
        </is>
      </c>
      <c r="I2222" t="n">
        <v>5</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31389-2023</t>
        </is>
      </c>
      <c r="B2223" t="inlineStr">
        <is>
          <t>avverkningsanmälan</t>
        </is>
      </c>
      <c r="C2223" t="inlineStr">
        <is>
          <t>Föryngringsavverkning</t>
        </is>
      </c>
      <c r="D2223" s="1" t="n">
        <v>45104</v>
      </c>
      <c r="E2223" s="1" t="n">
        <v>46216</v>
      </c>
      <c r="F2223" t="inlineStr">
        <is>
          <t>BLEKINGE LÄN</t>
        </is>
      </c>
      <c r="G2223" t="inlineStr">
        <is>
          <t>KARLSHAMN</t>
        </is>
      </c>
      <c r="I2223" t="n">
        <v>1.4</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24013-2023</t>
        </is>
      </c>
      <c r="B2224" t="inlineStr">
        <is>
          <t>avverkningsanmälan</t>
        </is>
      </c>
      <c r="C2224" t="inlineStr">
        <is>
          <t>Föryngringsavverkning</t>
        </is>
      </c>
      <c r="D2224" s="1" t="n">
        <v>45078</v>
      </c>
      <c r="E2224" s="1" t="n">
        <v>46216</v>
      </c>
      <c r="F2224" t="inlineStr">
        <is>
          <t>BLEKINGE LÄN</t>
        </is>
      </c>
      <c r="G2224" t="inlineStr">
        <is>
          <t>RONNEBY</t>
        </is>
      </c>
      <c r="I2224" t="n">
        <v>1.8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19678-2025</t>
        </is>
      </c>
      <c r="B2225" t="inlineStr">
        <is>
          <t>avverkningsanmälan</t>
        </is>
      </c>
      <c r="C2225" t="inlineStr">
        <is>
          <t>Föryngringsavverkning</t>
        </is>
      </c>
      <c r="D2225" s="1" t="n">
        <v>45770</v>
      </c>
      <c r="E2225" s="1" t="n">
        <v>46216</v>
      </c>
      <c r="F2225" t="inlineStr">
        <is>
          <t>BLEKINGE LÄN</t>
        </is>
      </c>
      <c r="G2225" t="inlineStr">
        <is>
          <t>KARLSKRONA</t>
        </is>
      </c>
      <c r="I2225" t="n">
        <v>1.2</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50254-2024</t>
        </is>
      </c>
      <c r="B2226" t="inlineStr">
        <is>
          <t>avverkningsanmälan</t>
        </is>
      </c>
      <c r="C2226" t="inlineStr">
        <is>
          <t>Föryngringsavverkning</t>
        </is>
      </c>
      <c r="D2226" s="1" t="n">
        <v>45600</v>
      </c>
      <c r="E2226" s="1" t="n">
        <v>46216</v>
      </c>
      <c r="F2226" t="inlineStr">
        <is>
          <t>BLEKINGE LÄN</t>
        </is>
      </c>
      <c r="G2226" t="inlineStr">
        <is>
          <t>KARLSHAMN</t>
        </is>
      </c>
      <c r="I2226" t="n">
        <v>5.5</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S 155-2021</t>
        </is>
      </c>
      <c r="B2227" t="inlineStr">
        <is>
          <t>samrådsanmälan</t>
        </is>
      </c>
      <c r="C2227" t="inlineStr">
        <is>
          <t>Åtgärd i nyckelbiotop</t>
        </is>
      </c>
      <c r="D2227" s="1" t="n">
        <v>44230</v>
      </c>
      <c r="E2227" s="1" t="n">
        <v>46216</v>
      </c>
      <c r="F2227" t="inlineStr">
        <is>
          <t>BLEKINGE LÄN</t>
        </is>
      </c>
      <c r="G2227" t="inlineStr">
        <is>
          <t>KARLSHAMN</t>
        </is>
      </c>
      <c r="I2227" t="n">
        <v>0.2</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S 5253-2022</t>
        </is>
      </c>
      <c r="B2228" t="inlineStr">
        <is>
          <t>samrådsanmälan</t>
        </is>
      </c>
      <c r="C2228" t="inlineStr">
        <is>
          <t>Annan skogsbruksåtgärd</t>
        </is>
      </c>
      <c r="D2228" s="1" t="n">
        <v>44825</v>
      </c>
      <c r="E2228" s="1" t="n">
        <v>46216</v>
      </c>
      <c r="F2228" t="inlineStr">
        <is>
          <t>BLEKINGE LÄN</t>
        </is>
      </c>
      <c r="G2228" t="inlineStr">
        <is>
          <t>KARLSKRONA</t>
        </is>
      </c>
      <c r="H2228" t="inlineStr">
        <is>
          <t>Kommuner</t>
        </is>
      </c>
      <c r="I2228" t="n">
        <v>0.8</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S 868-2020</t>
        </is>
      </c>
      <c r="B2229" t="inlineStr">
        <is>
          <t>samrådsanmälan</t>
        </is>
      </c>
      <c r="C2229" t="inlineStr">
        <is>
          <t>Åtgärd i nyckelbiotop</t>
        </is>
      </c>
      <c r="D2229" s="1" t="n">
        <v>43938</v>
      </c>
      <c r="E2229" s="1" t="n">
        <v>46216</v>
      </c>
      <c r="F2229" t="inlineStr">
        <is>
          <t>BLEKINGE LÄN</t>
        </is>
      </c>
      <c r="G2229" t="inlineStr">
        <is>
          <t>KARLSKRONA</t>
        </is>
      </c>
      <c r="I2229" t="n">
        <v>4</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S 2103-2020</t>
        </is>
      </c>
      <c r="B2230" t="inlineStr">
        <is>
          <t>samrådsanmälan</t>
        </is>
      </c>
      <c r="C2230" t="inlineStr">
        <is>
          <t>Åtgärd i nyckelbiotop</t>
        </is>
      </c>
      <c r="D2230" s="1" t="n">
        <v>44110</v>
      </c>
      <c r="E2230" s="1" t="n">
        <v>46216</v>
      </c>
      <c r="F2230" t="inlineStr">
        <is>
          <t>BLEKINGE LÄN</t>
        </is>
      </c>
      <c r="G2230" t="inlineStr">
        <is>
          <t>KARLSKRONA</t>
        </is>
      </c>
      <c r="H2230" t="inlineStr">
        <is>
          <t>Kommuner</t>
        </is>
      </c>
      <c r="I2230" t="n">
        <v>0.9</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S 7454-2021</t>
        </is>
      </c>
      <c r="B2231" t="inlineStr">
        <is>
          <t>samrådsanmälan</t>
        </is>
      </c>
      <c r="C2231" t="inlineStr">
        <is>
          <t>Annan skogsbruksåtgärd</t>
        </is>
      </c>
      <c r="D2231" s="1" t="n">
        <v>44474</v>
      </c>
      <c r="E2231" s="1" t="n">
        <v>46216</v>
      </c>
      <c r="F2231" t="inlineStr">
        <is>
          <t>BLEKINGE LÄN</t>
        </is>
      </c>
      <c r="G2231" t="inlineStr">
        <is>
          <t>RONNEBY</t>
        </is>
      </c>
      <c r="I2231" t="n">
        <v>1.2</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S 4024-2022</t>
        </is>
      </c>
      <c r="B2232" t="inlineStr">
        <is>
          <t>samrådsanmälan</t>
        </is>
      </c>
      <c r="C2232" t="inlineStr">
        <is>
          <t>Annan skogsbruksåtgärd</t>
        </is>
      </c>
      <c r="D2232" s="1" t="n">
        <v>44755</v>
      </c>
      <c r="E2232" s="1" t="n">
        <v>46216</v>
      </c>
      <c r="F2232" t="inlineStr">
        <is>
          <t>BLEKINGE LÄN</t>
        </is>
      </c>
      <c r="G2232" t="inlineStr">
        <is>
          <t>RONNEBY</t>
        </is>
      </c>
      <c r="I2232" t="n">
        <v>13.5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S 5417-2022</t>
        </is>
      </c>
      <c r="B2233" t="inlineStr">
        <is>
          <t>samrådsanmälan</t>
        </is>
      </c>
      <c r="C2233" t="inlineStr">
        <is>
          <t>Annan skogsbruksåtgärd</t>
        </is>
      </c>
      <c r="D2233" s="1" t="n">
        <v>44831</v>
      </c>
      <c r="E2233" s="1" t="n">
        <v>46216</v>
      </c>
      <c r="F2233" t="inlineStr">
        <is>
          <t>BLEKINGE LÄN</t>
        </is>
      </c>
      <c r="G2233" t="inlineStr">
        <is>
          <t>KARLSKRONA</t>
        </is>
      </c>
      <c r="H2233" t="inlineStr">
        <is>
          <t>Kommuner</t>
        </is>
      </c>
      <c r="I2233" t="n">
        <v>0.8</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S 949-2022</t>
        </is>
      </c>
      <c r="B2234" t="inlineStr">
        <is>
          <t>samrådsanmälan</t>
        </is>
      </c>
      <c r="C2234" t="inlineStr">
        <is>
          <t>Skogsbilväg</t>
        </is>
      </c>
      <c r="D2234" s="1" t="n">
        <v>44608</v>
      </c>
      <c r="E2234" s="1" t="n">
        <v>46216</v>
      </c>
      <c r="F2234" t="inlineStr">
        <is>
          <t>BLEKINGE LÄN</t>
        </is>
      </c>
      <c r="G2234" t="inlineStr">
        <is>
          <t>RONNEBY</t>
        </is>
      </c>
      <c r="I2234" t="n">
        <v>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S 749-2023</t>
        </is>
      </c>
      <c r="B2235" t="inlineStr">
        <is>
          <t>samrådsanmälan</t>
        </is>
      </c>
      <c r="C2235" t="inlineStr">
        <is>
          <t>Annan skogsbruksåtgärd</t>
        </is>
      </c>
      <c r="D2235" s="1" t="n">
        <v>44986</v>
      </c>
      <c r="E2235" s="1" t="n">
        <v>46216</v>
      </c>
      <c r="F2235" t="inlineStr">
        <is>
          <t>BLEKINGE LÄN</t>
        </is>
      </c>
      <c r="G2235" t="inlineStr">
        <is>
          <t>RONNEBY</t>
        </is>
      </c>
      <c r="H2235" t="inlineStr">
        <is>
          <t>Övriga Aktiebolag</t>
        </is>
      </c>
      <c r="I2235" t="n">
        <v>5.1</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S 1219-2022</t>
        </is>
      </c>
      <c r="B2236" t="inlineStr">
        <is>
          <t>samrådsanmälan</t>
        </is>
      </c>
      <c r="C2236" t="inlineStr">
        <is>
          <t>Skogsbilväg</t>
        </is>
      </c>
      <c r="D2236" s="1" t="n">
        <v>44621</v>
      </c>
      <c r="E2236" s="1" t="n">
        <v>46216</v>
      </c>
      <c r="F2236" t="inlineStr">
        <is>
          <t>BLEKINGE LÄN</t>
        </is>
      </c>
      <c r="G2236" t="inlineStr">
        <is>
          <t>KARLSHAMN</t>
        </is>
      </c>
      <c r="I2236" t="n">
        <v>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S 2341-2023</t>
        </is>
      </c>
      <c r="B2237" t="inlineStr">
        <is>
          <t>samrådsanmälan</t>
        </is>
      </c>
      <c r="C2237" t="inlineStr">
        <is>
          <t>Askåterföring</t>
        </is>
      </c>
      <c r="D2237" s="1" t="n">
        <v>45106</v>
      </c>
      <c r="E2237" s="1" t="n">
        <v>46216</v>
      </c>
      <c r="F2237" t="inlineStr">
        <is>
          <t>BLEKINGE LÄN</t>
        </is>
      </c>
      <c r="G2237" t="inlineStr">
        <is>
          <t>SÖLVESBORG</t>
        </is>
      </c>
      <c r="I2237" t="n">
        <v>21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S 2200-2024</t>
        </is>
      </c>
      <c r="B2238" t="inlineStr">
        <is>
          <t>samrådsanmälan</t>
        </is>
      </c>
      <c r="C2238" t="inlineStr">
        <is>
          <t>Askåterföring</t>
        </is>
      </c>
      <c r="D2238" s="1" t="n">
        <v>45457</v>
      </c>
      <c r="E2238" s="1" t="n">
        <v>46216</v>
      </c>
      <c r="F2238" t="inlineStr">
        <is>
          <t>BLEKINGE LÄN</t>
        </is>
      </c>
      <c r="G2238" t="inlineStr">
        <is>
          <t>KARLSHAMN</t>
        </is>
      </c>
      <c r="I2238" t="n">
        <v>13.5</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S 7297-2021</t>
        </is>
      </c>
      <c r="B2239" t="inlineStr">
        <is>
          <t>samrådsanmälan</t>
        </is>
      </c>
      <c r="C2239" t="inlineStr">
        <is>
          <t>Traktorväg</t>
        </is>
      </c>
      <c r="D2239" s="1" t="n">
        <v>44469</v>
      </c>
      <c r="E2239" s="1" t="n">
        <v>46216</v>
      </c>
      <c r="F2239" t="inlineStr">
        <is>
          <t>BLEKINGE LÄN</t>
        </is>
      </c>
      <c r="G2239" t="inlineStr">
        <is>
          <t>OLOFSTRÖM</t>
        </is>
      </c>
      <c r="I2239" t="n">
        <v>0.5</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S 384-2023</t>
        </is>
      </c>
      <c r="B2240" t="inlineStr">
        <is>
          <t>samrådsanmälan</t>
        </is>
      </c>
      <c r="C2240" t="inlineStr">
        <is>
          <t>Askåterföring</t>
        </is>
      </c>
      <c r="D2240" s="1" t="n">
        <v>44959</v>
      </c>
      <c r="E2240" s="1" t="n">
        <v>46216</v>
      </c>
      <c r="F2240" t="inlineStr">
        <is>
          <t>BLEKINGE LÄN</t>
        </is>
      </c>
      <c r="G2240" t="inlineStr">
        <is>
          <t>KARLSHAMN</t>
        </is>
      </c>
      <c r="I2240" t="n">
        <v>30.3</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S 3203-2023</t>
        </is>
      </c>
      <c r="B2241" t="inlineStr">
        <is>
          <t>samrådsanmälan</t>
        </is>
      </c>
      <c r="C2241" t="inlineStr">
        <is>
          <t>Åtgärd i nyckelbiotop</t>
        </is>
      </c>
      <c r="D2241" s="1" t="n">
        <v>45188</v>
      </c>
      <c r="E2241" s="1" t="n">
        <v>46216</v>
      </c>
      <c r="F2241" t="inlineStr">
        <is>
          <t>BLEKINGE LÄN</t>
        </is>
      </c>
      <c r="G2241" t="inlineStr">
        <is>
          <t>KARLSKRONA</t>
        </is>
      </c>
      <c r="I2241" t="n">
        <v>2.8</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S 7948-2021</t>
        </is>
      </c>
      <c r="B2242" t="inlineStr">
        <is>
          <t>samrådsanmälan</t>
        </is>
      </c>
      <c r="C2242" t="inlineStr">
        <is>
          <t>Åtgärd i nyckelbiotop</t>
        </is>
      </c>
      <c r="D2242" s="1" t="n">
        <v>44483</v>
      </c>
      <c r="E2242" s="1" t="n">
        <v>46216</v>
      </c>
      <c r="F2242" t="inlineStr">
        <is>
          <t>BLEKINGE LÄN</t>
        </is>
      </c>
      <c r="G2242" t="inlineStr">
        <is>
          <t>RONNEBY</t>
        </is>
      </c>
      <c r="I2242" t="n">
        <v>5.6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S 2201-2024</t>
        </is>
      </c>
      <c r="B2243" t="inlineStr">
        <is>
          <t>samrådsanmälan</t>
        </is>
      </c>
      <c r="C2243" t="inlineStr">
        <is>
          <t>Askåterföring</t>
        </is>
      </c>
      <c r="D2243" s="1" t="n">
        <v>45457</v>
      </c>
      <c r="E2243" s="1" t="n">
        <v>46216</v>
      </c>
      <c r="F2243" t="inlineStr">
        <is>
          <t>BLEKINGE LÄN</t>
        </is>
      </c>
      <c r="G2243" t="inlineStr">
        <is>
          <t>KARLSHAMN</t>
        </is>
      </c>
      <c r="I2243" t="n">
        <v>17.1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S 4166-2023</t>
        </is>
      </c>
      <c r="B2244" t="inlineStr">
        <is>
          <t>samrådsanmälan</t>
        </is>
      </c>
      <c r="C2244" t="inlineStr">
        <is>
          <t>Askåterföring</t>
        </is>
      </c>
      <c r="D2244" s="1" t="n">
        <v>45250</v>
      </c>
      <c r="E2244" s="1" t="n">
        <v>46216</v>
      </c>
      <c r="F2244" t="inlineStr">
        <is>
          <t>BLEKINGE LÄN</t>
        </is>
      </c>
      <c r="G2244" t="inlineStr">
        <is>
          <t>KARLSKRONA</t>
        </is>
      </c>
      <c r="I2244" t="n">
        <v>19.9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S 427-2023</t>
        </is>
      </c>
      <c r="B2245" t="inlineStr">
        <is>
          <t>samrådsanmälan</t>
        </is>
      </c>
      <c r="C2245" t="inlineStr">
        <is>
          <t>Annan skogsbruksåtgärd</t>
        </is>
      </c>
      <c r="D2245" s="1" t="n">
        <v>44960</v>
      </c>
      <c r="E2245" s="1" t="n">
        <v>46216</v>
      </c>
      <c r="F2245" t="inlineStr">
        <is>
          <t>BLEKINGE LÄN</t>
        </is>
      </c>
      <c r="G2245" t="inlineStr">
        <is>
          <t>KARLSKRONA</t>
        </is>
      </c>
      <c r="I2245" t="n">
        <v>2.2</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S 370-2023</t>
        </is>
      </c>
      <c r="B2246" t="inlineStr">
        <is>
          <t>samrådsanmälan</t>
        </is>
      </c>
      <c r="C2246" t="inlineStr">
        <is>
          <t>Askåterföring</t>
        </is>
      </c>
      <c r="D2246" s="1" t="n">
        <v>44959</v>
      </c>
      <c r="E2246" s="1" t="n">
        <v>46216</v>
      </c>
      <c r="F2246" t="inlineStr">
        <is>
          <t>BLEKINGE LÄN</t>
        </is>
      </c>
      <c r="G2246" t="inlineStr">
        <is>
          <t>KARLSKRONA</t>
        </is>
      </c>
      <c r="I2246" t="n">
        <v>50.2</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S 5856-2021</t>
        </is>
      </c>
      <c r="B2247" t="inlineStr">
        <is>
          <t>samrådsanmälan</t>
        </is>
      </c>
      <c r="C2247" t="inlineStr">
        <is>
          <t>Basväg</t>
        </is>
      </c>
      <c r="D2247" s="1" t="n">
        <v>44439</v>
      </c>
      <c r="E2247" s="1" t="n">
        <v>46216</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S 763-2023</t>
        </is>
      </c>
      <c r="B2248" t="inlineStr">
        <is>
          <t>samrådsanmälan</t>
        </is>
      </c>
      <c r="C2248" t="inlineStr">
        <is>
          <t>Askåterföring</t>
        </is>
      </c>
      <c r="D2248" s="1" t="n">
        <v>44981</v>
      </c>
      <c r="E2248" s="1" t="n">
        <v>46216</v>
      </c>
      <c r="F2248" t="inlineStr">
        <is>
          <t>BLEKINGE LÄN</t>
        </is>
      </c>
      <c r="G2248" t="inlineStr">
        <is>
          <t>KARLSKRONA</t>
        </is>
      </c>
      <c r="I2248" t="n">
        <v>30.4</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S 2759-2024</t>
        </is>
      </c>
      <c r="B2249" t="inlineStr">
        <is>
          <t>samrådsanmälan</t>
        </is>
      </c>
      <c r="C2249" t="inlineStr">
        <is>
          <t>Annan skogsbruksåtgärd</t>
        </is>
      </c>
      <c r="D2249" s="1" t="n">
        <v>45485</v>
      </c>
      <c r="E2249" s="1" t="n">
        <v>46216</v>
      </c>
      <c r="F2249" t="inlineStr">
        <is>
          <t>BLEKINGE LÄN</t>
        </is>
      </c>
      <c r="G2249" t="inlineStr">
        <is>
          <t>RONNEBY</t>
        </is>
      </c>
      <c r="I2249" t="n">
        <v>4.6</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S 865-2024</t>
        </is>
      </c>
      <c r="B2250" t="inlineStr">
        <is>
          <t>samrådsanmälan</t>
        </is>
      </c>
      <c r="C2250" t="inlineStr">
        <is>
          <t>Askåterföring</t>
        </is>
      </c>
      <c r="D2250" s="1" t="n">
        <v>45373</v>
      </c>
      <c r="E2250" s="1" t="n">
        <v>46216</v>
      </c>
      <c r="F2250" t="inlineStr">
        <is>
          <t>BLEKINGE LÄN</t>
        </is>
      </c>
      <c r="G2250" t="inlineStr">
        <is>
          <t>KARLSKRONA</t>
        </is>
      </c>
      <c r="I2250" t="n">
        <v>16.7</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S 5159-2024</t>
        </is>
      </c>
      <c r="B2251" t="inlineStr">
        <is>
          <t>samrådsanmälan</t>
        </is>
      </c>
      <c r="C2251" t="inlineStr">
        <is>
          <t>Askåterföring</t>
        </is>
      </c>
      <c r="D2251" s="1" t="n">
        <v>45646</v>
      </c>
      <c r="E2251" s="1" t="n">
        <v>46216</v>
      </c>
      <c r="F2251" t="inlineStr">
        <is>
          <t>BLEKINGE LÄN</t>
        </is>
      </c>
      <c r="G2251" t="inlineStr">
        <is>
          <t>RONNEBY</t>
        </is>
      </c>
      <c r="I2251" t="n">
        <v>75.90000000000001</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S 386-2023</t>
        </is>
      </c>
      <c r="B2252" t="inlineStr">
        <is>
          <t>samrådsanmälan</t>
        </is>
      </c>
      <c r="C2252" t="inlineStr">
        <is>
          <t>Askåterföring</t>
        </is>
      </c>
      <c r="D2252" s="1" t="n">
        <v>44959</v>
      </c>
      <c r="E2252" s="1" t="n">
        <v>46216</v>
      </c>
      <c r="F2252" t="inlineStr">
        <is>
          <t>BLEKINGE LÄN</t>
        </is>
      </c>
      <c r="G2252" t="inlineStr">
        <is>
          <t>KARLSHAMN</t>
        </is>
      </c>
      <c r="I2252" t="n">
        <v>19.3</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S 4617-2024</t>
        </is>
      </c>
      <c r="B2253" t="inlineStr">
        <is>
          <t>samrådsanmälan</t>
        </is>
      </c>
      <c r="C2253" t="inlineStr">
        <is>
          <t>Askåterföring</t>
        </is>
      </c>
      <c r="D2253" s="1" t="n">
        <v>45602</v>
      </c>
      <c r="E2253" s="1" t="n">
        <v>46216</v>
      </c>
      <c r="F2253" t="inlineStr">
        <is>
          <t>BLEKINGE LÄN</t>
        </is>
      </c>
      <c r="G2253" t="inlineStr">
        <is>
          <t>RONNEBY</t>
        </is>
      </c>
      <c r="I2253" t="n">
        <v>65.2</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S 372-2023</t>
        </is>
      </c>
      <c r="B2254" t="inlineStr">
        <is>
          <t>samrådsanmälan</t>
        </is>
      </c>
      <c r="C2254" t="inlineStr">
        <is>
          <t>Askåterföring</t>
        </is>
      </c>
      <c r="D2254" s="1" t="n">
        <v>44959</v>
      </c>
      <c r="E2254" s="1" t="n">
        <v>46216</v>
      </c>
      <c r="F2254" t="inlineStr">
        <is>
          <t>BLEKINGE LÄN</t>
        </is>
      </c>
      <c r="G2254" t="inlineStr">
        <is>
          <t>KARLSKRONA</t>
        </is>
      </c>
      <c r="I2254" t="n">
        <v>17.3</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S 173-2025</t>
        </is>
      </c>
      <c r="B2255" t="inlineStr">
        <is>
          <t>samrådsanmälan</t>
        </is>
      </c>
      <c r="C2255" t="inlineStr">
        <is>
          <t>Askåterföring</t>
        </is>
      </c>
      <c r="D2255" s="1" t="n">
        <v>45677</v>
      </c>
      <c r="E2255" s="1" t="n">
        <v>46216</v>
      </c>
      <c r="F2255" t="inlineStr">
        <is>
          <t>BLEKINGE LÄN</t>
        </is>
      </c>
      <c r="G2255" t="inlineStr">
        <is>
          <t>SÖLVESBORG</t>
        </is>
      </c>
      <c r="I2255" t="n">
        <v>25.3</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S 4090-2024</t>
        </is>
      </c>
      <c r="B2256" t="inlineStr">
        <is>
          <t>samrådsanmälan</t>
        </is>
      </c>
      <c r="C2256" t="inlineStr">
        <is>
          <t>Askåterföring</t>
        </is>
      </c>
      <c r="D2256" s="1" t="n">
        <v>45573</v>
      </c>
      <c r="E2256" s="1" t="n">
        <v>46216</v>
      </c>
      <c r="F2256" t="inlineStr">
        <is>
          <t>BLEKINGE LÄN</t>
        </is>
      </c>
      <c r="G2256" t="inlineStr">
        <is>
          <t>RONNEBY</t>
        </is>
      </c>
      <c r="I2256" t="n">
        <v>35.7</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S 4348-2023</t>
        </is>
      </c>
      <c r="B2257" t="inlineStr">
        <is>
          <t>samrådsanmälan</t>
        </is>
      </c>
      <c r="C2257" t="inlineStr">
        <is>
          <t>Askåterföring</t>
        </is>
      </c>
      <c r="D2257" s="1" t="n">
        <v>45261</v>
      </c>
      <c r="E2257" s="1" t="n">
        <v>46216</v>
      </c>
      <c r="F2257" t="inlineStr">
        <is>
          <t>BLEKINGE LÄN</t>
        </is>
      </c>
      <c r="G2257" t="inlineStr">
        <is>
          <t>OLOFSTRÖM</t>
        </is>
      </c>
      <c r="I2257" t="n">
        <v>23.2</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S 624-2023</t>
        </is>
      </c>
      <c r="B2258" t="inlineStr">
        <is>
          <t>samrådsanmälan</t>
        </is>
      </c>
      <c r="C2258" t="inlineStr">
        <is>
          <t>Askåterföring</t>
        </is>
      </c>
      <c r="D2258" s="1" t="n">
        <v>44972</v>
      </c>
      <c r="E2258" s="1" t="n">
        <v>46216</v>
      </c>
      <c r="F2258" t="inlineStr">
        <is>
          <t>BLEKINGE LÄN</t>
        </is>
      </c>
      <c r="G2258" t="inlineStr">
        <is>
          <t>KARLSKRONA</t>
        </is>
      </c>
      <c r="I2258" t="n">
        <v>13.4</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S 2710-2023</t>
        </is>
      </c>
      <c r="B2259" t="inlineStr">
        <is>
          <t>samrådsanmälan</t>
        </is>
      </c>
      <c r="C2259" t="inlineStr">
        <is>
          <t>Askåterföring</t>
        </is>
      </c>
      <c r="D2259" s="1" t="n">
        <v>45155</v>
      </c>
      <c r="E2259" s="1" t="n">
        <v>46216</v>
      </c>
      <c r="F2259" t="inlineStr">
        <is>
          <t>BLEKINGE LÄN</t>
        </is>
      </c>
      <c r="G2259" t="inlineStr">
        <is>
          <t>KARLSKRONA</t>
        </is>
      </c>
      <c r="I2259" t="n">
        <v>32.9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S 4796-2024</t>
        </is>
      </c>
      <c r="B2260" t="inlineStr">
        <is>
          <t>samrådsanmälan</t>
        </is>
      </c>
      <c r="C2260" t="inlineStr">
        <is>
          <t>Askåterföring</t>
        </is>
      </c>
      <c r="D2260" s="1" t="n">
        <v>45611</v>
      </c>
      <c r="E2260" s="1" t="n">
        <v>46216</v>
      </c>
      <c r="F2260" t="inlineStr">
        <is>
          <t>BLEKINGE LÄN</t>
        </is>
      </c>
      <c r="G2260" t="inlineStr">
        <is>
          <t>KARLSKRONA</t>
        </is>
      </c>
      <c r="I2260" t="n">
        <v>26.8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S 4616-2024</t>
        </is>
      </c>
      <c r="B2261" t="inlineStr">
        <is>
          <t>samrådsanmälan</t>
        </is>
      </c>
      <c r="C2261" t="inlineStr">
        <is>
          <t>Askåterföring</t>
        </is>
      </c>
      <c r="D2261" s="1" t="n">
        <v>45602</v>
      </c>
      <c r="E2261" s="1" t="n">
        <v>46216</v>
      </c>
      <c r="F2261" t="inlineStr">
        <is>
          <t>BLEKINGE LÄN</t>
        </is>
      </c>
      <c r="G2261" t="inlineStr">
        <is>
          <t>KARLSHAMN</t>
        </is>
      </c>
      <c r="I2261" t="n">
        <v>25.2</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S 6-2025</t>
        </is>
      </c>
      <c r="B2262" t="inlineStr">
        <is>
          <t>samrådsanmälan</t>
        </is>
      </c>
      <c r="C2262" t="inlineStr">
        <is>
          <t>Annan skogsbruksåtgärd</t>
        </is>
      </c>
      <c r="D2262" s="1" t="n">
        <v>45656</v>
      </c>
      <c r="E2262" s="1" t="n">
        <v>46216</v>
      </c>
      <c r="F2262" t="inlineStr">
        <is>
          <t>BLEKINGE LÄN</t>
        </is>
      </c>
      <c r="G2262" t="inlineStr">
        <is>
          <t>RONNEBY</t>
        </is>
      </c>
      <c r="I2262" t="n">
        <v>0.7</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S 4459-2023</t>
        </is>
      </c>
      <c r="B2263" t="inlineStr">
        <is>
          <t>samrådsanmälan</t>
        </is>
      </c>
      <c r="C2263" t="inlineStr">
        <is>
          <t>Annan skogsbruksåtgärd</t>
        </is>
      </c>
      <c r="D2263" s="1" t="n">
        <v>45271</v>
      </c>
      <c r="E2263" s="1" t="n">
        <v>46216</v>
      </c>
      <c r="F2263" t="inlineStr">
        <is>
          <t>BLEKINGE LÄN</t>
        </is>
      </c>
      <c r="G2263" t="inlineStr">
        <is>
          <t>KARLSKRONA</t>
        </is>
      </c>
      <c r="I2263" t="n">
        <v>0.1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S 385-2023</t>
        </is>
      </c>
      <c r="B2264" t="inlineStr">
        <is>
          <t>samrådsanmälan</t>
        </is>
      </c>
      <c r="C2264" t="inlineStr">
        <is>
          <t>Askåterföring</t>
        </is>
      </c>
      <c r="D2264" s="1" t="n">
        <v>44959</v>
      </c>
      <c r="E2264" s="1" t="n">
        <v>46216</v>
      </c>
      <c r="F2264" t="inlineStr">
        <is>
          <t>BLEKINGE LÄN</t>
        </is>
      </c>
      <c r="G2264" t="inlineStr">
        <is>
          <t>RONNEBY</t>
        </is>
      </c>
      <c r="I2264" t="n">
        <v>20.4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S 2196-2024</t>
        </is>
      </c>
      <c r="B2265" t="inlineStr">
        <is>
          <t>samrådsanmälan</t>
        </is>
      </c>
      <c r="C2265" t="inlineStr">
        <is>
          <t>Askåterföring</t>
        </is>
      </c>
      <c r="D2265" s="1" t="n">
        <v>45457</v>
      </c>
      <c r="E2265" s="1" t="n">
        <v>46216</v>
      </c>
      <c r="F2265" t="inlineStr">
        <is>
          <t>BLEKINGE LÄN</t>
        </is>
      </c>
      <c r="G2265" t="inlineStr">
        <is>
          <t>RONNEBY</t>
        </is>
      </c>
      <c r="I2265" t="n">
        <v>19.6</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S 4134-2024</t>
        </is>
      </c>
      <c r="B2266" t="inlineStr">
        <is>
          <t>samrådsanmälan</t>
        </is>
      </c>
      <c r="C2266" t="inlineStr">
        <is>
          <t>Askåterföring</t>
        </is>
      </c>
      <c r="D2266" s="1" t="n">
        <v>45575</v>
      </c>
      <c r="E2266" s="1" t="n">
        <v>46216</v>
      </c>
      <c r="F2266" t="inlineStr">
        <is>
          <t>BLEKINGE LÄN</t>
        </is>
      </c>
      <c r="G2266" t="inlineStr">
        <is>
          <t>KARLSHAMN</t>
        </is>
      </c>
      <c r="I2266" t="n">
        <v>43.2</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S 2689-2023</t>
        </is>
      </c>
      <c r="B2267" t="inlineStr">
        <is>
          <t>samrådsanmälan</t>
        </is>
      </c>
      <c r="C2267" t="inlineStr">
        <is>
          <t>Askåterföring</t>
        </is>
      </c>
      <c r="D2267" s="1" t="n">
        <v>45154</v>
      </c>
      <c r="E2267" s="1" t="n">
        <v>46216</v>
      </c>
      <c r="F2267" t="inlineStr">
        <is>
          <t>BLEKINGE LÄN</t>
        </is>
      </c>
      <c r="G2267" t="inlineStr">
        <is>
          <t>RONNEBY</t>
        </is>
      </c>
      <c r="I2267" t="n">
        <v>17.8</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S 2528-2024</t>
        </is>
      </c>
      <c r="B2268" t="inlineStr">
        <is>
          <t>samrådsanmälan</t>
        </is>
      </c>
      <c r="C2268" t="inlineStr">
        <is>
          <t>Askåterföring</t>
        </is>
      </c>
      <c r="D2268" s="1" t="n">
        <v>45474</v>
      </c>
      <c r="E2268" s="1" t="n">
        <v>46216</v>
      </c>
      <c r="F2268" t="inlineStr">
        <is>
          <t>BLEKINGE LÄN</t>
        </is>
      </c>
      <c r="G2268" t="inlineStr">
        <is>
          <t>KARLSKRONA</t>
        </is>
      </c>
      <c r="I2268" t="n">
        <v>33.3</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S 92-2024</t>
        </is>
      </c>
      <c r="B2269" t="inlineStr">
        <is>
          <t>samrådsanmälan</t>
        </is>
      </c>
      <c r="C2269" t="inlineStr">
        <is>
          <t>Askåterföring</t>
        </is>
      </c>
      <c r="D2269" s="1" t="n">
        <v>45301</v>
      </c>
      <c r="E2269" s="1" t="n">
        <v>46216</v>
      </c>
      <c r="F2269" t="inlineStr">
        <is>
          <t>BLEKINGE LÄN</t>
        </is>
      </c>
      <c r="G2269" t="inlineStr">
        <is>
          <t>SÖLVESBORG</t>
        </is>
      </c>
      <c r="I2269" t="n">
        <v>11.9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S 7094-2021</t>
        </is>
      </c>
      <c r="B2270" t="inlineStr">
        <is>
          <t>samrådsanmälan</t>
        </is>
      </c>
      <c r="C2270" t="inlineStr">
        <is>
          <t>Annan skogsbruksåtgärd</t>
        </is>
      </c>
      <c r="D2270" s="1" t="n">
        <v>44462</v>
      </c>
      <c r="E2270" s="1" t="n">
        <v>46216</v>
      </c>
      <c r="F2270" t="inlineStr">
        <is>
          <t>BLEKINGE LÄN</t>
        </is>
      </c>
      <c r="G2270" t="inlineStr">
        <is>
          <t>KARLSKRONA</t>
        </is>
      </c>
      <c r="I2270" t="n">
        <v>0.8</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S 503-2023</t>
        </is>
      </c>
      <c r="B2271" t="inlineStr">
        <is>
          <t>samrådsanmälan</t>
        </is>
      </c>
      <c r="C2271" t="inlineStr">
        <is>
          <t>Annan skogsbruksåtgärd</t>
        </is>
      </c>
      <c r="D2271" s="1" t="n">
        <v>44966</v>
      </c>
      <c r="E2271" s="1" t="n">
        <v>46216</v>
      </c>
      <c r="F2271" t="inlineStr">
        <is>
          <t>BLEKINGE LÄN</t>
        </is>
      </c>
      <c r="G2271" t="inlineStr">
        <is>
          <t>OLOFSTRÖM</t>
        </is>
      </c>
      <c r="I2271" t="n">
        <v>2.3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S 1129-2023</t>
        </is>
      </c>
      <c r="B2272" t="inlineStr">
        <is>
          <t>samrådsanmälan</t>
        </is>
      </c>
      <c r="C2272" t="inlineStr">
        <is>
          <t>Askåterföring</t>
        </is>
      </c>
      <c r="D2272" s="1" t="n">
        <v>45016</v>
      </c>
      <c r="E2272" s="1" t="n">
        <v>46216</v>
      </c>
      <c r="F2272" t="inlineStr">
        <is>
          <t>BLEKINGE LÄN</t>
        </is>
      </c>
      <c r="G2272" t="inlineStr">
        <is>
          <t>OLOFSTRÖM</t>
        </is>
      </c>
      <c r="I2272" t="n">
        <v>15.2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S 311-2023</t>
        </is>
      </c>
      <c r="B2273" t="inlineStr">
        <is>
          <t>samrådsanmälan</t>
        </is>
      </c>
      <c r="C2273" t="inlineStr">
        <is>
          <t>Askåterföring</t>
        </is>
      </c>
      <c r="D2273" s="1" t="n">
        <v>44959</v>
      </c>
      <c r="E2273" s="1" t="n">
        <v>46216</v>
      </c>
      <c r="F2273" t="inlineStr">
        <is>
          <t>BLEKINGE LÄN</t>
        </is>
      </c>
      <c r="G2273" t="inlineStr">
        <is>
          <t>KARLSHAMN</t>
        </is>
      </c>
      <c r="I2273" t="n">
        <v>16.8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S 2690-2023</t>
        </is>
      </c>
      <c r="B2274" t="inlineStr">
        <is>
          <t>samrådsanmälan</t>
        </is>
      </c>
      <c r="C2274" t="inlineStr">
        <is>
          <t>Askåterföring</t>
        </is>
      </c>
      <c r="D2274" s="1" t="n">
        <v>45154</v>
      </c>
      <c r="E2274" s="1" t="n">
        <v>46216</v>
      </c>
      <c r="F2274" t="inlineStr">
        <is>
          <t>BLEKINGE LÄN</t>
        </is>
      </c>
      <c r="G2274" t="inlineStr">
        <is>
          <t>RONNEBY</t>
        </is>
      </c>
      <c r="I2274" t="n">
        <v>17.3</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S 5153-2024</t>
        </is>
      </c>
      <c r="B2275" t="inlineStr">
        <is>
          <t>samrådsanmälan</t>
        </is>
      </c>
      <c r="C2275" t="inlineStr">
        <is>
          <t>Annan skogsbruksåtgärd</t>
        </is>
      </c>
      <c r="D2275" s="1" t="n">
        <v>45646</v>
      </c>
      <c r="E2275" s="1" t="n">
        <v>46216</v>
      </c>
      <c r="F2275" t="inlineStr">
        <is>
          <t>BLEKINGE LÄN</t>
        </is>
      </c>
      <c r="G2275" t="inlineStr">
        <is>
          <t>KARLSKRONA</t>
        </is>
      </c>
      <c r="I2275" t="n">
        <v>0.3</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S 1331-2025</t>
        </is>
      </c>
      <c r="B2276" t="inlineStr">
        <is>
          <t>samrådsanmälan</t>
        </is>
      </c>
      <c r="C2276" t="inlineStr">
        <is>
          <t>Askåterföring</t>
        </is>
      </c>
      <c r="D2276" s="1" t="n">
        <v>45770</v>
      </c>
      <c r="E2276" s="1" t="n">
        <v>46216</v>
      </c>
      <c r="F2276" t="inlineStr">
        <is>
          <t>BLEKINGE LÄN</t>
        </is>
      </c>
      <c r="G2276" t="inlineStr">
        <is>
          <t>SÖLVESBORG</t>
        </is>
      </c>
      <c r="I2276" t="n">
        <v>3.5</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S 828-2025</t>
        </is>
      </c>
      <c r="B2277" t="inlineStr">
        <is>
          <t>samrådsanmälan</t>
        </is>
      </c>
      <c r="C2277" t="inlineStr">
        <is>
          <t>Askåterföring</t>
        </is>
      </c>
      <c r="D2277" s="1" t="n">
        <v>45733</v>
      </c>
      <c r="E2277" s="1" t="n">
        <v>46216</v>
      </c>
      <c r="F2277" t="inlineStr">
        <is>
          <t>BLEKINGE LÄN</t>
        </is>
      </c>
      <c r="G2277" t="inlineStr">
        <is>
          <t>KARLSHAMN</t>
        </is>
      </c>
      <c r="I2277" t="n">
        <v>53.6</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S 855-2025</t>
        </is>
      </c>
      <c r="B2278" t="inlineStr">
        <is>
          <t>samrådsanmälan</t>
        </is>
      </c>
      <c r="C2278" t="inlineStr">
        <is>
          <t>Askåterföring</t>
        </is>
      </c>
      <c r="D2278" s="1" t="n">
        <v>45734</v>
      </c>
      <c r="E2278" s="1" t="n">
        <v>46216</v>
      </c>
      <c r="F2278" t="inlineStr">
        <is>
          <t>BLEKINGE LÄN</t>
        </is>
      </c>
      <c r="G2278" t="inlineStr">
        <is>
          <t>KARLSKRONA</t>
        </is>
      </c>
      <c r="I2278" t="n">
        <v>17.4</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S 466-2025</t>
        </is>
      </c>
      <c r="B2279" t="inlineStr">
        <is>
          <t>samrådsanmälan</t>
        </is>
      </c>
      <c r="C2279" t="inlineStr">
        <is>
          <t>Askåterföring</t>
        </is>
      </c>
      <c r="D2279" s="1" t="n">
        <v>45702</v>
      </c>
      <c r="E2279" s="1" t="n">
        <v>46216</v>
      </c>
      <c r="F2279" t="inlineStr">
        <is>
          <t>BLEKINGE LÄN</t>
        </is>
      </c>
      <c r="G2279" t="inlineStr">
        <is>
          <t>KARLSKRONA</t>
        </is>
      </c>
      <c r="I2279" t="n">
        <v>50.7</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S 686-2025</t>
        </is>
      </c>
      <c r="B2280" t="inlineStr">
        <is>
          <t>samrådsanmälan</t>
        </is>
      </c>
      <c r="C2280" t="inlineStr">
        <is>
          <t>Askåterföring</t>
        </is>
      </c>
      <c r="D2280" s="1" t="n">
        <v>45719</v>
      </c>
      <c r="E2280" s="1" t="n">
        <v>46216</v>
      </c>
      <c r="F2280" t="inlineStr">
        <is>
          <t>BLEKINGE LÄN</t>
        </is>
      </c>
      <c r="G2280" t="inlineStr">
        <is>
          <t>KARLSKRONA</t>
        </is>
      </c>
      <c r="I2280" t="n">
        <v>24</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S 852-2025</t>
        </is>
      </c>
      <c r="B2281" t="inlineStr">
        <is>
          <t>samrådsanmälan</t>
        </is>
      </c>
      <c r="C2281" t="inlineStr">
        <is>
          <t>Askåterföring</t>
        </is>
      </c>
      <c r="D2281" s="1" t="n">
        <v>45734</v>
      </c>
      <c r="E2281" s="1" t="n">
        <v>46216</v>
      </c>
      <c r="F2281" t="inlineStr">
        <is>
          <t>BLEKINGE LÄN</t>
        </is>
      </c>
      <c r="G2281" t="inlineStr">
        <is>
          <t>KARLSKRONA</t>
        </is>
      </c>
      <c r="I2281" t="n">
        <v>17.4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S 1938-2025</t>
        </is>
      </c>
      <c r="B2282" t="inlineStr">
        <is>
          <t>samrådsanmälan</t>
        </is>
      </c>
      <c r="C2282" t="inlineStr">
        <is>
          <t>Annan skogsbruksåtgärd</t>
        </is>
      </c>
      <c r="D2282" s="1" t="n">
        <v>45827</v>
      </c>
      <c r="E2282" s="1" t="n">
        <v>46216</v>
      </c>
      <c r="F2282" t="inlineStr">
        <is>
          <t>BLEKINGE LÄN</t>
        </is>
      </c>
      <c r="G2282" t="inlineStr">
        <is>
          <t>OLOFSTRÖM</t>
        </is>
      </c>
      <c r="H2282" t="inlineStr">
        <is>
          <t>Sveaskog</t>
        </is>
      </c>
      <c r="I2282" t="n">
        <v>5.9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S 1939-2025</t>
        </is>
      </c>
      <c r="B2283" t="inlineStr">
        <is>
          <t>samrådsanmälan</t>
        </is>
      </c>
      <c r="C2283" t="inlineStr">
        <is>
          <t>Annan skogsbruksåtgärd</t>
        </is>
      </c>
      <c r="D2283" s="1" t="n">
        <v>45827</v>
      </c>
      <c r="E2283" s="1" t="n">
        <v>46216</v>
      </c>
      <c r="F2283" t="inlineStr">
        <is>
          <t>BLEKINGE LÄN</t>
        </is>
      </c>
      <c r="G2283" t="inlineStr">
        <is>
          <t>OLOFSTRÖM</t>
        </is>
      </c>
      <c r="H2283" t="inlineStr">
        <is>
          <t>Sveaskog</t>
        </is>
      </c>
      <c r="I2283" t="n">
        <v>0.5</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S 2061-2025</t>
        </is>
      </c>
      <c r="B2284" t="inlineStr">
        <is>
          <t>samrådsanmälan</t>
        </is>
      </c>
      <c r="C2284" t="inlineStr">
        <is>
          <t>Annan skogsbruksåtgärd</t>
        </is>
      </c>
      <c r="D2284" s="1" t="n">
        <v>45839</v>
      </c>
      <c r="E2284" s="1" t="n">
        <v>46216</v>
      </c>
      <c r="F2284" t="inlineStr">
        <is>
          <t>BLEKINGE LÄN</t>
        </is>
      </c>
      <c r="G2284" t="inlineStr">
        <is>
          <t>SÖLVESBORG</t>
        </is>
      </c>
      <c r="I2284" t="n">
        <v>9.800000000000001</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S 2974-2025</t>
        </is>
      </c>
      <c r="B2285" t="inlineStr">
        <is>
          <t>samrådsanmälan</t>
        </is>
      </c>
      <c r="C2285" t="inlineStr">
        <is>
          <t>Annan skogsbruksåtgärd</t>
        </is>
      </c>
      <c r="D2285" s="1" t="n">
        <v>45956</v>
      </c>
      <c r="E2285" s="1" t="n">
        <v>46216</v>
      </c>
      <c r="F2285" t="inlineStr">
        <is>
          <t>BLEKINGE LÄN</t>
        </is>
      </c>
      <c r="G2285" t="inlineStr">
        <is>
          <t>OLOFSTRÖM</t>
        </is>
      </c>
      <c r="H2285" t="inlineStr">
        <is>
          <t>Sveaskog</t>
        </is>
      </c>
      <c r="I2285" t="n">
        <v>2.2</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S 2973-2025</t>
        </is>
      </c>
      <c r="B2286" t="inlineStr">
        <is>
          <t>samrådsanmälan</t>
        </is>
      </c>
      <c r="C2286" t="inlineStr">
        <is>
          <t>Annan skogsbruksåtgärd</t>
        </is>
      </c>
      <c r="D2286" s="1" t="n">
        <v>45956</v>
      </c>
      <c r="E2286" s="1" t="n">
        <v>46216</v>
      </c>
      <c r="F2286" t="inlineStr">
        <is>
          <t>BLEKINGE LÄN</t>
        </is>
      </c>
      <c r="G2286" t="inlineStr">
        <is>
          <t>OLOFSTRÖM</t>
        </is>
      </c>
      <c r="H2286" t="inlineStr">
        <is>
          <t>Sveaskog</t>
        </is>
      </c>
      <c r="I2286" t="n">
        <v>4.1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S 10187-2021</t>
        </is>
      </c>
      <c r="B2287" t="inlineStr">
        <is>
          <t>samrådsanmälan</t>
        </is>
      </c>
      <c r="C2287" t="inlineStr">
        <is>
          <t>Annan skogsbruksåtgärd</t>
        </is>
      </c>
      <c r="D2287" s="1" t="n">
        <v>44543</v>
      </c>
      <c r="E2287" s="1" t="n">
        <v>46216</v>
      </c>
      <c r="F2287" t="inlineStr">
        <is>
          <t>BLEKINGE LÄN</t>
        </is>
      </c>
      <c r="G2287" t="inlineStr">
        <is>
          <t>OLOFSTRÖM</t>
        </is>
      </c>
      <c r="I2287" t="n">
        <v>1.1</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S 2239-2024</t>
        </is>
      </c>
      <c r="B2288" t="inlineStr">
        <is>
          <t>samrådsanmälan</t>
        </is>
      </c>
      <c r="C2288" t="inlineStr">
        <is>
          <t>Annan skogsbruksåtgärd</t>
        </is>
      </c>
      <c r="D2288" s="1" t="n">
        <v>45460</v>
      </c>
      <c r="E2288" s="1" t="n">
        <v>46216</v>
      </c>
      <c r="F2288" t="inlineStr">
        <is>
          <t>BLEKINGE LÄN</t>
        </is>
      </c>
      <c r="G2288" t="inlineStr">
        <is>
          <t>KARLSKRONA</t>
        </is>
      </c>
      <c r="I2288" t="n">
        <v>4.6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S 177-2026</t>
        </is>
      </c>
      <c r="B2289" t="inlineStr">
        <is>
          <t>samrådsanmälan</t>
        </is>
      </c>
      <c r="C2289" t="inlineStr">
        <is>
          <t>Askåterföring</t>
        </is>
      </c>
      <c r="D2289" s="1" t="n">
        <v>46045</v>
      </c>
      <c r="E2289" s="1" t="n">
        <v>46216</v>
      </c>
      <c r="F2289" t="inlineStr">
        <is>
          <t>BLEKINGE LÄN</t>
        </is>
      </c>
      <c r="G2289" t="inlineStr">
        <is>
          <t>KARLSKRONA</t>
        </is>
      </c>
      <c r="I2289" t="n">
        <v>20.5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S 206-2026</t>
        </is>
      </c>
      <c r="B2290" t="inlineStr">
        <is>
          <t>samrådsanmälan</t>
        </is>
      </c>
      <c r="C2290" t="inlineStr">
        <is>
          <t>Annan skogsbruksåtgärd</t>
        </is>
      </c>
      <c r="D2290" s="1" t="n">
        <v>46050</v>
      </c>
      <c r="E2290" s="1" t="n">
        <v>46216</v>
      </c>
      <c r="F2290" t="inlineStr">
        <is>
          <t>BLEKINGE LÄN</t>
        </is>
      </c>
      <c r="G2290" t="inlineStr">
        <is>
          <t>RONNEBY</t>
        </is>
      </c>
      <c r="H2290" t="inlineStr">
        <is>
          <t>Övriga Aktiebolag</t>
        </is>
      </c>
      <c r="I2290" t="n">
        <v>7.7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S 357-2026</t>
        </is>
      </c>
      <c r="B2291" t="inlineStr">
        <is>
          <t>samrådsanmälan</t>
        </is>
      </c>
      <c r="C2291" t="inlineStr">
        <is>
          <t>Askåterföring</t>
        </is>
      </c>
      <c r="D2291" s="1" t="n">
        <v>46064</v>
      </c>
      <c r="E2291" s="1" t="n">
        <v>46216</v>
      </c>
      <c r="F2291" t="inlineStr">
        <is>
          <t>BLEKINGE LÄN</t>
        </is>
      </c>
      <c r="G2291" t="inlineStr">
        <is>
          <t>RONNEBY</t>
        </is>
      </c>
      <c r="I2291" t="n">
        <v>24.3</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S 361-2026</t>
        </is>
      </c>
      <c r="B2292" t="inlineStr">
        <is>
          <t>samrådsanmälan</t>
        </is>
      </c>
      <c r="C2292" t="inlineStr">
        <is>
          <t>Askåterföring</t>
        </is>
      </c>
      <c r="D2292" s="1" t="n">
        <v>46064</v>
      </c>
      <c r="E2292" s="1" t="n">
        <v>46216</v>
      </c>
      <c r="F2292" t="inlineStr">
        <is>
          <t>BLEKINGE LÄN</t>
        </is>
      </c>
      <c r="G2292" t="inlineStr">
        <is>
          <t>KARLSKRONA</t>
        </is>
      </c>
      <c r="I2292" t="n">
        <v>18.4</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S 398-2026</t>
        </is>
      </c>
      <c r="B2293" t="inlineStr">
        <is>
          <t>samrådsanmälan</t>
        </is>
      </c>
      <c r="C2293" t="inlineStr">
        <is>
          <t>Askåterföring</t>
        </is>
      </c>
      <c r="D2293" s="1" t="n">
        <v>46069</v>
      </c>
      <c r="E2293" s="1" t="n">
        <v>46216</v>
      </c>
      <c r="F2293" t="inlineStr">
        <is>
          <t>BLEKINGE LÄN</t>
        </is>
      </c>
      <c r="G2293" t="inlineStr">
        <is>
          <t>KARLSHAMN</t>
        </is>
      </c>
      <c r="I2293" t="n">
        <v>22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S 400-2026</t>
        </is>
      </c>
      <c r="B2294" t="inlineStr">
        <is>
          <t>samrådsanmälan</t>
        </is>
      </c>
      <c r="C2294" t="inlineStr">
        <is>
          <t>Askåterföring</t>
        </is>
      </c>
      <c r="D2294" s="1" t="n">
        <v>46069</v>
      </c>
      <c r="E2294" s="1" t="n">
        <v>46216</v>
      </c>
      <c r="F2294" t="inlineStr">
        <is>
          <t>BLEKINGE LÄN</t>
        </is>
      </c>
      <c r="G2294" t="inlineStr">
        <is>
          <t>KARLSHAMN</t>
        </is>
      </c>
      <c r="I2294" t="n">
        <v>13.4</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S 396-2026</t>
        </is>
      </c>
      <c r="B2295" t="inlineStr">
        <is>
          <t>samrådsanmälan</t>
        </is>
      </c>
      <c r="C2295" t="inlineStr">
        <is>
          <t>Askåterföring</t>
        </is>
      </c>
      <c r="D2295" s="1" t="n">
        <v>46069</v>
      </c>
      <c r="E2295" s="1" t="n">
        <v>46216</v>
      </c>
      <c r="F2295" t="inlineStr">
        <is>
          <t>BLEKINGE LÄN</t>
        </is>
      </c>
      <c r="G2295" t="inlineStr">
        <is>
          <t>KARLSHAMN</t>
        </is>
      </c>
      <c r="I2295" t="n">
        <v>20.2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S 418-2026</t>
        </is>
      </c>
      <c r="B2296" t="inlineStr">
        <is>
          <t>samrådsanmälan</t>
        </is>
      </c>
      <c r="C2296" t="inlineStr">
        <is>
          <t>Askåterföring</t>
        </is>
      </c>
      <c r="D2296" s="1" t="n">
        <v>46071</v>
      </c>
      <c r="E2296" s="1" t="n">
        <v>46216</v>
      </c>
      <c r="F2296" t="inlineStr">
        <is>
          <t>BLEKINGE LÄN</t>
        </is>
      </c>
      <c r="G2296" t="inlineStr">
        <is>
          <t>KARLSHAMN</t>
        </is>
      </c>
      <c r="I2296" t="n">
        <v>10</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S 401-2026</t>
        </is>
      </c>
      <c r="B2297" t="inlineStr">
        <is>
          <t>samrådsanmälan</t>
        </is>
      </c>
      <c r="C2297" t="inlineStr">
        <is>
          <t>Annan skogsbruksåtgärd</t>
        </is>
      </c>
      <c r="D2297" s="1" t="n">
        <v>46070</v>
      </c>
      <c r="E2297" s="1" t="n">
        <v>46216</v>
      </c>
      <c r="F2297" t="inlineStr">
        <is>
          <t>BLEKINGE LÄN</t>
        </is>
      </c>
      <c r="G2297" t="inlineStr">
        <is>
          <t>KARLSKRONA</t>
        </is>
      </c>
      <c r="I2297" t="n">
        <v>1</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S 703-2026</t>
        </is>
      </c>
      <c r="B2298" t="inlineStr">
        <is>
          <t>samrådsanmälan</t>
        </is>
      </c>
      <c r="C2298" t="inlineStr">
        <is>
          <t>Askåterföring</t>
        </is>
      </c>
      <c r="D2298" s="1" t="n">
        <v>46092</v>
      </c>
      <c r="E2298" s="1" t="n">
        <v>46216</v>
      </c>
      <c r="F2298" t="inlineStr">
        <is>
          <t>BLEKINGE LÄN</t>
        </is>
      </c>
      <c r="G2298" t="inlineStr">
        <is>
          <t>KARLSHAMN</t>
        </is>
      </c>
      <c r="I2298" t="n">
        <v>49.7</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S 758-2026</t>
        </is>
      </c>
      <c r="B2299" t="inlineStr">
        <is>
          <t>samrådsanmälan</t>
        </is>
      </c>
      <c r="C2299" t="inlineStr">
        <is>
          <t>Annan skogsbruksåtgärd</t>
        </is>
      </c>
      <c r="D2299" s="1" t="n">
        <v>46097</v>
      </c>
      <c r="E2299" s="1" t="n">
        <v>46216</v>
      </c>
      <c r="F2299" t="inlineStr">
        <is>
          <t>BLEKINGE LÄN</t>
        </is>
      </c>
      <c r="G2299" t="inlineStr">
        <is>
          <t>KARLSKRONA</t>
        </is>
      </c>
      <c r="I2299" t="n">
        <v>3</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S 779-2026</t>
        </is>
      </c>
      <c r="B2300" t="inlineStr">
        <is>
          <t>samrådsanmälan</t>
        </is>
      </c>
      <c r="C2300" t="inlineStr">
        <is>
          <t>Askåterföring</t>
        </is>
      </c>
      <c r="D2300" s="1" t="n">
        <v>46099</v>
      </c>
      <c r="E2300" s="1" t="n">
        <v>46216</v>
      </c>
      <c r="F2300" t="inlineStr">
        <is>
          <t>BLEKINGE LÄN</t>
        </is>
      </c>
      <c r="G2300" t="inlineStr">
        <is>
          <t>KARLSKRONA</t>
        </is>
      </c>
      <c r="I2300" t="n">
        <v>61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S 777-2026</t>
        </is>
      </c>
      <c r="B2301" t="inlineStr">
        <is>
          <t>samrådsanmälan</t>
        </is>
      </c>
      <c r="C2301" t="inlineStr">
        <is>
          <t>Askåterföring</t>
        </is>
      </c>
      <c r="D2301" s="1" t="n">
        <v>46099</v>
      </c>
      <c r="E2301" s="1" t="n">
        <v>46216</v>
      </c>
      <c r="F2301" t="inlineStr">
        <is>
          <t>BLEKINGE LÄN</t>
        </is>
      </c>
      <c r="G2301" t="inlineStr">
        <is>
          <t>KARLSKRONA</t>
        </is>
      </c>
      <c r="I2301" t="n">
        <v>45</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S 782-2026</t>
        </is>
      </c>
      <c r="B2302" t="inlineStr">
        <is>
          <t>samrådsanmälan</t>
        </is>
      </c>
      <c r="C2302" t="inlineStr">
        <is>
          <t>Askåterföring</t>
        </is>
      </c>
      <c r="D2302" s="1" t="n">
        <v>46099</v>
      </c>
      <c r="E2302" s="1" t="n">
        <v>46216</v>
      </c>
      <c r="F2302" t="inlineStr">
        <is>
          <t>BLEKINGE LÄN</t>
        </is>
      </c>
      <c r="G2302" t="inlineStr">
        <is>
          <t>RONNEBY</t>
        </is>
      </c>
      <c r="I2302" t="n">
        <v>26.6</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S 807-2026</t>
        </is>
      </c>
      <c r="B2303" t="inlineStr">
        <is>
          <t>samrådsanmälan</t>
        </is>
      </c>
      <c r="C2303" t="inlineStr">
        <is>
          <t>Askåterföring</t>
        </is>
      </c>
      <c r="D2303" s="1" t="n">
        <v>46101</v>
      </c>
      <c r="E2303" s="1" t="n">
        <v>46216</v>
      </c>
      <c r="F2303" t="inlineStr">
        <is>
          <t>BLEKINGE LÄN</t>
        </is>
      </c>
      <c r="G2303" t="inlineStr">
        <is>
          <t>KARLSKRONA</t>
        </is>
      </c>
      <c r="I2303" t="n">
        <v>11.3</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S 853-2026</t>
        </is>
      </c>
      <c r="B2304" t="inlineStr">
        <is>
          <t>samrådsanmälan</t>
        </is>
      </c>
      <c r="C2304" t="inlineStr">
        <is>
          <t>Askåterföring</t>
        </is>
      </c>
      <c r="D2304" s="1" t="n">
        <v>46105</v>
      </c>
      <c r="E2304" s="1" t="n">
        <v>46216</v>
      </c>
      <c r="F2304" t="inlineStr">
        <is>
          <t>BLEKINGE LÄN</t>
        </is>
      </c>
      <c r="G2304" t="inlineStr">
        <is>
          <t>KARLSKRONA</t>
        </is>
      </c>
      <c r="I2304" t="n">
        <v>167.3</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S 1012-2026</t>
        </is>
      </c>
      <c r="B2305" t="inlineStr">
        <is>
          <t>samrådsanmälan</t>
        </is>
      </c>
      <c r="C2305" t="inlineStr">
        <is>
          <t>Askåterföring</t>
        </is>
      </c>
      <c r="D2305" s="1" t="n">
        <v>46121</v>
      </c>
      <c r="E2305" s="1" t="n">
        <v>46216</v>
      </c>
      <c r="F2305" t="inlineStr">
        <is>
          <t>BLEKINGE LÄN</t>
        </is>
      </c>
      <c r="G2305" t="inlineStr">
        <is>
          <t>KARLSHAMN</t>
        </is>
      </c>
      <c r="I2305" t="n">
        <v>3.1</v>
      </c>
      <c r="J2305" t="n">
        <v>0</v>
      </c>
      <c r="K2305" t="n">
        <v>0</v>
      </c>
      <c r="L2305" t="n">
        <v>0</v>
      </c>
      <c r="M2305" t="n">
        <v>0</v>
      </c>
      <c r="N2305" t="n">
        <v>0</v>
      </c>
      <c r="O2305" t="n">
        <v>0</v>
      </c>
      <c r="P2305" t="n">
        <v>0</v>
      </c>
      <c r="Q2305" t="n">
        <v>0</v>
      </c>
      <c r="R2305" t="n">
        <v>0</v>
      </c>
      <c r="S2305" t="n">
        <v>0</v>
      </c>
      <c r="T2305" t="n">
        <v>0</v>
      </c>
      <c r="U2305" s="2" t="inlineStr"/>
    </row>
    <row r="2306">
      <c r="A2306" t="inlineStr">
        <is>
          <t>S 1515-2026</t>
        </is>
      </c>
      <c r="B2306" t="inlineStr">
        <is>
          <t>samrådsanmälan</t>
        </is>
      </c>
      <c r="C2306" t="inlineStr">
        <is>
          <t>Askåterföring</t>
        </is>
      </c>
      <c r="D2306" s="1" t="n">
        <v>46164</v>
      </c>
      <c r="E2306" s="1" t="n">
        <v>46216</v>
      </c>
      <c r="F2306" t="inlineStr">
        <is>
          <t>BLEKINGE LÄN</t>
        </is>
      </c>
      <c r="G2306" t="inlineStr">
        <is>
          <t>KARLSKRONA</t>
        </is>
      </c>
      <c r="I2306" t="n">
        <v>20.2</v>
      </c>
      <c r="J2306" t="n">
        <v>0</v>
      </c>
      <c r="K2306" t="n">
        <v>0</v>
      </c>
      <c r="L2306" t="n">
        <v>0</v>
      </c>
      <c r="M2306" t="n">
        <v>0</v>
      </c>
      <c r="N2306" t="n">
        <v>0</v>
      </c>
      <c r="O2306" t="n">
        <v>0</v>
      </c>
      <c r="P2306" t="n">
        <v>0</v>
      </c>
      <c r="Q2306" t="n">
        <v>0</v>
      </c>
      <c r="R2306" t="n">
        <v>0</v>
      </c>
      <c r="S2306" t="n">
        <v>0</v>
      </c>
      <c r="T2306" t="n">
        <v>0</v>
      </c>
      <c r="U23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2026-07-13T14:48:27Z</dcterms:created>
  <dcterms:modified xmlns:dcterms="http://purl.org/dc/terms/" xmlns:xsi="http://www.w3.org/2001/XMLSchema-instance" xsi:type="dcterms:W3CDTF">2026-07-13T14:48:30Z</dcterms:modified>
</cp:coreProperties>
</file>