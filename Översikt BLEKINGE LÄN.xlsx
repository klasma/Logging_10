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45752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45752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45752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45752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45752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45752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45752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45752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45752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45752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45752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45752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45752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45752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45752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45752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45752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45752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45752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45752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45752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45752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45752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45752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45752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45752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45752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45752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45752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45752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45752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45752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45752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45752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45752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45752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45752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45752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45752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45752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45752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45752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45752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45752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45752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45752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45752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45752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45752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45752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45752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45752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45752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45752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45752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45752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45752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45752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45752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45752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45752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45752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45752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45752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45752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45752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45752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45752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45752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45752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45752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45752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45752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45752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45752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45752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45752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45752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45752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45752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45752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45752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45752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45752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45752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45752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45752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45752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45752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45752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45752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45752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45752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45752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45752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45752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45752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HYPERLINK("https://klasma.github.io/Logging_101060/artfynd/A 10139-2025 artfynd.xlsx", "A 10139-2025")</f>
        <v/>
      </c>
      <c r="T125">
        <f>HYPERLINK("https://klasma.github.io/Logging_101060/kartor/A 10139-2025 karta.png", "A 10139-2025")</f>
        <v/>
      </c>
      <c r="V125">
        <f>HYPERLINK("https://klasma.github.io/Logging_101060/klagomål/A 10139-2025 FSC-klagomål.docx", "A 10139-2025")</f>
        <v/>
      </c>
      <c r="W125">
        <f>HYPERLINK("https://klasma.github.io/Logging_101060/klagomålsmail/A 10139-2025 FSC-klagomål mail.docx", "A 10139-2025")</f>
        <v/>
      </c>
      <c r="X125">
        <f>HYPERLINK("https://klasma.github.io/Logging_101060/tillsyn/A 10139-2025 tillsynsbegäran.docx", "A 10139-2025")</f>
        <v/>
      </c>
      <c r="Y125">
        <f>HYPERLINK("https://klasma.github.io/Logging_101060/tillsynsmail/A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45752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HYPERLINK("https://klasma.github.io/Logging_101081/artfynd/A 10323-2025 artfynd.xlsx", "A 10323-2025")</f>
        <v/>
      </c>
      <c r="T126">
        <f>HYPERLINK("https://klasma.github.io/Logging_101081/kartor/A 10323-2025 karta.png", "A 10323-2025")</f>
        <v/>
      </c>
      <c r="V126">
        <f>HYPERLINK("https://klasma.github.io/Logging_101081/klagomål/A 10323-2025 FSC-klagomål.docx", "A 10323-2025")</f>
        <v/>
      </c>
      <c r="W126">
        <f>HYPERLINK("https://klasma.github.io/Logging_101081/klagomålsmail/A 10323-2025 FSC-klagomål mail.docx", "A 10323-2025")</f>
        <v/>
      </c>
      <c r="X126">
        <f>HYPERLINK("https://klasma.github.io/Logging_101081/tillsyn/A 10323-2025 tillsynsbegäran.docx", "A 10323-2025")</f>
        <v/>
      </c>
      <c r="Y126">
        <f>HYPERLINK("https://klasma.github.io/Logging_101081/tillsynsmail/A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45752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HYPERLINK("https://klasma.github.io/Logging_101081/artfynd/A 10862-2025 artfynd.xlsx", "A 10862-2025")</f>
        <v/>
      </c>
      <c r="T127">
        <f>HYPERLINK("https://klasma.github.io/Logging_101081/kartor/A 10862-2025 karta.png", "A 10862-2025")</f>
        <v/>
      </c>
      <c r="V127">
        <f>HYPERLINK("https://klasma.github.io/Logging_101081/klagomål/A 10862-2025 FSC-klagomål.docx", "A 10862-2025")</f>
        <v/>
      </c>
      <c r="W127">
        <f>HYPERLINK("https://klasma.github.io/Logging_101081/klagomålsmail/A 10862-2025 FSC-klagomål mail.docx", "A 10862-2025")</f>
        <v/>
      </c>
      <c r="X127">
        <f>HYPERLINK("https://klasma.github.io/Logging_101081/tillsyn/A 10862-2025 tillsynsbegäran.docx", "A 10862-2025")</f>
        <v/>
      </c>
      <c r="Y127">
        <f>HYPERLINK("https://klasma.github.io/Logging_101081/tillsynsmail/A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45752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HYPERLINK("https://klasma.github.io/Logging_101060/artfynd/A 12792-2025 artfynd.xlsx", "A 12792-2025")</f>
        <v/>
      </c>
      <c r="T128">
        <f>HYPERLINK("https://klasma.github.io/Logging_101060/kartor/A 12792-2025 karta.png", "A 12792-2025")</f>
        <v/>
      </c>
      <c r="V128">
        <f>HYPERLINK("https://klasma.github.io/Logging_101060/klagomål/A 12792-2025 FSC-klagomål.docx", "A 12792-2025")</f>
        <v/>
      </c>
      <c r="W128">
        <f>HYPERLINK("https://klasma.github.io/Logging_101060/klagomålsmail/A 12792-2025 FSC-klagomål mail.docx", "A 12792-2025")</f>
        <v/>
      </c>
      <c r="X128">
        <f>HYPERLINK("https://klasma.github.io/Logging_101060/tillsyn/A 12792-2025 tillsynsbegäran.docx", "A 12792-2025")</f>
        <v/>
      </c>
      <c r="Y128">
        <f>HYPERLINK("https://klasma.github.io/Logging_101060/tillsynsmail/A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45752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45752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45752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45752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45752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45752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45752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45752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45752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45752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45752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45752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45752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45752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45752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45752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45752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45752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45752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45752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45752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45752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45752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45752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45752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45752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45752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45752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45752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45752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45752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45752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45752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45752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45752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45752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45752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45752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45752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45752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45752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45752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45752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45752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45752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45752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45752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45752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45752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45752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45752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45752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45752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45752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45752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45752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45752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45752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45752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45752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45752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45752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45752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45752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45752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45752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45752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45752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45752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45752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45752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45752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45752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45752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45752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45752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45752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45752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45752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45752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45752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45752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45752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45752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45752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45752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45752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45752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45752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45752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45752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45752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45752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45752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45752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45752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45752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45752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45752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45752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45752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45752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45752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45752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45752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45752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45752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45752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45752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45752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45752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45752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45752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45752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45752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45752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45752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45752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45752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45752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45752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45752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45752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45752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45752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45752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45752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45752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45752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45752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45752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45752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45752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45752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45752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45752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45752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45752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45752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45752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45752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45752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45752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45752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45752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45752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45752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45752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45752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45752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45752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45752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45752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45752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45752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45752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45752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45752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45752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45752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45752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45752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45752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45752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45752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45752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45752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45752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45752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45752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45752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45752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45752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45752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45752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45752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45752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45752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45752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45752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45752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45752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45752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45752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45752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45752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45752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45752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45752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45752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45752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45752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45752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45752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45752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45752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45752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45752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45752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45752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45752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45752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45752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45752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45752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45752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45752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45752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45752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45752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45752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45752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45752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45752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45752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45752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45752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45752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45752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45752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45752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45752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45752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45752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45752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45752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45752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45752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45752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45752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45752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45752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45752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45752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45752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45752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45752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45752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45752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45752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45752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45752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45752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45752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45752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45752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45752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45752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45752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45752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45752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45752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45752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45752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45752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45752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45752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45752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45752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45752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45752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45752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45752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45752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45752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45752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45752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45752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45752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45752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45752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45752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45752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45752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45752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45752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45752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45752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45752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45752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45752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45752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45752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45752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45752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45752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45752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45752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45752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45752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45752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45752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45752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45752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45752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45752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45752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45752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45752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45752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45752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45752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45752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45752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45752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45752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45752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45752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45752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45752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45752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45752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45752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45752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45752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45752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45752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45752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45752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45752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45752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45752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45752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45752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45752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45752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45752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45752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45752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45752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45752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45752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45752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45752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45752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45752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45752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45752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45752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45752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45752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45752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45752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45752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45752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45752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45752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45752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45752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45752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45752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45752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45752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45752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45752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45752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45752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45752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45752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45752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45752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45752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45752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45752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45752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45752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45752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45752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45752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45752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45752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45752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45752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45752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45752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45752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45752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45752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45752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45752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45752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45752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45752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45752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45752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45752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45752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45752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45752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45752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45752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45752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45752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45752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45752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45752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45752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45752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45752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45752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45752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45752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45752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45752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45752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45752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45752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45752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45752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45752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45752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45752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45752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45752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45752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45752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45752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45752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45752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45752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45752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45752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45752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45752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45752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45752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45752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45752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45752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45752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45752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45752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45752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45752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45752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45752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45752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45752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45752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45752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45752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45752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45752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45752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45752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45752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45752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45752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45752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45752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45752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45752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45752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45752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45752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45752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45752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45752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45752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45752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45752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45752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45752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45752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45752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45752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45752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45752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45752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45752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45752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45752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45752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45752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45752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45752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45752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45752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45752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45752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45752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45752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45752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45752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45752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45752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45752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45752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45752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45752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45752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45752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45752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45752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45752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45752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45752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45752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45752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45752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45752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45752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45752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45752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45752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45752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45752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45752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45752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45752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45752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45752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45752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45752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45752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45752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45752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45752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45752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45752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45752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45752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45752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45752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45752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45752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45752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45752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45752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45752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45752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45752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45752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45752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45752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45752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45752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45752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45752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45752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45752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45752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45752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45752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45752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45752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45752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45752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45752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45752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45752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45752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45752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45752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45752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45752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45752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45752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45752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45752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45752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45752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45752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45752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45752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45752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45752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45752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45752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45752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45752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45752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45752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45752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45752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45752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45752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45752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45752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45752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45752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45752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45752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45752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45752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45752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45752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45752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45752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45752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45752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45752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45752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45752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45752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45752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45752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45752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45752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45752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45752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45752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45752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45752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45752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45752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45752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45752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45752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45752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45752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45752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45752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45752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45752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45752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45752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45752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45752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45752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45752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45752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45752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45752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45752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45752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45752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45752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45752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45752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45752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45752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45752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45752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45752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45752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45752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45752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45752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45752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45752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45752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45752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45752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45752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45752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45752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45752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45752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45752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45752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45752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45752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45752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45752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45752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45752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45752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45752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45752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45752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45752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45752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45752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45752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45752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45752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45752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45752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45752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45752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45752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45752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45752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45752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45752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45752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45752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45752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45752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45752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45752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45752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45752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45752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45752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45752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45752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45752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45752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45752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45752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45752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45752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45752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45752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45752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45752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45752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45752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45752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45752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45752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45752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45752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45752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45752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45752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45752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45752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45752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45752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45752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45752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45752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45752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45752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45752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45752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45752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45752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45752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45752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45752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45752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45752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45752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45752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45752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45752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45752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45752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45752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45752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45752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45752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45752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45752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45752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45752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45752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45752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45752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45752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45752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45752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45752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45752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45752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45752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45752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45752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45752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45752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45752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45752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45752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45752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45752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45752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45752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45752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45752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45752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45752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45752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45752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45752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45752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45752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45752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45752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45752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45752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45752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45752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45752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45752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45752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45752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45752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45752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45752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45752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45752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45752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45752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45752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45752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45752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45752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45752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45752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45752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45752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45752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45752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45752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45752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45752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45752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45752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45752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45752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45752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45752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45752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45752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45752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45752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45752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45752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45752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45752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45752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45752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45752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45752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45752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45752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45752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45752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45752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45752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45752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45752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45752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45752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45752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45752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45752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45752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45752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45752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45752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45752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45752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45752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45752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45752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45752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45752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45752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45752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45752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45752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45752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45752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45752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45752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45752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45752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45752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45752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45752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45752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45752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45752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45752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45752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45752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45752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45752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45752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45752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45752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45752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45752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45752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45752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45752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45752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45752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45752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45752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45752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45752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45752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45752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45752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45752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45752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45752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45752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45752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45752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45752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45752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45752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45752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45752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45752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45752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45752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45752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45752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45752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45752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45752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45752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45752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45752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45752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45752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45752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45752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45752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45752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45752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45752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45752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45752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45752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45752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45752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45752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45752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45752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45752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45752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45752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45752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45752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45752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45752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45752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45752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45752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45752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45752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45752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45752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45752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45752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45752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45752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45752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45752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45752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45752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45752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45752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45752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45752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45752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45752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45752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45752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45752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45752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45752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45752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45752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45752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45752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45752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45752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45752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45752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45752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45752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45752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45752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45752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45752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45752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45752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45752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45752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45752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45752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45752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45752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45752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45752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45752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45752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45752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45752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45752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45752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45752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45752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45752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45752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45752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45752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45752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45752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45752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45752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45752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45752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45752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45752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45752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45752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45752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45752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45752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45752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45752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45752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45752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45752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45752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45752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45752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45752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45752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45752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45752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45752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45752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45752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45752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45752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45752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45752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45752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45752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45752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45752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45752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45752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45752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45752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45752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45752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45752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45752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45752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45752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45752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45752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45752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45752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45752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45752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45752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45752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45752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45752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45752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45752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45752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45752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45752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45752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45752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45752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45752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45752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45752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45752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45752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45752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45752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45752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45752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45752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45752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45752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45752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45752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45752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45752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45752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45752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45752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45752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45752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45752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45752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45752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45752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45752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45752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45752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45752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45752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45752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45752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45752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45752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45752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45752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45752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45752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45752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45752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45752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45752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45752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45752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45752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45752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45752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45752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45752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45752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45752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45752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45752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45752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45752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45752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45752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45752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45752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45752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45752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45752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45752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45752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45752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45752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45752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45752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45752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45752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45752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45752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45752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45752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45752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45752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45752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45752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45752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45752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45752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45752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45752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45752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45752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45752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45752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45752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45752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45752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45752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45752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45752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45752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45752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45752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45752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45752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45752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45752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45752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45752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45752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45752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45752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45752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45752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45752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45752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45752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45752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45752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45752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45752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45752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45752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45752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45752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45752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45752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45752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45752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45752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45752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45752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45752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45752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45752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45752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45752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45752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45752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45752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45752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45752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45752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45752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45752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45752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45752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45752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45752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45752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45752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45752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45752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45752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45752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45752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45752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45752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45752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45752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45752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45752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45752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45752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45752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45752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45752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45752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45752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45752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45752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45752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45752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45752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45752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45752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45752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45752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45752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45752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45752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45752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45752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45752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45752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45752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45752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45752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45752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45752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45752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45752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45752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45752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45752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45752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45752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45752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45752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45752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45752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45752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45752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45752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45752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45752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45752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45752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45752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45752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45752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45752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45752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45752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45752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45752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45752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45752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45752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45752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45752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45752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45752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45752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45752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45752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45752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45752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45752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45752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45752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45752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45752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45752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45752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45752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45752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45752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45752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45752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45752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45752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45752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45752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45752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45752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45752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45752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45752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45752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45752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45752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45752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45752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45752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45752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45752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45752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45752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45752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45752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45752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45752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45752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45752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45752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45752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45752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45752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45752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45752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45752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45752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45752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45752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45752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45752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45752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45752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45752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45752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45752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45752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45752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45752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45752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45752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45752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45752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45752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45752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45752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45752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45752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45752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45752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45752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45752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45752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45752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45752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45752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45752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45752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45752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45752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45752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45752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45752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45752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45752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45752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45752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45752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45752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45752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45752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45752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45752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45752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45752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45752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45752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45752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45752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45752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45752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45752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45752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45752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45752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45752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45752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45752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45752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45752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45752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45752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45752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45752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45752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45752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45752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45752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45752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45752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45752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45752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45752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45752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45752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45752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45752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45752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45752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45752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45752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45752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45752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45752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45752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45752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45752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45752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45752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45752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45752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45752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45752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45752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45752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45752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45752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45752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45752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45752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45752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45752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45752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45752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45752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45752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45752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45752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45752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45752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45752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45752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45752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45752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45752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45752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45752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45752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45752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45752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45752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45752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45752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45752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45752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45752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45752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45752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45752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45752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45752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45752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45752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45752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45752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45752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45752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45752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45752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45752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45752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45752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45752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45752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45752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45752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45752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45752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45752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45752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45752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45752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45752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45752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45752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45752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45752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45752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45752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45752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45752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45752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45752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45752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45752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45752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45752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45752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45752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45752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45752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45752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45752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45752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45752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45752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45752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45752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45752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45752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45752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45752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45752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45752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45752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45752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45752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45752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45752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45752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45752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45752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45752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45752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45752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45752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45752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45752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45752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45752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45752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45752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45752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45752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45752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45752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45752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45752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45752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45752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45752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45752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45752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45752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45752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45752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45752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45752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45752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45752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45752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45752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45752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45752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45752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45752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45752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45752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45752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45752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45752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45752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45752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45752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45752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45752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45752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45752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45752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45752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45752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45752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45752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45752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45752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45752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45752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45752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45752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45752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45752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45752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45752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45752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45752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45752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45752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45752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45752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45752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45752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45752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45752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45752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45752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45752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45752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45752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45752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45752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45752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45752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45752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45752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45752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45752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45752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45752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45752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45752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45752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45752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45752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45752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45752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45752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45752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45752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45752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45752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45752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45752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45752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45752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45752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45752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45752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45752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45752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45752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45752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45752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45752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45752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45752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45752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45752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45752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45752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45752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45752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45752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45752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45752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45752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45752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45752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45752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45752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45752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45752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45752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45752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45752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45752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45752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45752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45752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45752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45752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45752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45752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45752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45752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45752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45752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45752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45752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45752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45752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45752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45752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45752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45752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45752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45752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45752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45752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45752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45752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45752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45752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45752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45752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45752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45752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45752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45752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45752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45752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45752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45752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45752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45752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45752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45752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45752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45752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45752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45752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45752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45752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45752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45752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45752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45752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45752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45752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45752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45752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45752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45752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45752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45752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45752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45752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45752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45752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45752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45752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45752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45752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45752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45752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45752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45752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45752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45752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45752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45752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45752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45752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45752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45752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45752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45752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45752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45752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45752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45752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45752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45752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45752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45752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45752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45752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45752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45752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45752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45752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45752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45752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45752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45752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45752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45752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45752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45752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45752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45752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45752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45752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45752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45752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45752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45752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45752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45752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45752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45752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45752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45752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45752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45752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45752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45752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45752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45752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45752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45752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45752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45752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45752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45752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45752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45752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45752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45752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45752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45752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45752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45752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45752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45752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45752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45752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45752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45752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45752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45752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45752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45752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45752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45752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45752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45752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45752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45752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45752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45752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45752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45752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45752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45752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45752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45752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45752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45752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45752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45752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45752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45752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45752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45752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45752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45752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45752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45752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45752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45752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45752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45752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45752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45752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45752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45752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45752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45752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45752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45752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45752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45752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45752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45752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45752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45752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45752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45752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45752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45752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45752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45752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45752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45752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45752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45752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45752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45752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45752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45752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45752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45752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45752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45752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45752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45752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45752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45752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45752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45752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45752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45752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45752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45752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45752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45752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45752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45752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45752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45752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45752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45752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45752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45752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45752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45752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45752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45752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45752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45752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45752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45752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45752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45752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45752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45752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45752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45752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45752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45752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45752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45752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45752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45752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45752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45752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45752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45752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45752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45752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45752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45752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45752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45752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45752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45752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45752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45752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45752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45752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45752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45752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45752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45752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45752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45752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45752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45752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45752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45752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45752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45752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45752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45752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45752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45752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45752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45752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45752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45752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45752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45752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45752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45752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45752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45752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45752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45752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45752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45752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45752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45752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45752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45752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45752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45752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45752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45752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45752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45752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45752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45752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45752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45752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45752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45752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45752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45752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45752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45752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45752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45752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45752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45752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45752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45752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45752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45752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45752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45752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45752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45752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45752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45752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45752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45752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45752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45752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45752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45752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45752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45752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45752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45752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45752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45752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45752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45752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45752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45752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45752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45752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45752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45752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45752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45752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45752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45752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45752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45752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45752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45752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45752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45752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45752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45752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45752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45752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45752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45752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45752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45752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45752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45752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45752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45752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45752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45752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45752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45752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45752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45752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45752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45752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45752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45752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45752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45752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45752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45752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45752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45752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45752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45752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45752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45752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45752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45752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45752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45752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45752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45752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45752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45752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45752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45752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45752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45752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45752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45752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45752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45752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45752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45752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45752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45752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45752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45752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45752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45752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45752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45752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45752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45752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45752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45752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45752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45752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45752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45752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45752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45752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45752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45752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45752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45752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45752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45752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45752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45752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45752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45752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45752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45752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45752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45752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45752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45752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45752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45752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45752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45752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45752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45752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45752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45752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45752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45752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45752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45752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45752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45752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45752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45752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45752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45752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45752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45752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45752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45752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45752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45752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45752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45752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45752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45752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45752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45752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45752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45752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45752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45752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45752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45752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45752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45752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45752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45752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45752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45752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45752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45752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45752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45752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45752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45752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45752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45752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45752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45752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45752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45752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45752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45752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45752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45752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45752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45752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45752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45752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45752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45752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45752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45752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45752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45752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45752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45752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45752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45752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45752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45752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45752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45752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45752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45752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45752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45752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45752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45752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45752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45752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45752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45752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45752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45752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45752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45752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45752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45752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45752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45752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45752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45752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45752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45752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45752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45752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45752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45752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45752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45752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45752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45752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45752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45752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45752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45752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45752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45752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45752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45752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45752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45752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45752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45752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45752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45752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45752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45752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45752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45752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45752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45752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45752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45752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45752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45752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45752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45752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45752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45752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45752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45752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45752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45752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45752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45752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45752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45752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45752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45752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45752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45752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45752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45752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45752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45752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45752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45752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45752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45752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45752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45752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45752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45752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45752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45752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45752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45752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45752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45752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45752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45752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45752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45752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45752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45752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45752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45752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45752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45752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45752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45752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45752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45752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45752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45752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45752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45752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45752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45752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45752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45752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45752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45752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45752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45752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45752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45752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45752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45752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45752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45752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45752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45752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45752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45752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45752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45752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45752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45752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45752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45752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45752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45752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45752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45752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45752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45752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45752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45752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45752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45752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45752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45752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45752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45752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45752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45752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45752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45752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45752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45752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45752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45752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45752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45752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45752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45752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45752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45752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45752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45752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45752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45752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45752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45752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45752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45752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45752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45752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45752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45752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45752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45752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45752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45752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45752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45752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45752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45752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45752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45752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45752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45752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45752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45752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45752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45752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45752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45752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45752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45752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45752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45752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45752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45752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45752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45752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45752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45752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45752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45752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45752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45752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45752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45752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45752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45752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45752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45752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45752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45752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45752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45752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45752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45752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45752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45752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45752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45752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45752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45752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45752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45752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45752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45752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45752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45752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45752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45752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45752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45752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45752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45752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45752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45752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45752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45752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45752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45752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45752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45752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45752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45752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45752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45752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45752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45752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45752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45752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45752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45752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45752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45752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45752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45752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45752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45752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45752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45752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45752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45752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45752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45752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45752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45752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45752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45752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45752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45752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45752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45752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45752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45752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45752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45752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45752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45752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45752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45752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45752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45752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45752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45752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45752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45752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45752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45752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45752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45752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45752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45752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45752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45752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45752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45752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45752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45752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45752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45752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45752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45752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45752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45752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45752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45752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45752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45752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45752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45752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45752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45752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45752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45752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45752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45752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45752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45752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45752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45752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45752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45752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45752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45752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45752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45752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45752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45752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45752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45752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45752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45752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45752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45752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45752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45752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45752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45752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45752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45752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45752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45752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45752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45752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45752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45752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45752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45752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45752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45752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45752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45752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45752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45752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45752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45752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45752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45752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45752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45752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45752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45752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45752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45752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45752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45752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45752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45752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45752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45752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45752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45752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45752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45752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45752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45752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45752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45752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45752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45752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45752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45752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45752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45752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45752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45752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45752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45752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45752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45752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45752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45752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45752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45752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45752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45752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45752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45752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45752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45752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45752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45752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45752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45752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45752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45752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45752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45752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45752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45752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45752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45752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45752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45752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45752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45752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45752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45752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45752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45752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45752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45752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45752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45752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45752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45752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45752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45752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45752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45752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45752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45752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45752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45752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45752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45752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45752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45752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45752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45752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45752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45752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45752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45752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45752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45752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45752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45752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45752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45752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45752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45752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45752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45752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45752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45752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45752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45752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45752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45752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45752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45752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45752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45752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45752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45752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45752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45752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45752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45752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45752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45752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45752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45752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45752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45752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45752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45752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45752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45752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45752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45752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45752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45752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45752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45752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45752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45752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45752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45752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45752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45752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45752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45752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45752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45752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45752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45752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45752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45752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45752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45752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45752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45752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45752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45752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45752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45752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45752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45752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45752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45752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45752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45752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45752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45752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45752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45752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45752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45752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45752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45752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45752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45752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45752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45752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45752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45752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45752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45752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45752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45752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45752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45752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45752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45752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45752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45752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45752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45752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45752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45752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45752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45752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45752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45752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45752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45752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45752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45752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45752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45752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45752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45752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45752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45752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45752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45752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45752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45752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45752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45752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45752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45752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45752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45752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45752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45752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45752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45752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45752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45752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45752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45752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45752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45752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45752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45752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45752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45752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45752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45752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45752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45752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45752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45752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45752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45752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45752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45752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45752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45752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45752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45752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45752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45752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45752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45752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45752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45752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45752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45752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45752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45752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45752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45752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45752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45752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45752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45752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45752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45752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45752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45752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45752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45752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45752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45752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45752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45752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45752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45752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45752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45752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45752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45752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45752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45752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45752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45752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45752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45752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45752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45752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45752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45752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45752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45752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45752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45752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45752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45752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45752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45752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45752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45752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45752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45752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45752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45752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45752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45752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45752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45752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45752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45752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45752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45752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45752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45752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45752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45752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45752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45752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45752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45752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45752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45752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45752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45752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45752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45752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45752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45752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45752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45752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45752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45752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45752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45752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45752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45752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45752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45752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45752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45752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45752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45752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45752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45752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45752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45752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45752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45752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45752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45752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45752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45752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45752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45752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45752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45752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45752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45752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45752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45752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45752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45752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45752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45752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45752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45752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45752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45752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45752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45752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45752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45752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45752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45752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45752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45752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45752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45752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45752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45752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45752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45752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45752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45752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45752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45752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45752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45752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45752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45752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45752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45752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45752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45752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45752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45752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45752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45752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45752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45752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45752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45752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45752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45752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45752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45752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45752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45752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45752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45752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45752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45752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45752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45752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45752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45752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45752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45752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45752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45752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45752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45752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45752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45752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45752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45752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45752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45752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45752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45752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45752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45752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45752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45752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45752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45752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45752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45752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45752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45752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45752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45752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45752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45752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45752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45752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45752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45752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45752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45752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45752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45752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45752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45752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45752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45752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45752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45752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45752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45752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45752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45752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45752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45752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45752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45752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45752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45752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45752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45752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45752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45752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45752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45752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45752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45752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45752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45752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45752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45752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45752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45752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45752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45752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45752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45752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45752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45752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45752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45752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45752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45752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45752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45752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45752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45752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45752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45752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45752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45752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45752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45752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45752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45752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45752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45752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45752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45752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45752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45752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45752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45752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45752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45752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45752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45752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45752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45752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45752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45752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45752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45752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45752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45752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45752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45752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45752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45752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45752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45752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45752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45752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45752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45752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45752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45752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45752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45752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45752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45752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45752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45752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45752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45752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45752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45752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45752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45752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45752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45752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45752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45752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45752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45752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45752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45752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45752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45752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45752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45752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45752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45752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45752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45752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45752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45752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45752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45752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45752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45752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45752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45752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45752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45752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45752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45752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45752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45752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45752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45752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45752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45752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45752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45752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45752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45752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45752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45752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45752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45752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45752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45752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45752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45752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45752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45752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45752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45752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45752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45752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45752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45752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45752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45752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45752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45752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45752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45752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45752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45752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45752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45752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45752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45752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45752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45752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45752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45752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45752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45752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45752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45752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45752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45752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45752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45752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45752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45752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45752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45752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45752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45752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45752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45752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45752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45752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45752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45752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45752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45752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45752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45752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45752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45752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45752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45752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45752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45752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45752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45752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45752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45752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45752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45752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45752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45752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45752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45752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45752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45752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45752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45752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45752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45752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45752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45752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45752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45752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45752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45752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45752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45752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45752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45752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45752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45752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45752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45752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45752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45752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45752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45752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45752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45752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45752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45752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45752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45752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45752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45752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45752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45752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45752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45752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45752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45752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45752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45752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45752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45752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45752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45752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45752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45752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45752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45752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45752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45752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45752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45752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45752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45752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45752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45752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45752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45752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45752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45752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45752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45752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45752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45752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45752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45752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45752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45752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45752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45752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45752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45752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45752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45752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45752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45752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45752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45752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45752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45752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45752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45752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45752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45752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45752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45752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45752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45752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45752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45752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45752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45752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45752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45752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45752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45752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45752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45752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45752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45752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45752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45752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45752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45752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45752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45752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45752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45752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45752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45752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45752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45752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45752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45752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45752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45752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45752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45752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45752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45752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45752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45752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45752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45752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45752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45752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45752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45752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45752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45752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45752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45752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45752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45752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45752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45752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45752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45752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45752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45752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45752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45752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45752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45752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45752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45752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45752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45752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45752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45752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45752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45752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45752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45752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45752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45752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45752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45752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45752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45752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45752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45752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45752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45752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45752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45752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45752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45752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45752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45752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45752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45752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45752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45752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45752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45752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45752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45752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45752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45752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45752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45752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45752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45752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45752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45752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45752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45752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45752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45752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45752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45752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45752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45752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45752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45752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45752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45752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45752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45752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45752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45752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45752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45752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45752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45752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45752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45752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45752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45752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45752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45752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45752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45752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45752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45752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45752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45752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45752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45752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45752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45752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45752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45752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45752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45752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45752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45752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45752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45752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45752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45752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45752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45752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45752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45752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45752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45752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45752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45752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45752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45752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45752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45752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45752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45752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45752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45752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45752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45752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45752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45752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45752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45752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45752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45752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45752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45752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45752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45752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45752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45752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45752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45752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45752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45752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45752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45752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45752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45752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45752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45752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45752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45752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45752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45752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45752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45752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45752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45752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45752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45752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45752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45752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45752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45752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45752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45752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45752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45752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45752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45752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45752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45752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45752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45752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45752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45752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45752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45752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45752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45752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45752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45752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45752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45752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45752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45752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45752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45752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45752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45752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45752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45752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45752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45752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45752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45752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45752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45752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45752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45752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45752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45752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45752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45752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45752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45752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45752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45752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45752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45752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45752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45752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45752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45752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45752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45752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45752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45752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45752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45752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45752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45752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45752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45752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45752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45752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45752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45752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45752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45752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45752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45752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45752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45752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45752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45752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45752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45752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45752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45752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45752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45752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45752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45752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45752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45752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45752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45752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45752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45752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45752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45752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45752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45752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45752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45752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45752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45752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45752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45752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45752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45752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45752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45752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45752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45752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45752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45752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45752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45752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45752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45752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45752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45752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45752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45752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45752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45752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45752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45752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45752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45752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45752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45752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45752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45752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45752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45752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45752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45752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45752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45752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45752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45752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45752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45752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45752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45752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45752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45752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45752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45752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45752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45752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45752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45752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45752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45752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45752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45752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45752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45752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45752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45752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45752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45752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45752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45752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45752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45752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45752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45752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45752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45752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45752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45752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45752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45752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45752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45752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45752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45752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45752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45752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45752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45752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45752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45752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45752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45752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45752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45752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45752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45752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45752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45752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45752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45752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45752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45752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45752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45752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45752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45752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45752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45752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45752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45752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45752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45752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45752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45752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45752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45752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45752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45752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45752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45752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45752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45752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45752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45752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45752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45752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45752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45752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45752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45752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45752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45752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45752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45752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45752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45752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45752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45752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45752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45752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45752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45752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45752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45752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45752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45752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45752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45752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45752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45752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45752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45752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45752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45752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45752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45752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45752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45752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45752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45752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45752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45752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45752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45752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45752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45752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45752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45752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45752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45752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45752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45752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45752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45752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45752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45752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45752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45752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45752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45752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45752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45752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45752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45752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45752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45752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45752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45752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45752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45752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45752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45752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45752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45752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45752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45752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45752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45752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45752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45752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45752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45752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45752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45752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45752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45752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45752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45752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45752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45752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45752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45752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45752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45752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45752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45752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45752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45752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45752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45752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45752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45752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45752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45752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45752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45752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45752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45752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45752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45752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45752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45752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45752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45752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45752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45752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45752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45752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45752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45752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45752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45752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45752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45752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45752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45752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45752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45752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45752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45752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45752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45752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45752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45752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45752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45752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45752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45752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45752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45752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45752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45752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45752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45752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45752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45752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45752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45752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45752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45752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45752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45752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45752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45752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45752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45752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45752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45752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45752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45752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45752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45752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45752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45752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45752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45752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45752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45752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45752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45752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45752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45752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45752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45752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45752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45752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45752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45752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45752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45752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45752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45752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45752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45752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45752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45752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45752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45752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45752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45752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45752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45752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45752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45752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45752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45752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45752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45752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45752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45752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45752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45752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45752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45752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45752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45752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45752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45752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45752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45752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45752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45752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45752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45752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45752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45752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45752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45752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45752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45752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45752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45752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45752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45752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45752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45752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45752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45752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45752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45752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45752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45752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45752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45752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45752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45752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45752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45752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45752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45752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45752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45752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45752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45752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45752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45752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45752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45752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45752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45752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45752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45752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45752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45752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45752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45752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45752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45752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45752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45752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45752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45752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45752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45752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45752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45752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45752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45752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45752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45752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45752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45752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45752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45752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45752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45752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45752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45752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45752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45752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45752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45752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45752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45752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45752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45752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45752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45752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45752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45752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45752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45752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45752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45752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45752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45752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45752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45752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45752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45752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45752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45752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45752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45752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45752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45752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45752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45752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45752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45752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45752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45752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45752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45752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45752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45752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45752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45752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45752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45752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45752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45752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45752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45752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45752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45752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45752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45752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45752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45752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45752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45752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45752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45752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45752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9654-2025</t>
        </is>
      </c>
      <c r="B4120" s="1" t="n">
        <v>45716</v>
      </c>
      <c r="C4120" s="1" t="n">
        <v>45752</v>
      </c>
      <c r="D4120" t="inlineStr">
        <is>
          <t>BLEKINGE LÄN</t>
        </is>
      </c>
      <c r="E4120" t="inlineStr">
        <is>
          <t>KARLSHAMN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45752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45752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45752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45752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45752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45752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10233-2025</t>
        </is>
      </c>
      <c r="B4127" s="1" t="n">
        <v>45719</v>
      </c>
      <c r="C4127" s="1" t="n">
        <v>45752</v>
      </c>
      <c r="D4127" t="inlineStr">
        <is>
          <t>BLEKINGE LÄN</t>
        </is>
      </c>
      <c r="E4127" t="inlineStr">
        <is>
          <t>KARLSKRONA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45752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45752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45752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45752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10144-2025</t>
        </is>
      </c>
      <c r="B4132" s="1" t="n">
        <v>45719</v>
      </c>
      <c r="C4132" s="1" t="n">
        <v>45752</v>
      </c>
      <c r="D4132" t="inlineStr">
        <is>
          <t>BLEKINGE LÄN</t>
        </is>
      </c>
      <c r="E4132" t="inlineStr">
        <is>
          <t>OLOFSTRÖM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45752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45752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45752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45752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45752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45752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45752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45752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45752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45752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45752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10936-2025</t>
        </is>
      </c>
      <c r="B4144" s="1" t="n">
        <v>45722</v>
      </c>
      <c r="C4144" s="1" t="n">
        <v>45752</v>
      </c>
      <c r="D4144" t="inlineStr">
        <is>
          <t>BLEKINGE LÄN</t>
        </is>
      </c>
      <c r="E4144" t="inlineStr">
        <is>
          <t>KARLSKRONA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45752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45752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45752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10702-2025</t>
        </is>
      </c>
      <c r="B4148" s="1" t="n">
        <v>45722</v>
      </c>
      <c r="C4148" s="1" t="n">
        <v>45752</v>
      </c>
      <c r="D4148" t="inlineStr">
        <is>
          <t>BLEKINGE LÄN</t>
        </is>
      </c>
      <c r="E4148" t="inlineStr">
        <is>
          <t>KARLSKRONA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45752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45752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11062-2025</t>
        </is>
      </c>
      <c r="B4151" s="1" t="n">
        <v>45723</v>
      </c>
      <c r="C4151" s="1" t="n">
        <v>45752</v>
      </c>
      <c r="D4151" t="inlineStr">
        <is>
          <t>BLEKINGE LÄN</t>
        </is>
      </c>
      <c r="E4151" t="inlineStr">
        <is>
          <t>OLOFSTRÖM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45752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45752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45752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45752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45752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45752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45752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45752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45752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45752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45752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12059-2025</t>
        </is>
      </c>
      <c r="B4163" s="1" t="n">
        <v>45728</v>
      </c>
      <c r="C4163" s="1" t="n">
        <v>45752</v>
      </c>
      <c r="D4163" t="inlineStr">
        <is>
          <t>BLEKINGE LÄN</t>
        </is>
      </c>
      <c r="E4163" t="inlineStr">
        <is>
          <t>KARLSKRONA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45752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45752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45752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45752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12668-2025</t>
        </is>
      </c>
      <c r="B4168" s="1" t="n">
        <v>45733</v>
      </c>
      <c r="C4168" s="1" t="n">
        <v>45752</v>
      </c>
      <c r="D4168" t="inlineStr">
        <is>
          <t>BLEKINGE LÄN</t>
        </is>
      </c>
      <c r="E4168" t="inlineStr">
        <is>
          <t>KARLSKRONA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12718-2025</t>
        </is>
      </c>
      <c r="B4169" s="1" t="n">
        <v>45733</v>
      </c>
      <c r="C4169" s="1" t="n">
        <v>45752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12788-2025</t>
        </is>
      </c>
      <c r="B4170" s="1" t="n">
        <v>45733</v>
      </c>
      <c r="C4170" s="1" t="n">
        <v>45752</v>
      </c>
      <c r="D4170" t="inlineStr">
        <is>
          <t>BLEKINGE LÄN</t>
        </is>
      </c>
      <c r="E4170" t="inlineStr">
        <is>
          <t>OLOFSTRÖM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12672-2025</t>
        </is>
      </c>
      <c r="B4171" s="1" t="n">
        <v>45733</v>
      </c>
      <c r="C4171" s="1" t="n">
        <v>45752</v>
      </c>
      <c r="D4171" t="inlineStr">
        <is>
          <t>BLEKINGE LÄN</t>
        </is>
      </c>
      <c r="E4171" t="inlineStr">
        <is>
          <t>KARLSKRONA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45752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45752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12796-2025</t>
        </is>
      </c>
      <c r="B4174" s="1" t="n">
        <v>45733</v>
      </c>
      <c r="C4174" s="1" t="n">
        <v>45752</v>
      </c>
      <c r="D4174" t="inlineStr">
        <is>
          <t>BLEKINGE LÄN</t>
        </is>
      </c>
      <c r="E4174" t="inlineStr">
        <is>
          <t>OLOFSTRÖM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12896-2025</t>
        </is>
      </c>
      <c r="B4175" s="1" t="n">
        <v>45733</v>
      </c>
      <c r="C4175" s="1" t="n">
        <v>45752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45752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45752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45752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45752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45752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45752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45752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14136-2025</t>
        </is>
      </c>
      <c r="B4183" s="1" t="n">
        <v>45738</v>
      </c>
      <c r="C4183" s="1" t="n">
        <v>45752</v>
      </c>
      <c r="D4183" t="inlineStr">
        <is>
          <t>BLEKINGE LÄN</t>
        </is>
      </c>
      <c r="E4183" t="inlineStr">
        <is>
          <t>SÖLVESBORG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13983-2025</t>
        </is>
      </c>
      <c r="B4184" s="1" t="n">
        <v>45739</v>
      </c>
      <c r="C4184" s="1" t="n">
        <v>45752</v>
      </c>
      <c r="D4184" t="inlineStr">
        <is>
          <t>BLEKINGE LÄN</t>
        </is>
      </c>
      <c r="E4184" t="inlineStr">
        <is>
          <t>RONNEBY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45752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14224-2025</t>
        </is>
      </c>
      <c r="B4186" s="1" t="n">
        <v>45740</v>
      </c>
      <c r="C4186" s="1" t="n">
        <v>45752</v>
      </c>
      <c r="D4186" t="inlineStr">
        <is>
          <t>BLEKINGE LÄN</t>
        </is>
      </c>
      <c r="E4186" t="inlineStr">
        <is>
          <t>KARLSHAMN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45752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14351-2025</t>
        </is>
      </c>
      <c r="B4188" s="1" t="n">
        <v>45741</v>
      </c>
      <c r="C4188" s="1" t="n">
        <v>45752</v>
      </c>
      <c r="D4188" t="inlineStr">
        <is>
          <t>BLEKINGE LÄN</t>
        </is>
      </c>
      <c r="E4188" t="inlineStr">
        <is>
          <t>RONNEBY</t>
        </is>
      </c>
      <c r="F4188" t="inlineStr">
        <is>
          <t>Övriga Aktiebolag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14349-2025</t>
        </is>
      </c>
      <c r="B4189" s="1" t="n">
        <v>45741</v>
      </c>
      <c r="C4189" s="1" t="n">
        <v>45752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45752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45752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45752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45752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14659-2025</t>
        </is>
      </c>
      <c r="B4194" s="1" t="n">
        <v>45742</v>
      </c>
      <c r="C4194" s="1" t="n">
        <v>45752</v>
      </c>
      <c r="D4194" t="inlineStr">
        <is>
          <t>BLEKINGE LÄN</t>
        </is>
      </c>
      <c r="E4194" t="inlineStr">
        <is>
          <t>OLOFSTRÖM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14665-2025</t>
        </is>
      </c>
      <c r="B4195" s="1" t="n">
        <v>45742</v>
      </c>
      <c r="C4195" s="1" t="n">
        <v>45752</v>
      </c>
      <c r="D4195" t="inlineStr">
        <is>
          <t>BLEKINGE LÄN</t>
        </is>
      </c>
      <c r="E4195" t="inlineStr">
        <is>
          <t>OLOFSTRÖM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14790-2025</t>
        </is>
      </c>
      <c r="B4196" s="1" t="n">
        <v>45742</v>
      </c>
      <c r="C4196" s="1" t="n">
        <v>45752</v>
      </c>
      <c r="D4196" t="inlineStr">
        <is>
          <t>BLEKINGE LÄN</t>
        </is>
      </c>
      <c r="E4196" t="inlineStr">
        <is>
          <t>KARLSKRONA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45752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14644-2025</t>
        </is>
      </c>
      <c r="B4198" s="1" t="n">
        <v>45742</v>
      </c>
      <c r="C4198" s="1" t="n">
        <v>45752</v>
      </c>
      <c r="D4198" t="inlineStr">
        <is>
          <t>BLEKINGE LÄN</t>
        </is>
      </c>
      <c r="E4198" t="inlineStr">
        <is>
          <t>KARLSKRONA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14803-2025</t>
        </is>
      </c>
      <c r="B4199" s="1" t="n">
        <v>45743</v>
      </c>
      <c r="C4199" s="1" t="n">
        <v>45752</v>
      </c>
      <c r="D4199" t="inlineStr">
        <is>
          <t>BLEKINGE LÄN</t>
        </is>
      </c>
      <c r="E4199" t="inlineStr">
        <is>
          <t>RONNEBY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14816-2025</t>
        </is>
      </c>
      <c r="B4200" s="1" t="n">
        <v>45743</v>
      </c>
      <c r="C4200" s="1" t="n">
        <v>45752</v>
      </c>
      <c r="D4200" t="inlineStr">
        <is>
          <t>BLEKINGE LÄN</t>
        </is>
      </c>
      <c r="E4200" t="inlineStr">
        <is>
          <t>KARLSHAMN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14893-2025</t>
        </is>
      </c>
      <c r="B4201" s="1" t="n">
        <v>45743</v>
      </c>
      <c r="C4201" s="1" t="n">
        <v>45752</v>
      </c>
      <c r="D4201" t="inlineStr">
        <is>
          <t>BLEKINGE LÄN</t>
        </is>
      </c>
      <c r="E4201" t="inlineStr">
        <is>
          <t>RONNEBY</t>
        </is>
      </c>
      <c r="F4201" t="inlineStr">
        <is>
          <t>Kommuner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14938-2025</t>
        </is>
      </c>
      <c r="B4202" s="1" t="n">
        <v>45743</v>
      </c>
      <c r="C4202" s="1" t="n">
        <v>45752</v>
      </c>
      <c r="D4202" t="inlineStr">
        <is>
          <t>BLEKINGE LÄN</t>
        </is>
      </c>
      <c r="E4202" t="inlineStr">
        <is>
          <t>KARLSKRONA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15208-2025</t>
        </is>
      </c>
      <c r="B4203" s="1" t="n">
        <v>45744</v>
      </c>
      <c r="C4203" s="1" t="n">
        <v>45752</v>
      </c>
      <c r="D4203" t="inlineStr">
        <is>
          <t>BLEKINGE LÄN</t>
        </is>
      </c>
      <c r="E4203" t="inlineStr">
        <is>
          <t>KARLSHAMN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15293-2025</t>
        </is>
      </c>
      <c r="B4204" s="1" t="n">
        <v>45744</v>
      </c>
      <c r="C4204" s="1" t="n">
        <v>45752</v>
      </c>
      <c r="D4204" t="inlineStr">
        <is>
          <t>BLEKINGE LÄN</t>
        </is>
      </c>
      <c r="E4204" t="inlineStr">
        <is>
          <t>KARLSKRONA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15249-2025</t>
        </is>
      </c>
      <c r="B4205" s="1" t="n">
        <v>45744</v>
      </c>
      <c r="C4205" s="1" t="n">
        <v>45752</v>
      </c>
      <c r="D4205" t="inlineStr">
        <is>
          <t>BLEKINGE LÄN</t>
        </is>
      </c>
      <c r="E4205" t="inlineStr">
        <is>
          <t>KARLSKRONA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15583-2025</t>
        </is>
      </c>
      <c r="B4206" s="1" t="n">
        <v>45747</v>
      </c>
      <c r="C4206" s="1" t="n">
        <v>45752</v>
      </c>
      <c r="D4206" t="inlineStr">
        <is>
          <t>BLEKINGE LÄN</t>
        </is>
      </c>
      <c r="E4206" t="inlineStr">
        <is>
          <t>KARLSKRONA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15589-2025</t>
        </is>
      </c>
      <c r="B4207" s="1" t="n">
        <v>45747</v>
      </c>
      <c r="C4207" s="1" t="n">
        <v>45752</v>
      </c>
      <c r="D4207" t="inlineStr">
        <is>
          <t>BLEKINGE LÄN</t>
        </is>
      </c>
      <c r="E4207" t="inlineStr">
        <is>
          <t>KARLSKRONA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15456-2025</t>
        </is>
      </c>
      <c r="B4208" s="1" t="n">
        <v>45747</v>
      </c>
      <c r="C4208" s="1" t="n">
        <v>45752</v>
      </c>
      <c r="D4208" t="inlineStr">
        <is>
          <t>BLEKINGE LÄN</t>
        </is>
      </c>
      <c r="E4208" t="inlineStr">
        <is>
          <t>KARLSKRONA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15354-2025</t>
        </is>
      </c>
      <c r="B4209" s="1" t="n">
        <v>45747</v>
      </c>
      <c r="C4209" s="1" t="n">
        <v>45752</v>
      </c>
      <c r="D4209" t="inlineStr">
        <is>
          <t>BLEKINGE LÄN</t>
        </is>
      </c>
      <c r="E4209" t="inlineStr">
        <is>
          <t>OLOFSTRÖM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15561-2025</t>
        </is>
      </c>
      <c r="B4210" s="1" t="n">
        <v>45747</v>
      </c>
      <c r="C4210" s="1" t="n">
        <v>45752</v>
      </c>
      <c r="D4210" t="inlineStr">
        <is>
          <t>BLEKINGE LÄN</t>
        </is>
      </c>
      <c r="E4210" t="inlineStr">
        <is>
          <t>KARLSHAMN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15549-2025</t>
        </is>
      </c>
      <c r="B4211" s="1" t="n">
        <v>45747</v>
      </c>
      <c r="C4211" s="1" t="n">
        <v>45752</v>
      </c>
      <c r="D4211" t="inlineStr">
        <is>
          <t>BLEKINGE LÄN</t>
        </is>
      </c>
      <c r="E4211" t="inlineStr">
        <is>
          <t>KARLSKRONA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45752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15563-2025</t>
        </is>
      </c>
      <c r="B4213" s="1" t="n">
        <v>45747</v>
      </c>
      <c r="C4213" s="1" t="n">
        <v>45752</v>
      </c>
      <c r="D4213" t="inlineStr">
        <is>
          <t>BLEKINGE LÄN</t>
        </is>
      </c>
      <c r="E4213" t="inlineStr">
        <is>
          <t>RONNEBY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45752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45752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15821-2025</t>
        </is>
      </c>
      <c r="B4216" s="1" t="n">
        <v>45748</v>
      </c>
      <c r="C4216" s="1" t="n">
        <v>45752</v>
      </c>
      <c r="D4216" t="inlineStr">
        <is>
          <t>BLEKINGE LÄN</t>
        </is>
      </c>
      <c r="E4216" t="inlineStr">
        <is>
          <t>KARLSKRONA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15757-2025</t>
        </is>
      </c>
      <c r="B4217" s="1" t="n">
        <v>45748</v>
      </c>
      <c r="C4217" s="1" t="n">
        <v>45752</v>
      </c>
      <c r="D4217" t="inlineStr">
        <is>
          <t>BLEKINGE LÄN</t>
        </is>
      </c>
      <c r="E4217" t="inlineStr">
        <is>
          <t>RONNEBY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16060-2025</t>
        </is>
      </c>
      <c r="B4218" s="1" t="n">
        <v>45749</v>
      </c>
      <c r="C4218" s="1" t="n">
        <v>45752</v>
      </c>
      <c r="D4218" t="inlineStr">
        <is>
          <t>BLEKINGE LÄN</t>
        </is>
      </c>
      <c r="E4218" t="inlineStr">
        <is>
          <t>KARLSKRONA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16077-2025</t>
        </is>
      </c>
      <c r="B4219" s="1" t="n">
        <v>45749</v>
      </c>
      <c r="C4219" s="1" t="n">
        <v>45752</v>
      </c>
      <c r="D4219" t="inlineStr">
        <is>
          <t>BLEKINGE LÄN</t>
        </is>
      </c>
      <c r="E4219" t="inlineStr">
        <is>
          <t>KARLSKRONA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>
      <c r="A4220" t="inlineStr">
        <is>
          <t>A 16094-2025</t>
        </is>
      </c>
      <c r="B4220" s="1" t="n">
        <v>45749</v>
      </c>
      <c r="C4220" s="1" t="n">
        <v>45752</v>
      </c>
      <c r="D4220" t="inlineStr">
        <is>
          <t>BLEKINGE LÄN</t>
        </is>
      </c>
      <c r="E4220" t="inlineStr">
        <is>
          <t>RONNEBY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2025-04-05T16:45:35Z</dcterms:created>
  <dcterms:modified xmlns:dcterms="http://purl.org/dc/terms/" xmlns:xsi="http://www.w3.org/2001/XMLSchema-instance" xsi:type="dcterms:W3CDTF">2025-04-05T16:45:46Z</dcterms:modified>
</cp:coreProperties>
</file>