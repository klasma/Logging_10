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45565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45565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45565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45565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45565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45565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45565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45565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45565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45565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45565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45565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45565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45565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45565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45565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45565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45565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45565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45565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45565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45565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45565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45565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45565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45565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45565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45565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45565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45565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45565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45565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45565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45565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45565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45565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45565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45565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45565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45565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45565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45565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45565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45565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45565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45565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45565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45565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45565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45565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45565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45565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45565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45565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45565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45565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45565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45565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45565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45565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45565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45565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45565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45565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45565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45565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45565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45565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45565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45565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45565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45565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45565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45565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45565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45565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45565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45565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45565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45565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45565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45565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45565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45565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45565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45565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45565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45565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45565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45565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45565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45565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45565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45565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45565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45565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45565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45565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41053-2024</t>
        </is>
      </c>
      <c r="B102" s="1" t="n">
        <v>45559</v>
      </c>
      <c r="C102" s="1" t="n">
        <v>45565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Hårklomossa</t>
        </is>
      </c>
      <c r="S102">
        <f>HYPERLINK("https://klasma.github.io/Logging_1081/artfynd/A 41053-2024 artfynd.xlsx", "A 41053-2024")</f>
        <v/>
      </c>
      <c r="T102">
        <f>HYPERLINK("https://klasma.github.io/Logging_1081/kartor/A 41053-2024 karta.png", "A 41053-2024")</f>
        <v/>
      </c>
      <c r="V102">
        <f>HYPERLINK("https://klasma.github.io/Logging_1081/klagomål/A 41053-2024 FSC-klagomål.docx", "A 41053-2024")</f>
        <v/>
      </c>
      <c r="W102">
        <f>HYPERLINK("https://klasma.github.io/Logging_1081/klagomålsmail/A 41053-2024 FSC-klagomål mail.docx", "A 41053-2024")</f>
        <v/>
      </c>
      <c r="X102">
        <f>HYPERLINK("https://klasma.github.io/Logging_1081/tillsyn/A 41053-2024 tillsynsbegäran.docx", "A 41053-2024")</f>
        <v/>
      </c>
      <c r="Y102">
        <f>HYPERLINK("https://klasma.github.io/Logging_1081/tillsynsmail/A 41053-2024 tillsynsbegäran mail.docx", "A 41053-2024")</f>
        <v/>
      </c>
    </row>
    <row r="103" ht="15" customHeight="1">
      <c r="A103" t="inlineStr">
        <is>
          <t>A 41050-2024</t>
        </is>
      </c>
      <c r="B103" s="1" t="n">
        <v>45559</v>
      </c>
      <c r="C103" s="1" t="n">
        <v>45565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41050-2024 artfynd.xlsx", "A 41050-2024")</f>
        <v/>
      </c>
      <c r="T103">
        <f>HYPERLINK("https://klasma.github.io/Logging_1081/kartor/A 41050-2024 karta.png", "A 41050-2024")</f>
        <v/>
      </c>
      <c r="V103">
        <f>HYPERLINK("https://klasma.github.io/Logging_1081/klagomål/A 41050-2024 FSC-klagomål.docx", "A 41050-2024")</f>
        <v/>
      </c>
      <c r="W103">
        <f>HYPERLINK("https://klasma.github.io/Logging_1081/klagomålsmail/A 41050-2024 FSC-klagomål mail.docx", "A 41050-2024")</f>
        <v/>
      </c>
      <c r="X103">
        <f>HYPERLINK("https://klasma.github.io/Logging_1081/tillsyn/A 41050-2024 tillsynsbegäran.docx", "A 41050-2024")</f>
        <v/>
      </c>
      <c r="Y103">
        <f>HYPERLINK("https://klasma.github.io/Logging_1081/tillsynsmail/A 41050-2024 tillsynsbegäran mail.docx", "A 41050-2024")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45565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45565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45565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45565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45565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45565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45565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45565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45565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45565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45565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45565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45565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45565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45565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45565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45565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45565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45565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45565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45565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45565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45565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45565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45565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45565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45565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45565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45565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45565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45565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45565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45565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45565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45565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45565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45565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45565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45565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45565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45565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45565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45565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45565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45565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45565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45565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45565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45565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45565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45565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45565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45565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45565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45565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45565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45565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45565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45565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45565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45565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45565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45565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45565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45565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45565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45565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45565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45565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45565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45565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45565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45565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45565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45565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45565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45565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45565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45565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45565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45565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45565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45565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45565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45565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45565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45565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45565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45565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45565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45565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45565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45565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45565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45565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45565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45565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45565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45565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45565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45565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45565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45565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45565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45565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45565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45565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45565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45565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45565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45565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45565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45565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45565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45565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45565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45565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45565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45565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45565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45565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45565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45565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45565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45565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45565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45565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45565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45565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45565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45565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45565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45565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45565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45565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45565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45565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45565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45565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45565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45565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45565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45565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45565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45565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45565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45565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45565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45565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45565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45565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45565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45565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45565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45565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45565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45565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45565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45565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45565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45565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45565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45565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45565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45565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45565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45565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45565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45565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45565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45565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45565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45565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45565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45565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45565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45565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45565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45565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45565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45565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45565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45565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45565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45565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45565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45565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45565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45565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45565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45565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45565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45565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45565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45565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45565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45565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45565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45565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45565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45565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45565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45565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45565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45565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45565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45565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45565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45565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45565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45565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45565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45565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45565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45565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45565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45565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45565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45565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45565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45565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45565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45565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45565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45565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45565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45565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45565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45565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45565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45565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45565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45565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45565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45565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45565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45565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45565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45565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45565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45565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45565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45565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45565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45565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45565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45565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45565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45565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45565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45565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45565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45565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45565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45565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45565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45565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45565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45565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45565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45565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45565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45565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45565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45565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45565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45565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45565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45565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45565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45565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45565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45565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45565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45565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45565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45565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45565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45565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45565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45565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45565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45565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45565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45565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45565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45565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45565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45565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45565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45565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45565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45565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45565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45565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45565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45565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45565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45565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45565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45565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45565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45565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45565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45565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45565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45565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45565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45565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45565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45565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45565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45565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45565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45565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45565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45565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45565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45565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45565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45565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45565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45565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45565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45565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45565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45565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45565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45565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45565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45565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45565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45565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45565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45565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45565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45565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45565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45565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45565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45565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45565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45565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45565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45565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45565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45565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45565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45565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45565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45565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45565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45565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45565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45565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45565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45565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45565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45565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45565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45565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45565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45565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45565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45565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45565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45565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45565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45565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45565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45565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45565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45565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45565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45565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45565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45565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45565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45565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45565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45565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45565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45565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45565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45565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45565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45565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45565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45565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45565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45565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45565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45565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45565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45565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45565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45565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45565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45565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45565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45565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45565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45565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45565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45565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45565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45565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45565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45565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45565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45565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45565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45565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45565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45565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45565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45565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45565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45565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45565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45565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45565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45565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45565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45565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45565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45565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45565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45565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45565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45565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45565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45565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45565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45565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45565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45565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45565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45565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45565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45565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45565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45565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45565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45565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45565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45565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45565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45565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45565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45565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45565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45565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45565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45565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45565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45565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45565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45565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45565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45565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45565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45565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45565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45565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45565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45565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45565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45565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45565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45565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45565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45565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45565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45565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45565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45565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45565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45565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45565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45565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45565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45565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45565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45565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45565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45565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45565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45565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45565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45565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45565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45565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45565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45565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45565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45565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45565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45565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45565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45565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45565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45565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45565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45565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45565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45565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45565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45565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45565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45565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45565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45565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45565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45565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45565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45565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45565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45565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45565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45565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45565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45565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45565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45565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45565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45565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45565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45565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45565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45565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45565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45565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45565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45565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45565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45565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45565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45565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45565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45565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45565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45565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45565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45565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45565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45565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45565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45565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45565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45565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45565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45565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45565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45565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45565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45565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45565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45565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45565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45565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45565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45565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45565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45565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45565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45565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45565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45565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45565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45565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45565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45565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45565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45565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45565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45565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45565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45565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45565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45565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45565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45565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45565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45565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45565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45565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45565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45565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45565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45565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45565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45565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45565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45565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45565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45565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45565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45565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45565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45565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45565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45565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45565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45565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45565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45565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45565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45565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45565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45565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45565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45565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45565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45565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45565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45565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45565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45565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45565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45565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45565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45565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45565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45565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45565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45565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45565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45565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45565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45565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45565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45565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45565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45565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45565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45565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45565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45565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45565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45565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45565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45565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45565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45565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45565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45565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45565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45565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45565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45565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45565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45565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45565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45565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45565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45565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45565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45565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45565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45565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45565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45565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45565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45565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45565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45565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45565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45565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45565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45565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45565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45565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45565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45565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45565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45565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45565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45565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45565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45565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45565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45565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45565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45565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45565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45565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45565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45565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45565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45565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45565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45565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45565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45565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45565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45565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45565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45565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45565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45565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45565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45565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45565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45565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45565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45565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45565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45565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45565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45565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45565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45565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45565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45565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45565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45565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45565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45565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45565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45565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45565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45565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45565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45565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45565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45565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45565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45565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45565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45565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45565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45565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45565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45565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45565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45565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45565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45565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45565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45565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45565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45565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45565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45565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45565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45565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45565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45565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45565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45565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45565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45565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45565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45565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45565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45565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45565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45565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45565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45565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45565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45565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45565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45565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45565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45565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45565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45565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45565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45565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45565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45565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45565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45565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45565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45565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45565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45565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45565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45565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45565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45565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45565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45565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45565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45565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45565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45565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45565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45565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45565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45565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45565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45565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45565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45565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45565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45565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45565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45565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45565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45565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45565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45565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45565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45565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45565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45565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45565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45565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45565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45565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45565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45565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45565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45565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45565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45565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45565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45565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45565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45565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45565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45565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45565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45565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45565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45565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45565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45565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45565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45565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45565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45565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45565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45565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45565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45565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45565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45565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45565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45565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45565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45565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45565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45565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45565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45565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45565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45565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45565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45565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45565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45565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45565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45565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45565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45565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45565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45565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45565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45565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45565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45565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45565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45565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45565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45565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45565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45565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45565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45565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45565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45565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45565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45565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45565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45565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45565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45565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45565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45565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45565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45565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45565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45565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45565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45565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45565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45565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45565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45565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45565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45565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45565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45565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45565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45565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45565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45565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45565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45565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45565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45565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45565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45565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45565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45565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45565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45565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45565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45565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45565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45565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45565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45565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45565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45565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45565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45565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45565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45565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45565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45565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45565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45565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45565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45565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45565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45565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45565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45565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45565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45565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45565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45565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45565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45565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45565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45565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45565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45565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45565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45565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45565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45565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45565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45565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45565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45565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45565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45565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45565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45565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45565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45565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45565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45565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45565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45565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45565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45565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45565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45565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45565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45565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45565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45565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45565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45565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45565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45565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45565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45565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45565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45565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45565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45565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45565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45565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45565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45565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45565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45565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45565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45565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45565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45565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45565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45565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45565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45565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45565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45565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45565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45565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45565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45565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45565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45565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45565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45565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45565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45565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45565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45565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45565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45565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45565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45565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45565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45565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45565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45565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45565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45565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45565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45565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45565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45565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45565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45565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45565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45565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45565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45565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45565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45565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45565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45565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45565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45565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45565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45565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45565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45565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45565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45565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45565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45565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45565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45565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45565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45565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45565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45565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45565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45565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45565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45565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45565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45565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45565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45565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45565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45565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45565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45565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45565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45565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45565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45565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45565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45565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45565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45565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45565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45565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45565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45565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45565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45565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45565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45565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45565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45565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45565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45565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45565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45565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45565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45565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45565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45565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45565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45565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45565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45565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45565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45565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45565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45565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45565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45565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45565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45565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45565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45565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45565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45565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45565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45565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45565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45565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45565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45565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45565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45565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45565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45565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45565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45565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45565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45565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45565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45565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45565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45565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45565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45565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45565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45565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45565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45565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45565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45565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45565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45565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45565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45565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45565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45565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45565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45565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45565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45565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45565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45565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45565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45565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45565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45565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45565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45565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45565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45565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45565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45565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45565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45565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45565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45565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45565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45565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45565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45565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45565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45565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45565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45565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45565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45565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45565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45565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45565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45565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45565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45565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45565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45565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45565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45565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45565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45565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45565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45565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45565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45565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45565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45565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45565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45565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45565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45565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45565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45565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45565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45565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45565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45565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45565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45565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45565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45565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45565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45565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45565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45565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45565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45565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45565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45565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45565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45565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45565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45565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45565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45565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45565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45565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45565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45565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45565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45565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45565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45565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45565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45565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45565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45565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45565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45565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45565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45565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45565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45565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45565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45565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45565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45565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45565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45565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45565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45565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45565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45565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45565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45565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45565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45565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45565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45565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45565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45565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45565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45565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45565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45565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45565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45565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45565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45565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45565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45565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45565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45565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45565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45565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45565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45565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45565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45565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45565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45565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45565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45565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45565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45565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45565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45565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45565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45565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45565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45565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45565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45565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45565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45565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45565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45565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45565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45565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45565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45565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45565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45565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45565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45565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45565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45565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45565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45565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45565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45565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45565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45565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45565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45565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45565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45565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45565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45565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45565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45565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45565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45565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45565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45565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45565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45565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45565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45565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45565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45565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45565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45565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45565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45565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45565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45565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45565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45565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45565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45565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45565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45565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45565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45565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45565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45565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45565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45565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45565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45565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45565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45565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45565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45565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45565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45565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45565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45565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45565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45565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45565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45565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45565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45565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45565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45565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45565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45565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45565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45565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45565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45565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45565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45565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45565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45565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45565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45565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45565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45565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45565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45565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45565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45565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45565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45565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45565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45565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45565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45565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45565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45565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45565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45565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45565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45565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45565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45565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45565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45565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45565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45565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45565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45565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45565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45565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45565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45565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45565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45565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45565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45565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45565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45565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45565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45565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45565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45565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45565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45565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45565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45565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45565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45565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45565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45565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45565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45565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45565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45565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45565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45565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45565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45565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45565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45565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45565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45565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45565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45565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45565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45565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45565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45565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45565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45565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45565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45565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45565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45565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45565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45565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45565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45565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45565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45565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45565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45565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45565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45565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45565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45565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45565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45565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45565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45565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45565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45565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45565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45565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45565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45565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45565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45565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45565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45565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45565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45565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45565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45565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45565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45565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45565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45565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45565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45565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45565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45565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45565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45565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45565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45565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45565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45565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45565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45565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45565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45565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45565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45565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45565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45565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45565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45565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45565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45565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45565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45565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45565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45565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45565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45565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45565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45565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45565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45565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45565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45565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45565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45565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45565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45565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45565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45565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45565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45565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45565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45565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45565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45565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45565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45565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45565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45565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45565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45565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45565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45565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45565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45565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45565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45565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45565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45565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45565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45565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45565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45565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45565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45565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45565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45565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45565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45565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45565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45565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45565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45565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45565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45565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45565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45565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45565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45565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45565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45565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45565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45565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45565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45565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45565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45565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45565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45565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45565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45565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45565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45565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45565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45565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45565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45565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45565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45565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45565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45565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45565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45565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45565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45565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45565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45565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45565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45565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45565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45565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45565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45565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45565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45565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45565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45565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45565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45565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45565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45565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45565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45565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45565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45565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45565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45565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45565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45565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45565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45565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45565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45565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45565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45565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45565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45565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45565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45565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45565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45565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45565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45565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45565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45565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45565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45565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45565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45565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45565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45565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45565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45565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45565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45565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45565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45565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45565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45565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45565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45565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45565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45565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45565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45565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45565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45565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45565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45565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45565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45565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45565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45565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45565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45565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45565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45565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45565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45565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45565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45565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45565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45565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45565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45565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45565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45565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45565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45565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45565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45565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45565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45565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45565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45565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45565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45565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45565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45565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45565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45565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45565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45565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45565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45565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45565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45565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45565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45565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45565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45565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45565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45565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45565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45565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45565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45565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45565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45565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45565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45565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45565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45565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45565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45565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45565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45565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45565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45565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45565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45565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45565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45565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45565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45565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45565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45565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45565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45565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45565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45565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45565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45565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45565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45565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45565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45565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45565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45565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45565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45565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45565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45565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45565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45565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45565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45565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45565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45565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45565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45565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45565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45565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45565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45565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45565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45565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45565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45565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45565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45565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45565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45565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45565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45565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45565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45565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45565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45565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45565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45565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45565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45565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45565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45565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45565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45565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45565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45565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45565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45565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45565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45565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45565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45565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45565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45565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45565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45565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45565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45565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45565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45565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45565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45565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45565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45565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45565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45565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45565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45565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45565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45565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45565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45565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45565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45565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45565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45565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45565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45565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45565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45565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45565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45565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45565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45565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45565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45565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45565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45565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45565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45565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45565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45565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45565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45565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45565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45565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45565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45565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45565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45565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45565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45565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45565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45565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45565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45565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45565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45565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45565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45565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45565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45565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45565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45565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45565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45565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45565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45565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45565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45565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45565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45565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45565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45565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45565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45565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45565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45565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45565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45565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45565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45565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45565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45565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45565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45565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45565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45565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45565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45565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45565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45565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45565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45565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45565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45565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45565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45565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45565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45565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45565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45565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45565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45565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45565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45565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45565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45565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45565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45565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45565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45565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45565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45565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45565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45565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45565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45565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45565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45565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45565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45565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45565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45565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45565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45565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45565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45565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45565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45565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45565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45565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45565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45565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45565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45565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45565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45565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45565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45565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45565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45565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45565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45565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45565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45565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45565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45565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45565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45565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45565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45565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45565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45565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45565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45565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45565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45565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45565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45565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45565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45565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45565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45565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45565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45565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45565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45565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45565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45565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45565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45565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45565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45565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45565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45565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45565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45565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45565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45565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45565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45565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45565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45565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45565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45565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45565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45565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45565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45565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45565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45565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45565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45565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45565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45565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45565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45565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45565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45565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45565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45565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45565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45565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45565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45565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45565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45565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45565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45565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45565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45565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45565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45565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45565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45565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45565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45565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45565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45565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45565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45565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45565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45565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45565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45565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45565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45565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45565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45565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45565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45565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45565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45565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45565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45565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45565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45565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45565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45565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45565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45565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45565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45565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45565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45565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45565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45565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45565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45565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45565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45565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45565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45565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45565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45565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45565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45565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45565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45565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45565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45565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45565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45565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45565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45565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45565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45565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45565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45565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45565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45565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45565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45565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45565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45565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45565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45565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45565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45565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45565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45565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45565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45565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45565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45565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45565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45565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45565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45565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45565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45565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45565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45565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45565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45565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45565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45565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45565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45565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45565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45565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45565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45565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45565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45565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45565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45565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45565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45565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45565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45565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45565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45565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45565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45565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45565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45565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45565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45565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45565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45565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45565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45565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45565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45565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45565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45565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45565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45565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45565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45565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45565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45565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45565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45565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45565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45565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45565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45565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45565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45565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45565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45565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45565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45565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45565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45565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45565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45565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45565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45565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45565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45565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45565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45565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45565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45565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45565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45565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45565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45565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45565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45565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45565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45565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45565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45565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45565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45565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45565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45565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45565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45565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45565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45565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45565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45565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45565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45565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45565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45565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45565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45565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45565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45565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45565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45565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45565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45565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45565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45565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45565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45565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45565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45565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45565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45565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45565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45565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45565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45565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45565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45565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45565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45565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45565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45565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45565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45565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45565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45565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45565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45565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45565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45565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45565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45565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45565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45565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45565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45565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45565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45565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45565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45565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45565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45565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45565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45565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45565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45565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45565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45565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45565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45565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45565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45565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45565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45565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45565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45565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45565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45565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45565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45565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45565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45565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45565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45565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45565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45565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45565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45565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45565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45565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45565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45565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45565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45565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45565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45565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45565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45565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45565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45565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45565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45565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45565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45565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45565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45565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45565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45565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45565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45565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45565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45565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45565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45565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45565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45565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45565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45565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45565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45565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45565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45565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45565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45565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45565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45565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45565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45565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45565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45565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45565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45565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45565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45565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45565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45565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45565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45565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45565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45565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45565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45565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45565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45565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45565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45565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45565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45565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45565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45565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45565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45565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45565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45565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45565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45565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45565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45565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45565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45565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45565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45565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45565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45565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45565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45565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45565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45565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45565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45565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45565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45565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45565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45565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45565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45565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45565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45565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45565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45565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45565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45565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45565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45565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45565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45565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45565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45565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45565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45565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45565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45565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45565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45565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45565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45565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45565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45565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45565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45565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45565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45565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45565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45565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45565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45565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45565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45565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45565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45565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45565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45565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45565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45565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45565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45565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45565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45565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45565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45565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45565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45565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45565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45565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45565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45565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45565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45565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45565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45565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45565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45565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45565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45565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45565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45565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45565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45565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45565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45565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45565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45565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45565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45565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45565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45565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45565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45565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45565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45565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45565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45565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45565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45565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45565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45565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45565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45565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45565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45565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45565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45565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45565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45565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45565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45565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45565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45565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45565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45565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45565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45565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45565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45565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45565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45565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45565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45565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45565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45565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45565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45565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45565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45565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45565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45565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45565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45565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45565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45565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45565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45565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45565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45565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45565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45565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45565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45565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45565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45565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45565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45565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45565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45565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45565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45565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45565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45565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45565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45565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45565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45565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45565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45565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45565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45565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45565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45565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45565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45565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45565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45565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45565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45565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45565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45565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45565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45565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45565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45565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45565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45565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45565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45565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45565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45565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45565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45565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45565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45565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45565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45565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45565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45565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45565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45565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45565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45565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45565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45565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45565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45565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45565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45565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45565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45565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45565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45565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45565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45565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45565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45565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45565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45565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45565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45565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45565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45565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45565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45565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45565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45565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45565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45565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45565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45565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45565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45565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45565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45565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45565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45565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45565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45565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45565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45565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45565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45565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45565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45565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45565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45565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45565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45565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45565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45565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45565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45565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45565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45565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45565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45565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45565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45565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45565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45565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45565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45565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45565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45565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45565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45565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45565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45565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45565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45565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45565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45565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45565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45565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45565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45565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45565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45565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45565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45565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45565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45565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45565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45565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45565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45565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45565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45565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45565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45565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45565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45565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45565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45565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45565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45565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45565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45565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45565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45565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45565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45565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45565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45565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45565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45565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45565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45565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45565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45565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45565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45565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45565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45565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45565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45565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45565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45565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45565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45565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45565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45565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45565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45565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45565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45565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45565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45565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45565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45565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45565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45565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45565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45565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45565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45565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45565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45565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45565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45565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45565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45565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45565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45565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45565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45565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45565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45565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45565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45565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45565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45565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45565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45565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45565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45565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45565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45565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45565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45565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45565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45565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45565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45565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45565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45565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45565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45565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45565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45565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45565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45565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45565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45565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45565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45565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45565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45565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45565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45565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45565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45565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45565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45565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45565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45565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45565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45565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45565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45565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45565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45565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45565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45565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45565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45565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45565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45565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45565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45565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45565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45565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45565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45565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45565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45565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45565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45565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45565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45565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45565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45565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45565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45565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45565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45565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45565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45565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45565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45565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45565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45565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45565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45565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45565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45565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45565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45565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45565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45565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45565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45565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45565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45565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45565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45565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45565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45565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45565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45565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45565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45565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45565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45565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45565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45565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45565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45565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45565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45565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45565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45565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45565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45565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45565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45565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45565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45565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45565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45565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45565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45565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45565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45565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45565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45565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45565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45565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45565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45565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45565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45565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45565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45565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45565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45565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45565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45565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45565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45565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45565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45565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45565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45565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45565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45565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45565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45565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45565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45565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45565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45565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45565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45565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45565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45565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45565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45565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45565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45565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45565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45565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45565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45565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45565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45565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45565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45565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45565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45565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45565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45565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45565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45565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45565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45565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45565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45565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45565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45565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45565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45565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45565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45565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45565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45565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45565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45565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45565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45565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45565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45565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45565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45565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45565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45565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45565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45565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45565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45565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45565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45565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45565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45565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45565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45565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45565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45565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45565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45565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45565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45565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45565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45565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45565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45565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45565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45565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45565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45565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45565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45565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45565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45565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45565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45565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45565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45565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45565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45565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45565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45565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45565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45565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45565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45565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45565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45565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45565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45565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45565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45565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45565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45565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45565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45565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45565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45565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45565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45565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45565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45565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45565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45565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45565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45565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45565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45565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45565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45565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45565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45565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45565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45565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45565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45565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45565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45565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45565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45565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45565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45565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45565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45565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45565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45565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45565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45565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45565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45565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45565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45565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45565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45565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45565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45565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45565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45565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45565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45565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45565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45565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45565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45565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45565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45565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45565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45565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45565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45565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45565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45565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45565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45565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45565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45565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45565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45565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45565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45565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45565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45565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45565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45565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45565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45565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45565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45565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45565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45565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45565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45565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45565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45565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45565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45565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45565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45565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45565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45565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45565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45565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45565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45565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45565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45565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45565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45565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45565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45565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45565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45565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45565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45565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45565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45565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45565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45565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45565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45565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45565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45565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45565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45565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45565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45565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45565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45565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45565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45565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45565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45565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45565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45565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45565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45565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45565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45565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45565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45565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45565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45565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45565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45565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45565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45565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45565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45565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45565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45565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45565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45565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45565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45565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45565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45565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45565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45565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45565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45565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45565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45565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45565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45565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45565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45565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45565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45565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45565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45565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45565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45565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45565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45565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45565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45565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45565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45565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45565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45565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45565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45565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45565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45565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45565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45565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45565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45565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45565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45565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45565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45565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45565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45565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45565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45565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45565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45565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45565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45565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45565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45565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45565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45565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45565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45565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45565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45565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45565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45565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45565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45565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45565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45565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45565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45565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45565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45565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45565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45565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45565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45565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45565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45565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45565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45565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45565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45565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45565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45565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45565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45565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45565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45565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45565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45565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45565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45565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45565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45565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45565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45565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45565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45565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45565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45565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45565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45565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45565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45565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45565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45565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45565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45565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45565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45565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45565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45565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45565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45565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45565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45565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45565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45565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45565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45565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45565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45565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45565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45565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45565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45565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45565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45565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45565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45565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45565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45565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45565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45565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45565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45565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45565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45565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45565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45565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45565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45565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45565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45565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45565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45565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45565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45565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45565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45565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45565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45565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45565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45565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45565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45565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45565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45565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45565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45565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45565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45565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45565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45565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45565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45565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45565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45565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45565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45565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45565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45565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45565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45565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45565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45565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45565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45565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45565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45565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45565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45565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45565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45565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45565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45565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45565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45565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45565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45565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45565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45565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45565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45565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45565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45565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45565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45565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45565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45565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45565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45565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45565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45565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45565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45565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45565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45565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45565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45565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45565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45565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45565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45565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45565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45565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45565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45565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45565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45565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45565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45565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45565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45565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45565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45565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45565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45565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45565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45565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45565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45565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45565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45565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45565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45565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45565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45565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45565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45565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45565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45565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45565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45565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45565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45565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45565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45565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45565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45565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45565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45565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45565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45565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45565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45565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45565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45565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45565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45565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45565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45565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45565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45565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45565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45565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45565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45565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45565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45565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45565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45565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45565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45565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45565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45565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45565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45565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45565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45565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45565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45565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45565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45565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45565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45565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45565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45565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45565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45565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45565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45565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45565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45565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45565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45565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45565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45565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45565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45565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45565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45565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45565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45565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45565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45565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45565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45565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45565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45565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45565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45565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45565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45565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45565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45565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45565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45565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45565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45565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45565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45565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45565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45565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45565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45565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45565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45565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45565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45565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45565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45565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45565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45565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45565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45565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45565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45565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45565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45565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45565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45565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45565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45565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45565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45565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45565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45565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45565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45565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45565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45565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45565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45565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45565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45565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45565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45565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45565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45565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45565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45565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45565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45565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45565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45565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45565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45565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45565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45565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45565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45565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45565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45565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45565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45565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45565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45565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45565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45565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45565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45565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45565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45565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45565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45565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45565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45565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45565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45565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45565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45565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45565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45565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45565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45565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45565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45565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45565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45565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45565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45565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45565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45565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45565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45565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45565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45565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45565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45565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45565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45565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45565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45565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45565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45565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45565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45565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45565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45565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45565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45565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45565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45565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45565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45565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45565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45565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45565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45565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45565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45565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45565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45565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45565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45565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45565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45565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45565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45565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45565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45565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45565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45565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45565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45565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45565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45565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45565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45565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45565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45565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45565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45565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45565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45565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45565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45565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45565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45565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45565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45565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36528-2024</t>
        </is>
      </c>
      <c r="B3557" s="1" t="n">
        <v>45537</v>
      </c>
      <c r="C3557" s="1" t="n">
        <v>45565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36530-2024</t>
        </is>
      </c>
      <c r="B3558" s="1" t="n">
        <v>45537</v>
      </c>
      <c r="C3558" s="1" t="n">
        <v>45565</v>
      </c>
      <c r="D3558" t="inlineStr">
        <is>
          <t>BLEKINGE LÄN</t>
        </is>
      </c>
      <c r="E3558" t="inlineStr">
        <is>
          <t>OLOFSTRÖM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36582-2024</t>
        </is>
      </c>
      <c r="B3559" s="1" t="n">
        <v>45537</v>
      </c>
      <c r="C3559" s="1" t="n">
        <v>45565</v>
      </c>
      <c r="D3559" t="inlineStr">
        <is>
          <t>BLEKINGE LÄN</t>
        </is>
      </c>
      <c r="E3559" t="inlineStr">
        <is>
          <t>KARLSKRONA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36561-2024</t>
        </is>
      </c>
      <c r="B3560" s="1" t="n">
        <v>45537</v>
      </c>
      <c r="C3560" s="1" t="n">
        <v>45565</v>
      </c>
      <c r="D3560" t="inlineStr">
        <is>
          <t>BLEKINGE LÄN</t>
        </is>
      </c>
      <c r="E3560" t="inlineStr">
        <is>
          <t>RONNEBY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36577-2024</t>
        </is>
      </c>
      <c r="B3561" s="1" t="n">
        <v>45537</v>
      </c>
      <c r="C3561" s="1" t="n">
        <v>45565</v>
      </c>
      <c r="D3561" t="inlineStr">
        <is>
          <t>BLEKINGE LÄN</t>
        </is>
      </c>
      <c r="E3561" t="inlineStr">
        <is>
          <t>KARLSKRONA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36581-2024</t>
        </is>
      </c>
      <c r="B3562" s="1" t="n">
        <v>45537</v>
      </c>
      <c r="C3562" s="1" t="n">
        <v>45565</v>
      </c>
      <c r="D3562" t="inlineStr">
        <is>
          <t>BLEKINGE LÄN</t>
        </is>
      </c>
      <c r="E3562" t="inlineStr">
        <is>
          <t>KARLSKRONA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36730-2024</t>
        </is>
      </c>
      <c r="B3563" s="1" t="n">
        <v>45537</v>
      </c>
      <c r="C3563" s="1" t="n">
        <v>45565</v>
      </c>
      <c r="D3563" t="inlineStr">
        <is>
          <t>BLEKINGE LÄN</t>
        </is>
      </c>
      <c r="E3563" t="inlineStr">
        <is>
          <t>KARLSKRONA</t>
        </is>
      </c>
      <c r="G3563" t="n">
        <v>5.2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36576-2024</t>
        </is>
      </c>
      <c r="B3564" s="1" t="n">
        <v>45537</v>
      </c>
      <c r="C3564" s="1" t="n">
        <v>45565</v>
      </c>
      <c r="D3564" t="inlineStr">
        <is>
          <t>BLEKINGE LÄN</t>
        </is>
      </c>
      <c r="E3564" t="inlineStr">
        <is>
          <t>KARLSKRONA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36731-2024</t>
        </is>
      </c>
      <c r="B3565" s="1" t="n">
        <v>45537</v>
      </c>
      <c r="C3565" s="1" t="n">
        <v>45565</v>
      </c>
      <c r="D3565" t="inlineStr">
        <is>
          <t>BLEKINGE LÄN</t>
        </is>
      </c>
      <c r="E3565" t="inlineStr">
        <is>
          <t>KARLSKRONA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36724-2024</t>
        </is>
      </c>
      <c r="B3566" s="1" t="n">
        <v>45537</v>
      </c>
      <c r="C3566" s="1" t="n">
        <v>45565</v>
      </c>
      <c r="D3566" t="inlineStr">
        <is>
          <t>BLEKINGE LÄN</t>
        </is>
      </c>
      <c r="E3566" t="inlineStr">
        <is>
          <t>RONNEBY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36820-2024</t>
        </is>
      </c>
      <c r="B3567" s="1" t="n">
        <v>45538</v>
      </c>
      <c r="C3567" s="1" t="n">
        <v>45565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36811-2024</t>
        </is>
      </c>
      <c r="B3568" s="1" t="n">
        <v>45538</v>
      </c>
      <c r="C3568" s="1" t="n">
        <v>45565</v>
      </c>
      <c r="D3568" t="inlineStr">
        <is>
          <t>BLEKINGE LÄN</t>
        </is>
      </c>
      <c r="E3568" t="inlineStr">
        <is>
          <t>KARLSKRONA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36807-2024</t>
        </is>
      </c>
      <c r="B3569" s="1" t="n">
        <v>45538</v>
      </c>
      <c r="C3569" s="1" t="n">
        <v>45565</v>
      </c>
      <c r="D3569" t="inlineStr">
        <is>
          <t>BLEKINGE LÄN</t>
        </is>
      </c>
      <c r="E3569" t="inlineStr">
        <is>
          <t>KARLSKRONA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36843-2024</t>
        </is>
      </c>
      <c r="B3570" s="1" t="n">
        <v>45538</v>
      </c>
      <c r="C3570" s="1" t="n">
        <v>45565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37070-2024</t>
        </is>
      </c>
      <c r="B3571" s="1" t="n">
        <v>45539</v>
      </c>
      <c r="C3571" s="1" t="n">
        <v>45565</v>
      </c>
      <c r="D3571" t="inlineStr">
        <is>
          <t>BLEKINGE LÄN</t>
        </is>
      </c>
      <c r="E3571" t="inlineStr">
        <is>
          <t>RONNEBY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37059-2024</t>
        </is>
      </c>
      <c r="B3572" s="1" t="n">
        <v>45539</v>
      </c>
      <c r="C3572" s="1" t="n">
        <v>45565</v>
      </c>
      <c r="D3572" t="inlineStr">
        <is>
          <t>BLEKINGE LÄN</t>
        </is>
      </c>
      <c r="E3572" t="inlineStr">
        <is>
          <t>RONNEBY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37162-2024</t>
        </is>
      </c>
      <c r="B3573" s="1" t="n">
        <v>45539</v>
      </c>
      <c r="C3573" s="1" t="n">
        <v>45565</v>
      </c>
      <c r="D3573" t="inlineStr">
        <is>
          <t>BLEKINGE LÄN</t>
        </is>
      </c>
      <c r="E3573" t="inlineStr">
        <is>
          <t>OLOFSTRÖM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37080-2024</t>
        </is>
      </c>
      <c r="B3574" s="1" t="n">
        <v>45539</v>
      </c>
      <c r="C3574" s="1" t="n">
        <v>45565</v>
      </c>
      <c r="D3574" t="inlineStr">
        <is>
          <t>BLEKINGE LÄN</t>
        </is>
      </c>
      <c r="E3574" t="inlineStr">
        <is>
          <t>RONNEBY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45565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37415-2024</t>
        </is>
      </c>
      <c r="B3576" s="1" t="n">
        <v>45540</v>
      </c>
      <c r="C3576" s="1" t="n">
        <v>45565</v>
      </c>
      <c r="D3576" t="inlineStr">
        <is>
          <t>BLEKINGE LÄN</t>
        </is>
      </c>
      <c r="E3576" t="inlineStr">
        <is>
          <t>KARLSKRONA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37454-2024</t>
        </is>
      </c>
      <c r="B3577" s="1" t="n">
        <v>45540</v>
      </c>
      <c r="C3577" s="1" t="n">
        <v>45565</v>
      </c>
      <c r="D3577" t="inlineStr">
        <is>
          <t>BLEKINGE LÄN</t>
        </is>
      </c>
      <c r="E3577" t="inlineStr">
        <is>
          <t>KARLSHAMN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37364-2024</t>
        </is>
      </c>
      <c r="B3578" s="1" t="n">
        <v>45540</v>
      </c>
      <c r="C3578" s="1" t="n">
        <v>45565</v>
      </c>
      <c r="D3578" t="inlineStr">
        <is>
          <t>BLEKINGE LÄN</t>
        </is>
      </c>
      <c r="E3578" t="inlineStr">
        <is>
          <t>OLOFSTRÖM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37339-2024</t>
        </is>
      </c>
      <c r="B3579" s="1" t="n">
        <v>45540</v>
      </c>
      <c r="C3579" s="1" t="n">
        <v>45565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37297-2024</t>
        </is>
      </c>
      <c r="B3580" s="1" t="n">
        <v>45540</v>
      </c>
      <c r="C3580" s="1" t="n">
        <v>45565</v>
      </c>
      <c r="D3580" t="inlineStr">
        <is>
          <t>BLEKINGE LÄN</t>
        </is>
      </c>
      <c r="E3580" t="inlineStr">
        <is>
          <t>KARLSHAMN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37246-2024</t>
        </is>
      </c>
      <c r="B3581" s="1" t="n">
        <v>45540</v>
      </c>
      <c r="C3581" s="1" t="n">
        <v>45565</v>
      </c>
      <c r="D3581" t="inlineStr">
        <is>
          <t>BLEKINGE LÄN</t>
        </is>
      </c>
      <c r="E3581" t="inlineStr">
        <is>
          <t>KARLSKRONA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45565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38005-2024</t>
        </is>
      </c>
      <c r="B3583" s="1" t="n">
        <v>45544</v>
      </c>
      <c r="C3583" s="1" t="n">
        <v>45565</v>
      </c>
      <c r="D3583" t="inlineStr">
        <is>
          <t>BLEKINGE LÄN</t>
        </is>
      </c>
      <c r="E3583" t="inlineStr">
        <is>
          <t>OLOFSTRÖM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38060-2024</t>
        </is>
      </c>
      <c r="B3584" s="1" t="n">
        <v>45544</v>
      </c>
      <c r="C3584" s="1" t="n">
        <v>45565</v>
      </c>
      <c r="D3584" t="inlineStr">
        <is>
          <t>BLEKINGE LÄN</t>
        </is>
      </c>
      <c r="E3584" t="inlineStr">
        <is>
          <t>KARLSKRONA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38090-2024</t>
        </is>
      </c>
      <c r="B3585" s="1" t="n">
        <v>45545</v>
      </c>
      <c r="C3585" s="1" t="n">
        <v>45565</v>
      </c>
      <c r="D3585" t="inlineStr">
        <is>
          <t>BLEKINGE LÄN</t>
        </is>
      </c>
      <c r="E3585" t="inlineStr">
        <is>
          <t>RONNEBY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38237-2024</t>
        </is>
      </c>
      <c r="B3586" s="1" t="n">
        <v>45545</v>
      </c>
      <c r="C3586" s="1" t="n">
        <v>45565</v>
      </c>
      <c r="D3586" t="inlineStr">
        <is>
          <t>BLEKINGE LÄN</t>
        </is>
      </c>
      <c r="E3586" t="inlineStr">
        <is>
          <t>SÖLVESBORG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38253-2024</t>
        </is>
      </c>
      <c r="B3587" s="1" t="n">
        <v>45545</v>
      </c>
      <c r="C3587" s="1" t="n">
        <v>45565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38228-2024</t>
        </is>
      </c>
      <c r="B3588" s="1" t="n">
        <v>45545</v>
      </c>
      <c r="C3588" s="1" t="n">
        <v>45565</v>
      </c>
      <c r="D3588" t="inlineStr">
        <is>
          <t>BLEKINGE LÄN</t>
        </is>
      </c>
      <c r="E3588" t="inlineStr">
        <is>
          <t>RONNEBY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38223-2024</t>
        </is>
      </c>
      <c r="B3589" s="1" t="n">
        <v>45545</v>
      </c>
      <c r="C3589" s="1" t="n">
        <v>45565</v>
      </c>
      <c r="D3589" t="inlineStr">
        <is>
          <t>BLEKINGE LÄN</t>
        </is>
      </c>
      <c r="E3589" t="inlineStr">
        <is>
          <t>SÖLVESBORG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38338-2024</t>
        </is>
      </c>
      <c r="B3590" s="1" t="n">
        <v>45545</v>
      </c>
      <c r="C3590" s="1" t="n">
        <v>45565</v>
      </c>
      <c r="D3590" t="inlineStr">
        <is>
          <t>BLEKINGE LÄN</t>
        </is>
      </c>
      <c r="E3590" t="inlineStr">
        <is>
          <t>RONNEBY</t>
        </is>
      </c>
      <c r="F3590" t="inlineStr">
        <is>
          <t>Övriga Aktiebolag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38375-2024</t>
        </is>
      </c>
      <c r="B3591" s="1" t="n">
        <v>45545</v>
      </c>
      <c r="C3591" s="1" t="n">
        <v>45565</v>
      </c>
      <c r="D3591" t="inlineStr">
        <is>
          <t>BLEKINGE LÄN</t>
        </is>
      </c>
      <c r="E3591" t="inlineStr">
        <is>
          <t>RONNEBY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38341-2024</t>
        </is>
      </c>
      <c r="B3592" s="1" t="n">
        <v>45545</v>
      </c>
      <c r="C3592" s="1" t="n">
        <v>45565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38485-2024</t>
        </is>
      </c>
      <c r="B3593" s="1" t="n">
        <v>45546</v>
      </c>
      <c r="C3593" s="1" t="n">
        <v>45565</v>
      </c>
      <c r="D3593" t="inlineStr">
        <is>
          <t>BLEKINGE LÄN</t>
        </is>
      </c>
      <c r="E3593" t="inlineStr">
        <is>
          <t>KARLSKRONA</t>
        </is>
      </c>
      <c r="G3593" t="n">
        <v>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38463-2024</t>
        </is>
      </c>
      <c r="B3594" s="1" t="n">
        <v>45546</v>
      </c>
      <c r="C3594" s="1" t="n">
        <v>45565</v>
      </c>
      <c r="D3594" t="inlineStr">
        <is>
          <t>BLEKINGE LÄN</t>
        </is>
      </c>
      <c r="E3594" t="inlineStr">
        <is>
          <t>RONNEBY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45565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38930-2024</t>
        </is>
      </c>
      <c r="B3596" s="1" t="n">
        <v>45548</v>
      </c>
      <c r="C3596" s="1" t="n">
        <v>45565</v>
      </c>
      <c r="D3596" t="inlineStr">
        <is>
          <t>BLEKINGE LÄN</t>
        </is>
      </c>
      <c r="E3596" t="inlineStr">
        <is>
          <t>RONNEBY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38973-2024</t>
        </is>
      </c>
      <c r="B3597" s="1" t="n">
        <v>45548</v>
      </c>
      <c r="C3597" s="1" t="n">
        <v>45565</v>
      </c>
      <c r="D3597" t="inlineStr">
        <is>
          <t>BLEKINGE LÄN</t>
        </is>
      </c>
      <c r="E3597" t="inlineStr">
        <is>
          <t>OLOFSTRÖM</t>
        </is>
      </c>
      <c r="G3597" t="n">
        <v>11.3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39050-2024</t>
        </is>
      </c>
      <c r="B3598" s="1" t="n">
        <v>45548</v>
      </c>
      <c r="C3598" s="1" t="n">
        <v>45565</v>
      </c>
      <c r="D3598" t="inlineStr">
        <is>
          <t>BLEKINGE LÄN</t>
        </is>
      </c>
      <c r="E3598" t="inlineStr">
        <is>
          <t>OLOFSTRÖM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39061-2024</t>
        </is>
      </c>
      <c r="B3599" s="1" t="n">
        <v>45548</v>
      </c>
      <c r="C3599" s="1" t="n">
        <v>45565</v>
      </c>
      <c r="D3599" t="inlineStr">
        <is>
          <t>BLEKINGE LÄN</t>
        </is>
      </c>
      <c r="E3599" t="inlineStr">
        <is>
          <t>OLOFSTRÖM</t>
        </is>
      </c>
      <c r="G3599" t="n">
        <v>7.2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39058-2024</t>
        </is>
      </c>
      <c r="B3600" s="1" t="n">
        <v>45548</v>
      </c>
      <c r="C3600" s="1" t="n">
        <v>45565</v>
      </c>
      <c r="D3600" t="inlineStr">
        <is>
          <t>BLEKINGE LÄN</t>
        </is>
      </c>
      <c r="E3600" t="inlineStr">
        <is>
          <t>OLOFSTRÖM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39077-2024</t>
        </is>
      </c>
      <c r="B3601" s="1" t="n">
        <v>45548</v>
      </c>
      <c r="C3601" s="1" t="n">
        <v>45565</v>
      </c>
      <c r="D3601" t="inlineStr">
        <is>
          <t>BLEKINGE LÄN</t>
        </is>
      </c>
      <c r="E3601" t="inlineStr">
        <is>
          <t>OLOFSTRÖM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39085-2024</t>
        </is>
      </c>
      <c r="B3602" s="1" t="n">
        <v>45548</v>
      </c>
      <c r="C3602" s="1" t="n">
        <v>45565</v>
      </c>
      <c r="D3602" t="inlineStr">
        <is>
          <t>BLEKINGE LÄN</t>
        </is>
      </c>
      <c r="E3602" t="inlineStr">
        <is>
          <t>OLOFSTRÖM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39130-2024</t>
        </is>
      </c>
      <c r="B3603" s="1" t="n">
        <v>45548</v>
      </c>
      <c r="C3603" s="1" t="n">
        <v>45565</v>
      </c>
      <c r="D3603" t="inlineStr">
        <is>
          <t>BLEKINGE LÄN</t>
        </is>
      </c>
      <c r="E3603" t="inlineStr">
        <is>
          <t>SÖLVESBORG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39159-2024</t>
        </is>
      </c>
      <c r="B3604" s="1" t="n">
        <v>45548</v>
      </c>
      <c r="C3604" s="1" t="n">
        <v>45565</v>
      </c>
      <c r="D3604" t="inlineStr">
        <is>
          <t>BLEKINGE LÄN</t>
        </is>
      </c>
      <c r="E3604" t="inlineStr">
        <is>
          <t>KARLSHAMN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39104-2024</t>
        </is>
      </c>
      <c r="B3605" s="1" t="n">
        <v>45548</v>
      </c>
      <c r="C3605" s="1" t="n">
        <v>45565</v>
      </c>
      <c r="D3605" t="inlineStr">
        <is>
          <t>BLEKINGE LÄN</t>
        </is>
      </c>
      <c r="E3605" t="inlineStr">
        <is>
          <t>OLOFSTRÖM</t>
        </is>
      </c>
      <c r="G3605" t="n">
        <v>7.7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39108-2024</t>
        </is>
      </c>
      <c r="B3606" s="1" t="n">
        <v>45548</v>
      </c>
      <c r="C3606" s="1" t="n">
        <v>45565</v>
      </c>
      <c r="D3606" t="inlineStr">
        <is>
          <t>BLEKINGE LÄN</t>
        </is>
      </c>
      <c r="E3606" t="inlineStr">
        <is>
          <t>OLOFSTRÖM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39212-2024</t>
        </is>
      </c>
      <c r="B3607" s="1" t="n">
        <v>45548</v>
      </c>
      <c r="C3607" s="1" t="n">
        <v>45565</v>
      </c>
      <c r="D3607" t="inlineStr">
        <is>
          <t>BLEKINGE LÄN</t>
        </is>
      </c>
      <c r="E3607" t="inlineStr">
        <is>
          <t>SÖLVESBORG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39216-2024</t>
        </is>
      </c>
      <c r="B3608" s="1" t="n">
        <v>45549</v>
      </c>
      <c r="C3608" s="1" t="n">
        <v>45565</v>
      </c>
      <c r="D3608" t="inlineStr">
        <is>
          <t>BLEKINGE LÄN</t>
        </is>
      </c>
      <c r="E3608" t="inlineStr">
        <is>
          <t>RONNEBY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39214-2024</t>
        </is>
      </c>
      <c r="B3609" s="1" t="n">
        <v>45549</v>
      </c>
      <c r="C3609" s="1" t="n">
        <v>45565</v>
      </c>
      <c r="D3609" t="inlineStr">
        <is>
          <t>BLEKINGE LÄN</t>
        </is>
      </c>
      <c r="E3609" t="inlineStr">
        <is>
          <t>RONNEBY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39217-2024</t>
        </is>
      </c>
      <c r="B3610" s="1" t="n">
        <v>45549</v>
      </c>
      <c r="C3610" s="1" t="n">
        <v>45565</v>
      </c>
      <c r="D3610" t="inlineStr">
        <is>
          <t>BLEKINGE LÄN</t>
        </is>
      </c>
      <c r="E3610" t="inlineStr">
        <is>
          <t>RONNEBY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39215-2024</t>
        </is>
      </c>
      <c r="B3611" s="1" t="n">
        <v>45549</v>
      </c>
      <c r="C3611" s="1" t="n">
        <v>45565</v>
      </c>
      <c r="D3611" t="inlineStr">
        <is>
          <t>BLEKINGE LÄN</t>
        </is>
      </c>
      <c r="E3611" t="inlineStr">
        <is>
          <t>RONNEBY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39226-2024</t>
        </is>
      </c>
      <c r="B3612" s="1" t="n">
        <v>45550</v>
      </c>
      <c r="C3612" s="1" t="n">
        <v>45565</v>
      </c>
      <c r="D3612" t="inlineStr">
        <is>
          <t>BLEKINGE LÄN</t>
        </is>
      </c>
      <c r="E3612" t="inlineStr">
        <is>
          <t>KARLSHAMN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39240-2024</t>
        </is>
      </c>
      <c r="B3613" s="1" t="n">
        <v>45550</v>
      </c>
      <c r="C3613" s="1" t="n">
        <v>45565</v>
      </c>
      <c r="D3613" t="inlineStr">
        <is>
          <t>BLEKINGE LÄN</t>
        </is>
      </c>
      <c r="E3613" t="inlineStr">
        <is>
          <t>KARLSHAMN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39262-2024</t>
        </is>
      </c>
      <c r="B3614" s="1" t="n">
        <v>45551</v>
      </c>
      <c r="C3614" s="1" t="n">
        <v>45565</v>
      </c>
      <c r="D3614" t="inlineStr">
        <is>
          <t>BLEKINGE LÄN</t>
        </is>
      </c>
      <c r="E3614" t="inlineStr">
        <is>
          <t>KARLSKRONA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39316-2024</t>
        </is>
      </c>
      <c r="B3615" s="1" t="n">
        <v>45551</v>
      </c>
      <c r="C3615" s="1" t="n">
        <v>45565</v>
      </c>
      <c r="D3615" t="inlineStr">
        <is>
          <t>BLEKINGE LÄN</t>
        </is>
      </c>
      <c r="E3615" t="inlineStr">
        <is>
          <t>SÖLVESBORG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39360-2024</t>
        </is>
      </c>
      <c r="B3616" s="1" t="n">
        <v>45551</v>
      </c>
      <c r="C3616" s="1" t="n">
        <v>45565</v>
      </c>
      <c r="D3616" t="inlineStr">
        <is>
          <t>BLEKINGE LÄN</t>
        </is>
      </c>
      <c r="E3616" t="inlineStr">
        <is>
          <t>KARLSKRONA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39361-2024</t>
        </is>
      </c>
      <c r="B3617" s="1" t="n">
        <v>45551</v>
      </c>
      <c r="C3617" s="1" t="n">
        <v>45565</v>
      </c>
      <c r="D3617" t="inlineStr">
        <is>
          <t>BLEKINGE LÄN</t>
        </is>
      </c>
      <c r="E3617" t="inlineStr">
        <is>
          <t>KARLSKRONA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39472-2024</t>
        </is>
      </c>
      <c r="B3618" s="1" t="n">
        <v>45551</v>
      </c>
      <c r="C3618" s="1" t="n">
        <v>45565</v>
      </c>
      <c r="D3618" t="inlineStr">
        <is>
          <t>BLEKINGE LÄN</t>
        </is>
      </c>
      <c r="E3618" t="inlineStr">
        <is>
          <t>RONNEBY</t>
        </is>
      </c>
      <c r="G3618" t="n">
        <v>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39520-2024</t>
        </is>
      </c>
      <c r="B3619" s="1" t="n">
        <v>45551</v>
      </c>
      <c r="C3619" s="1" t="n">
        <v>45565</v>
      </c>
      <c r="D3619" t="inlineStr">
        <is>
          <t>BLEKINGE LÄN</t>
        </is>
      </c>
      <c r="E3619" t="inlineStr">
        <is>
          <t>OLOFSTRÖM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39537-2024</t>
        </is>
      </c>
      <c r="B3620" s="1" t="n">
        <v>45551</v>
      </c>
      <c r="C3620" s="1" t="n">
        <v>45565</v>
      </c>
      <c r="D3620" t="inlineStr">
        <is>
          <t>BLEKINGE LÄN</t>
        </is>
      </c>
      <c r="E3620" t="inlineStr">
        <is>
          <t>KARLSKRONA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39564-2024</t>
        </is>
      </c>
      <c r="B3621" s="1" t="n">
        <v>45551</v>
      </c>
      <c r="C3621" s="1" t="n">
        <v>45565</v>
      </c>
      <c r="D3621" t="inlineStr">
        <is>
          <t>BLEKINGE LÄN</t>
        </is>
      </c>
      <c r="E3621" t="inlineStr">
        <is>
          <t>RONNEBY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39661-2024</t>
        </is>
      </c>
      <c r="B3622" s="1" t="n">
        <v>45552</v>
      </c>
      <c r="C3622" s="1" t="n">
        <v>45565</v>
      </c>
      <c r="D3622" t="inlineStr">
        <is>
          <t>BLEKINGE LÄN</t>
        </is>
      </c>
      <c r="E3622" t="inlineStr">
        <is>
          <t>RONNEBY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45565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39901-2024</t>
        </is>
      </c>
      <c r="B3624" s="1" t="n">
        <v>45553</v>
      </c>
      <c r="C3624" s="1" t="n">
        <v>45565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39992-2024</t>
        </is>
      </c>
      <c r="B3625" s="1" t="n">
        <v>45553</v>
      </c>
      <c r="C3625" s="1" t="n">
        <v>45565</v>
      </c>
      <c r="D3625" t="inlineStr">
        <is>
          <t>BLEKINGE LÄN</t>
        </is>
      </c>
      <c r="E3625" t="inlineStr">
        <is>
          <t>KARLSKRONA</t>
        </is>
      </c>
      <c r="G3625" t="n">
        <v>5.4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40047-2024</t>
        </is>
      </c>
      <c r="B3626" s="1" t="n">
        <v>45553</v>
      </c>
      <c r="C3626" s="1" t="n">
        <v>45565</v>
      </c>
      <c r="D3626" t="inlineStr">
        <is>
          <t>BLEKINGE LÄN</t>
        </is>
      </c>
      <c r="E3626" t="inlineStr">
        <is>
          <t>OLOFSTRÖM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40011-2024</t>
        </is>
      </c>
      <c r="B3627" s="1" t="n">
        <v>45553</v>
      </c>
      <c r="C3627" s="1" t="n">
        <v>45565</v>
      </c>
      <c r="D3627" t="inlineStr">
        <is>
          <t>BLEKINGE LÄN</t>
        </is>
      </c>
      <c r="E3627" t="inlineStr">
        <is>
          <t>KARLSHAMN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40052-2024</t>
        </is>
      </c>
      <c r="B3628" s="1" t="n">
        <v>45553</v>
      </c>
      <c r="C3628" s="1" t="n">
        <v>45565</v>
      </c>
      <c r="D3628" t="inlineStr">
        <is>
          <t>BLEKINGE LÄN</t>
        </is>
      </c>
      <c r="E3628" t="inlineStr">
        <is>
          <t>RONNEBY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40008-2024</t>
        </is>
      </c>
      <c r="B3629" s="1" t="n">
        <v>45553</v>
      </c>
      <c r="C3629" s="1" t="n">
        <v>45565</v>
      </c>
      <c r="D3629" t="inlineStr">
        <is>
          <t>BLEKINGE LÄN</t>
        </is>
      </c>
      <c r="E3629" t="inlineStr">
        <is>
          <t>KARLSHAMN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40136-2024</t>
        </is>
      </c>
      <c r="B3630" s="1" t="n">
        <v>45554</v>
      </c>
      <c r="C3630" s="1" t="n">
        <v>45565</v>
      </c>
      <c r="D3630" t="inlineStr">
        <is>
          <t>BLEKINGE LÄN</t>
        </is>
      </c>
      <c r="E3630" t="inlineStr">
        <is>
          <t>RONNEBY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40139-2024</t>
        </is>
      </c>
      <c r="B3631" s="1" t="n">
        <v>45554</v>
      </c>
      <c r="C3631" s="1" t="n">
        <v>45565</v>
      </c>
      <c r="D3631" t="inlineStr">
        <is>
          <t>BLEKINGE LÄN</t>
        </is>
      </c>
      <c r="E3631" t="inlineStr">
        <is>
          <t>RONNEBY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40088-2024</t>
        </is>
      </c>
      <c r="B3632" s="1" t="n">
        <v>45554</v>
      </c>
      <c r="C3632" s="1" t="n">
        <v>45565</v>
      </c>
      <c r="D3632" t="inlineStr">
        <is>
          <t>BLEKINGE LÄN</t>
        </is>
      </c>
      <c r="E3632" t="inlineStr">
        <is>
          <t>KARLSKRONA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40357-2024</t>
        </is>
      </c>
      <c r="B3633" s="1" t="n">
        <v>45555</v>
      </c>
      <c r="C3633" s="1" t="n">
        <v>45565</v>
      </c>
      <c r="D3633" t="inlineStr">
        <is>
          <t>BLEKINGE LÄN</t>
        </is>
      </c>
      <c r="E3633" t="inlineStr">
        <is>
          <t>KARLSKRONA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40501-2024</t>
        </is>
      </c>
      <c r="B3634" s="1" t="n">
        <v>45555</v>
      </c>
      <c r="C3634" s="1" t="n">
        <v>45565</v>
      </c>
      <c r="D3634" t="inlineStr">
        <is>
          <t>BLEKINGE LÄN</t>
        </is>
      </c>
      <c r="E3634" t="inlineStr">
        <is>
          <t>RONNEBY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45565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40780-2024</t>
        </is>
      </c>
      <c r="B3636" s="1" t="n">
        <v>45558</v>
      </c>
      <c r="C3636" s="1" t="n">
        <v>45565</v>
      </c>
      <c r="D3636" t="inlineStr">
        <is>
          <t>BLEKINGE LÄN</t>
        </is>
      </c>
      <c r="E3636" t="inlineStr">
        <is>
          <t>KARLSKRONA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40849-2024</t>
        </is>
      </c>
      <c r="B3637" s="1" t="n">
        <v>45558</v>
      </c>
      <c r="C3637" s="1" t="n">
        <v>45565</v>
      </c>
      <c r="D3637" t="inlineStr">
        <is>
          <t>BLEKINGE LÄN</t>
        </is>
      </c>
      <c r="E3637" t="inlineStr">
        <is>
          <t>RONNEBY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40840-2024</t>
        </is>
      </c>
      <c r="B3638" s="1" t="n">
        <v>45558</v>
      </c>
      <c r="C3638" s="1" t="n">
        <v>45565</v>
      </c>
      <c r="D3638" t="inlineStr">
        <is>
          <t>BLEKINGE LÄN</t>
        </is>
      </c>
      <c r="E3638" t="inlineStr">
        <is>
          <t>RONNEBY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41000-2024</t>
        </is>
      </c>
      <c r="B3639" s="1" t="n">
        <v>45558</v>
      </c>
      <c r="C3639" s="1" t="n">
        <v>45565</v>
      </c>
      <c r="D3639" t="inlineStr">
        <is>
          <t>BLEKINGE LÄN</t>
        </is>
      </c>
      <c r="E3639" t="inlineStr">
        <is>
          <t>KARLSKRONA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41004-2024</t>
        </is>
      </c>
      <c r="B3640" s="1" t="n">
        <v>45558</v>
      </c>
      <c r="C3640" s="1" t="n">
        <v>45565</v>
      </c>
      <c r="D3640" t="inlineStr">
        <is>
          <t>BLEKINGE LÄN</t>
        </is>
      </c>
      <c r="E3640" t="inlineStr">
        <is>
          <t>KARLSHAMN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41040-2024</t>
        </is>
      </c>
      <c r="B3641" s="1" t="n">
        <v>45559</v>
      </c>
      <c r="C3641" s="1" t="n">
        <v>45565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41048-2024</t>
        </is>
      </c>
      <c r="B3642" s="1" t="n">
        <v>45559</v>
      </c>
      <c r="C3642" s="1" t="n">
        <v>45565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41034-2024</t>
        </is>
      </c>
      <c r="B3643" s="1" t="n">
        <v>45559</v>
      </c>
      <c r="C3643" s="1" t="n">
        <v>45565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41054-2024</t>
        </is>
      </c>
      <c r="B3644" s="1" t="n">
        <v>45559</v>
      </c>
      <c r="C3644" s="1" t="n">
        <v>45565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5.4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41058-2024</t>
        </is>
      </c>
      <c r="B3645" s="1" t="n">
        <v>45559</v>
      </c>
      <c r="C3645" s="1" t="n">
        <v>45565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41063-2024</t>
        </is>
      </c>
      <c r="B3646" s="1" t="n">
        <v>45559</v>
      </c>
      <c r="C3646" s="1" t="n">
        <v>45565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41125-2024</t>
        </is>
      </c>
      <c r="B3647" s="1" t="n">
        <v>45559</v>
      </c>
      <c r="C3647" s="1" t="n">
        <v>45565</v>
      </c>
      <c r="D3647" t="inlineStr">
        <is>
          <t>BLEKINGE LÄN</t>
        </is>
      </c>
      <c r="E3647" t="inlineStr">
        <is>
          <t>RONNEBY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41289-2024</t>
        </is>
      </c>
      <c r="B3648" s="1" t="n">
        <v>45559</v>
      </c>
      <c r="C3648" s="1" t="n">
        <v>45565</v>
      </c>
      <c r="D3648" t="inlineStr">
        <is>
          <t>BLEKINGE LÄN</t>
        </is>
      </c>
      <c r="E3648" t="inlineStr">
        <is>
          <t>KARLSKRONA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41421-2024</t>
        </is>
      </c>
      <c r="B3649" s="1" t="n">
        <v>45560</v>
      </c>
      <c r="C3649" s="1" t="n">
        <v>45565</v>
      </c>
      <c r="D3649" t="inlineStr">
        <is>
          <t>BLEKINGE LÄN</t>
        </is>
      </c>
      <c r="E3649" t="inlineStr">
        <is>
          <t>RONNEBY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41682-2024</t>
        </is>
      </c>
      <c r="B3650" s="1" t="n">
        <v>45560</v>
      </c>
      <c r="C3650" s="1" t="n">
        <v>45565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41640-2024</t>
        </is>
      </c>
      <c r="B3651" s="1" t="n">
        <v>45560</v>
      </c>
      <c r="C3651" s="1" t="n">
        <v>45565</v>
      </c>
      <c r="D3651" t="inlineStr">
        <is>
          <t>BLEKINGE LÄN</t>
        </is>
      </c>
      <c r="E3651" t="inlineStr">
        <is>
          <t>OLOFSTRÖM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41660-2024</t>
        </is>
      </c>
      <c r="B3652" s="1" t="n">
        <v>45560</v>
      </c>
      <c r="C3652" s="1" t="n">
        <v>45565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41665-2024</t>
        </is>
      </c>
      <c r="B3653" s="1" t="n">
        <v>45560</v>
      </c>
      <c r="C3653" s="1" t="n">
        <v>45565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41658-2024</t>
        </is>
      </c>
      <c r="B3654" s="1" t="n">
        <v>45560</v>
      </c>
      <c r="C3654" s="1" t="n">
        <v>45565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41822-2024</t>
        </is>
      </c>
      <c r="B3655" s="1" t="n">
        <v>45560</v>
      </c>
      <c r="C3655" s="1" t="n">
        <v>45565</v>
      </c>
      <c r="D3655" t="inlineStr">
        <is>
          <t>BLEKINGE LÄN</t>
        </is>
      </c>
      <c r="E3655" t="inlineStr">
        <is>
          <t>OLOFSTRÖM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41970-2024</t>
        </is>
      </c>
      <c r="B3656" s="1" t="n">
        <v>45561</v>
      </c>
      <c r="C3656" s="1" t="n">
        <v>45565</v>
      </c>
      <c r="D3656" t="inlineStr">
        <is>
          <t>BLEKINGE LÄN</t>
        </is>
      </c>
      <c r="E3656" t="inlineStr">
        <is>
          <t>KARLSHAMN</t>
        </is>
      </c>
      <c r="G3656" t="n">
        <v>15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41867-2024</t>
        </is>
      </c>
      <c r="B3657" s="1" t="n">
        <v>45561</v>
      </c>
      <c r="C3657" s="1" t="n">
        <v>45565</v>
      </c>
      <c r="D3657" t="inlineStr">
        <is>
          <t>BLEKINGE LÄN</t>
        </is>
      </c>
      <c r="E3657" t="inlineStr">
        <is>
          <t>KARLSKRONA</t>
        </is>
      </c>
      <c r="G3657" t="n">
        <v>11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>
      <c r="A3658" t="inlineStr">
        <is>
          <t>A 42212-2024</t>
        </is>
      </c>
      <c r="B3658" s="1" t="n">
        <v>45562</v>
      </c>
      <c r="C3658" s="1" t="n">
        <v>45565</v>
      </c>
      <c r="D3658" t="inlineStr">
        <is>
          <t>BLEKINGE LÄN</t>
        </is>
      </c>
      <c r="E3658" t="inlineStr">
        <is>
          <t>RONNEBY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2024-09-30T16:49:51Z</dcterms:created>
  <dcterms:modified xmlns:dcterms="http://purl.org/dc/terms/" xmlns:xsi="http://www.w3.org/2001/XMLSchema-instance" xsi:type="dcterms:W3CDTF">2024-09-30T16:49:54Z</dcterms:modified>
</cp:coreProperties>
</file>