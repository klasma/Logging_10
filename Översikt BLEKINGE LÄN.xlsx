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45352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45352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45352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45352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45352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45352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45352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45352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45352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45352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45352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45352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45352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45352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45352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45352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45352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36937-2018</t>
        </is>
      </c>
      <c r="B25" s="1" t="n">
        <v>43332</v>
      </c>
      <c r="C25" s="1" t="n">
        <v>45352</v>
      </c>
      <c r="D25" t="inlineStr">
        <is>
          <t>BLEKINGE LÄN</t>
        </is>
      </c>
      <c r="E25" t="inlineStr">
        <is>
          <t>KARLSKRONA</t>
        </is>
      </c>
      <c r="G25" t="n">
        <v>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36937-2018 artfynd.xlsx", "A 36937-2018")</f>
        <v/>
      </c>
      <c r="T25">
        <f>HYPERLINK("https://klasma.github.io/Logging_1080/kartor/A 36937-2018 karta.png", "A 36937-2018")</f>
        <v/>
      </c>
      <c r="V25">
        <f>HYPERLINK("https://klasma.github.io/Logging_1080/klagomål/A 36937-2018 FSC-klagomål.docx", "A 36937-2018")</f>
        <v/>
      </c>
      <c r="W25">
        <f>HYPERLINK("https://klasma.github.io/Logging_1080/klagomålsmail/A 36937-2018 FSC-klagomål mail.docx", "A 36937-2018")</f>
        <v/>
      </c>
      <c r="X25">
        <f>HYPERLINK("https://klasma.github.io/Logging_1080/tillsyn/A 36937-2018 tillsynsbegäran.docx", "A 36937-2018")</f>
        <v/>
      </c>
      <c r="Y25">
        <f>HYPERLINK("https://klasma.github.io/Logging_1080/tillsynsmail/A 36937-2018 tillsynsbegäran mail.docx", "A 36937-2018")</f>
        <v/>
      </c>
      <c r="Z25">
        <f>HYPERLINK("https://klasma.github.io/Logging_1080/fåglar/A 36937-2018 prioriterade fågelarter.docx", "A 36937-2018")</f>
        <v/>
      </c>
    </row>
    <row r="26" ht="15" customHeight="1">
      <c r="A26" t="inlineStr">
        <is>
          <t>A 44529-2018</t>
        </is>
      </c>
      <c r="B26" s="1" t="n">
        <v>43356</v>
      </c>
      <c r="C26" s="1" t="n">
        <v>45352</v>
      </c>
      <c r="D26" t="inlineStr">
        <is>
          <t>BLEKINGE LÄN</t>
        </is>
      </c>
      <c r="E26" t="inlineStr">
        <is>
          <t>KARLSKRONA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44529-2018 artfynd.xlsx", "A 44529-2018")</f>
        <v/>
      </c>
      <c r="T26">
        <f>HYPERLINK("https://klasma.github.io/Logging_1080/kartor/A 44529-2018 karta.png", "A 44529-2018")</f>
        <v/>
      </c>
      <c r="V26">
        <f>HYPERLINK("https://klasma.github.io/Logging_1080/klagomål/A 44529-2018 FSC-klagomål.docx", "A 44529-2018")</f>
        <v/>
      </c>
      <c r="W26">
        <f>HYPERLINK("https://klasma.github.io/Logging_1080/klagomålsmail/A 44529-2018 FSC-klagomål mail.docx", "A 44529-2018")</f>
        <v/>
      </c>
      <c r="X26">
        <f>HYPERLINK("https://klasma.github.io/Logging_1080/tillsyn/A 44529-2018 tillsynsbegäran.docx", "A 44529-2018")</f>
        <v/>
      </c>
      <c r="Y26">
        <f>HYPERLINK("https://klasma.github.io/Logging_1080/tillsynsmail/A 44529-2018 tillsynsbegäran mail.docx", "A 44529-2018")</f>
        <v/>
      </c>
    </row>
    <row r="27" ht="15" customHeight="1">
      <c r="A27" t="inlineStr">
        <is>
          <t>A 50115-2018</t>
        </is>
      </c>
      <c r="B27" s="1" t="n">
        <v>43375</v>
      </c>
      <c r="C27" s="1" t="n">
        <v>45352</v>
      </c>
      <c r="D27" t="inlineStr">
        <is>
          <t>BLEKINGE LÄN</t>
        </is>
      </c>
      <c r="E27" t="inlineStr">
        <is>
          <t>KARLSHAMN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HYPERLINK("https://klasma.github.io/Logging_1082/artfynd/A 50115-2018 artfynd.xlsx", "A 50115-2018")</f>
        <v/>
      </c>
      <c r="T27">
        <f>HYPERLINK("https://klasma.github.io/Logging_1082/kartor/A 50115-2018 karta.png", "A 50115-2018")</f>
        <v/>
      </c>
      <c r="V27">
        <f>HYPERLINK("https://klasma.github.io/Logging_1082/klagomål/A 50115-2018 FSC-klagomål.docx", "A 50115-2018")</f>
        <v/>
      </c>
      <c r="W27">
        <f>HYPERLINK("https://klasma.github.io/Logging_1082/klagomålsmail/A 50115-2018 FSC-klagomål mail.docx", "A 50115-2018")</f>
        <v/>
      </c>
      <c r="X27">
        <f>HYPERLINK("https://klasma.github.io/Logging_1082/tillsyn/A 50115-2018 tillsynsbegäran.docx", "A 50115-2018")</f>
        <v/>
      </c>
      <c r="Y27">
        <f>HYPERLINK("https://klasma.github.io/Logging_1082/tillsynsmail/A 50115-2018 tillsynsbegäran mail.docx", "A 50115-2018")</f>
        <v/>
      </c>
    </row>
    <row r="28" ht="15" customHeight="1">
      <c r="A28" t="inlineStr">
        <is>
          <t>A 60681-2018</t>
        </is>
      </c>
      <c r="B28" s="1" t="n">
        <v>43406</v>
      </c>
      <c r="C28" s="1" t="n">
        <v>45352</v>
      </c>
      <c r="D28" t="inlineStr">
        <is>
          <t>BLEKINGE LÄN</t>
        </is>
      </c>
      <c r="E28" t="inlineStr">
        <is>
          <t>RONNEBY</t>
        </is>
      </c>
      <c r="G28" t="n">
        <v>34.4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60681-2018 artfynd.xlsx", "A 60681-2018")</f>
        <v/>
      </c>
      <c r="T28">
        <f>HYPERLINK("https://klasma.github.io/Logging_1081/kartor/A 60681-2018 karta.png", "A 60681-2018")</f>
        <v/>
      </c>
      <c r="V28">
        <f>HYPERLINK("https://klasma.github.io/Logging_1081/klagomål/A 60681-2018 FSC-klagomål.docx", "A 60681-2018")</f>
        <v/>
      </c>
      <c r="W28">
        <f>HYPERLINK("https://klasma.github.io/Logging_1081/klagomålsmail/A 60681-2018 FSC-klagomål mail.docx", "A 60681-2018")</f>
        <v/>
      </c>
      <c r="X28">
        <f>HYPERLINK("https://klasma.github.io/Logging_1081/tillsyn/A 60681-2018 tillsynsbegäran.docx", "A 60681-2018")</f>
        <v/>
      </c>
      <c r="Y28">
        <f>HYPERLINK("https://klasma.github.io/Logging_1081/tillsynsmail/A 60681-2018 tillsynsbegäran mail.docx", "A 60681-2018")</f>
        <v/>
      </c>
    </row>
    <row r="29" ht="15" customHeight="1">
      <c r="A29" t="inlineStr">
        <is>
          <t>A 70663-2018</t>
        </is>
      </c>
      <c r="B29" s="1" t="n">
        <v>43447</v>
      </c>
      <c r="C29" s="1" t="n">
        <v>45352</v>
      </c>
      <c r="D29" t="inlineStr">
        <is>
          <t>BLEKINGE LÄN</t>
        </is>
      </c>
      <c r="E29" t="inlineStr">
        <is>
          <t>KARLSKRONA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Bågpraktmossa</t>
        </is>
      </c>
      <c r="S29">
        <f>HYPERLINK("https://klasma.github.io/Logging_1080/artfynd/A 70663-2018 artfynd.xlsx", "A 70663-2018")</f>
        <v/>
      </c>
      <c r="T29">
        <f>HYPERLINK("https://klasma.github.io/Logging_1080/kartor/A 70663-2018 karta.png", "A 70663-2018")</f>
        <v/>
      </c>
      <c r="V29">
        <f>HYPERLINK("https://klasma.github.io/Logging_1080/klagomål/A 70663-2018 FSC-klagomål.docx", "A 70663-2018")</f>
        <v/>
      </c>
      <c r="W29">
        <f>HYPERLINK("https://klasma.github.io/Logging_1080/klagomålsmail/A 70663-2018 FSC-klagomål mail.docx", "A 70663-2018")</f>
        <v/>
      </c>
      <c r="X29">
        <f>HYPERLINK("https://klasma.github.io/Logging_1080/tillsyn/A 70663-2018 tillsynsbegäran.docx", "A 70663-2018")</f>
        <v/>
      </c>
      <c r="Y29">
        <f>HYPERLINK("https://klasma.github.io/Logging_1080/tillsynsmail/A 70663-2018 tillsynsbegäran mail.docx", "A 70663-2018")</f>
        <v/>
      </c>
    </row>
    <row r="30" ht="15" customHeight="1">
      <c r="A30" t="inlineStr">
        <is>
          <t>A 71465-2018</t>
        </is>
      </c>
      <c r="B30" s="1" t="n">
        <v>43451</v>
      </c>
      <c r="C30" s="1" t="n">
        <v>45352</v>
      </c>
      <c r="D30" t="inlineStr">
        <is>
          <t>BLEKINGE LÄN</t>
        </is>
      </c>
      <c r="E30" t="inlineStr">
        <is>
          <t>KARLSKRONA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HYPERLINK("https://klasma.github.io/Logging_1080/artfynd/A 71465-2018 artfynd.xlsx", "A 71465-2018")</f>
        <v/>
      </c>
      <c r="T30">
        <f>HYPERLINK("https://klasma.github.io/Logging_1080/kartor/A 71465-2018 karta.png", "A 71465-2018")</f>
        <v/>
      </c>
      <c r="V30">
        <f>HYPERLINK("https://klasma.github.io/Logging_1080/klagomål/A 71465-2018 FSC-klagomål.docx", "A 71465-2018")</f>
        <v/>
      </c>
      <c r="W30">
        <f>HYPERLINK("https://klasma.github.io/Logging_1080/klagomålsmail/A 71465-2018 FSC-klagomål mail.docx", "A 71465-2018")</f>
        <v/>
      </c>
      <c r="X30">
        <f>HYPERLINK("https://klasma.github.io/Logging_1080/tillsyn/A 71465-2018 tillsynsbegäran.docx", "A 71465-2018")</f>
        <v/>
      </c>
      <c r="Y30">
        <f>HYPERLINK("https://klasma.github.io/Logging_1080/tillsynsmail/A 71465-2018 tillsynsbegäran mail.docx", "A 71465-2018")</f>
        <v/>
      </c>
    </row>
    <row r="31" ht="15" customHeight="1">
      <c r="A31" t="inlineStr">
        <is>
          <t>A 8587-2019</t>
        </is>
      </c>
      <c r="B31" s="1" t="n">
        <v>43502</v>
      </c>
      <c r="C31" s="1" t="n">
        <v>45352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Flodkräfta</t>
        </is>
      </c>
      <c r="S31">
        <f>HYPERLINK("https://klasma.github.io/Logging_1081/artfynd/A 8587-2019 artfynd.xlsx", "A 8587-2019")</f>
        <v/>
      </c>
      <c r="T31">
        <f>HYPERLINK("https://klasma.github.io/Logging_1081/kartor/A 8587-2019 karta.png", "A 8587-2019")</f>
        <v/>
      </c>
      <c r="V31">
        <f>HYPERLINK("https://klasma.github.io/Logging_1081/klagomål/A 8587-2019 FSC-klagomål.docx", "A 8587-2019")</f>
        <v/>
      </c>
      <c r="W31">
        <f>HYPERLINK("https://klasma.github.io/Logging_1081/klagomålsmail/A 8587-2019 FSC-klagomål mail.docx", "A 8587-2019")</f>
        <v/>
      </c>
      <c r="X31">
        <f>HYPERLINK("https://klasma.github.io/Logging_1081/tillsyn/A 8587-2019 tillsynsbegäran.docx", "A 8587-2019")</f>
        <v/>
      </c>
      <c r="Y31">
        <f>HYPERLINK("https://klasma.github.io/Logging_1081/tillsynsmail/A 8587-2019 tillsynsbegäran mail.docx", "A 8587-2019")</f>
        <v/>
      </c>
    </row>
    <row r="32" ht="15" customHeight="1">
      <c r="A32" t="inlineStr">
        <is>
          <t>A 10579-2019</t>
        </is>
      </c>
      <c r="B32" s="1" t="n">
        <v>43514</v>
      </c>
      <c r="C32" s="1" t="n">
        <v>45352</v>
      </c>
      <c r="D32" t="inlineStr">
        <is>
          <t>BLEKINGE LÄN</t>
        </is>
      </c>
      <c r="E32" t="inlineStr">
        <is>
          <t>RONNEBY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HYPERLINK("https://klasma.github.io/Logging_1081/artfynd/A 10579-2019 artfynd.xlsx", "A 10579-2019")</f>
        <v/>
      </c>
      <c r="T32">
        <f>HYPERLINK("https://klasma.github.io/Logging_1081/kartor/A 10579-2019 karta.png", "A 10579-2019")</f>
        <v/>
      </c>
      <c r="V32">
        <f>HYPERLINK("https://klasma.github.io/Logging_1081/klagomål/A 10579-2019 FSC-klagomål.docx", "A 10579-2019")</f>
        <v/>
      </c>
      <c r="W32">
        <f>HYPERLINK("https://klasma.github.io/Logging_1081/klagomålsmail/A 10579-2019 FSC-klagomål mail.docx", "A 10579-2019")</f>
        <v/>
      </c>
      <c r="X32">
        <f>HYPERLINK("https://klasma.github.io/Logging_1081/tillsyn/A 10579-2019 tillsynsbegäran.docx", "A 10579-2019")</f>
        <v/>
      </c>
      <c r="Y32">
        <f>HYPERLINK("https://klasma.github.io/Logging_1081/tillsynsmail/A 10579-2019 tillsynsbegäran mail.docx", "A 10579-2019")</f>
        <v/>
      </c>
    </row>
    <row r="33" ht="15" customHeight="1">
      <c r="A33" t="inlineStr">
        <is>
          <t>A 13391-2019</t>
        </is>
      </c>
      <c r="B33" s="1" t="n">
        <v>43529</v>
      </c>
      <c r="C33" s="1" t="n">
        <v>45352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HYPERLINK("https://klasma.github.io/Logging_1081/artfynd/A 13391-2019 artfynd.xlsx", "A 13391-2019")</f>
        <v/>
      </c>
      <c r="T33">
        <f>HYPERLINK("https://klasma.github.io/Logging_1081/kartor/A 13391-2019 karta.png", "A 13391-2019")</f>
        <v/>
      </c>
      <c r="V33">
        <f>HYPERLINK("https://klasma.github.io/Logging_1081/klagomål/A 13391-2019 FSC-klagomål.docx", "A 13391-2019")</f>
        <v/>
      </c>
      <c r="W33">
        <f>HYPERLINK("https://klasma.github.io/Logging_1081/klagomålsmail/A 13391-2019 FSC-klagomål mail.docx", "A 13391-2019")</f>
        <v/>
      </c>
      <c r="X33">
        <f>HYPERLINK("https://klasma.github.io/Logging_1081/tillsyn/A 13391-2019 tillsynsbegäran.docx", "A 13391-2019")</f>
        <v/>
      </c>
      <c r="Y33">
        <f>HYPERLINK("https://klasma.github.io/Logging_1081/tillsynsmail/A 13391-2019 tillsynsbegäran mail.docx", "A 13391-2019")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45352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45352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45352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45352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45352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45352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45352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45352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33062-2020</t>
        </is>
      </c>
      <c r="B42" s="1" t="n">
        <v>44021</v>
      </c>
      <c r="C42" s="1" t="n">
        <v>45352</v>
      </c>
      <c r="D42" t="inlineStr">
        <is>
          <t>BLEKINGE LÄN</t>
        </is>
      </c>
      <c r="E42" t="inlineStr">
        <is>
          <t>KARLSKRONA</t>
        </is>
      </c>
      <c r="G42" t="n">
        <v>21.2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HYPERLINK("https://klasma.github.io/Logging_1080/artfynd/A 33062-2020 artfynd.xlsx", "A 33062-2020")</f>
        <v/>
      </c>
      <c r="T42">
        <f>HYPERLINK("https://klasma.github.io/Logging_1080/kartor/A 33062-2020 karta.png", "A 33062-2020")</f>
        <v/>
      </c>
      <c r="V42">
        <f>HYPERLINK("https://klasma.github.io/Logging_1080/klagomål/A 33062-2020 FSC-klagomål.docx", "A 33062-2020")</f>
        <v/>
      </c>
      <c r="W42">
        <f>HYPERLINK("https://klasma.github.io/Logging_1080/klagomålsmail/A 33062-2020 FSC-klagomål mail.docx", "A 33062-2020")</f>
        <v/>
      </c>
      <c r="X42">
        <f>HYPERLINK("https://klasma.github.io/Logging_1080/tillsyn/A 33062-2020 tillsynsbegäran.docx", "A 33062-2020")</f>
        <v/>
      </c>
      <c r="Y42">
        <f>HYPERLINK("https://klasma.github.io/Logging_1080/tillsynsmail/A 33062-2020 tillsynsbegäran mail.docx", "A 33062-2020")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45352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45352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45352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45352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45352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45352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45352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45352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45352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45352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45352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45352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45352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45352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45352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45352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45352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45352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45352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45352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45352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45352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45352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45352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45352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45352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45352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45352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45352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45352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45352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45352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45352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45352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45352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45352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45352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45352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45352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45352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17849-2023</t>
        </is>
      </c>
      <c r="B83" s="1" t="n">
        <v>45037</v>
      </c>
      <c r="C83" s="1" t="n">
        <v>45352</v>
      </c>
      <c r="D83" t="inlineStr">
        <is>
          <t>BLEKINGE LÄN</t>
        </is>
      </c>
      <c r="E83" t="inlineStr">
        <is>
          <t>KARLSKRONA</t>
        </is>
      </c>
      <c r="F83" t="inlineStr">
        <is>
          <t>Kommuner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HYPERLINK("https://klasma.github.io/Logging_1080/artfynd/A 17849-2023 artfynd.xlsx", "A 17849-2023")</f>
        <v/>
      </c>
      <c r="T83">
        <f>HYPERLINK("https://klasma.github.io/Logging_1080/kartor/A 17849-2023 karta.png", "A 17849-2023")</f>
        <v/>
      </c>
      <c r="V83">
        <f>HYPERLINK("https://klasma.github.io/Logging_1080/klagomål/A 17849-2023 FSC-klagomål.docx", "A 17849-2023")</f>
        <v/>
      </c>
      <c r="W83">
        <f>HYPERLINK("https://klasma.github.io/Logging_1080/klagomålsmail/A 17849-2023 FSC-klagomål mail.docx", "A 17849-2023")</f>
        <v/>
      </c>
      <c r="X83">
        <f>HYPERLINK("https://klasma.github.io/Logging_1080/tillsyn/A 17849-2023 tillsynsbegäran.docx", "A 17849-2023")</f>
        <v/>
      </c>
      <c r="Y83">
        <f>HYPERLINK("https://klasma.github.io/Logging_1080/tillsynsmail/A 17849-2023 tillsynsbegäran mail.docx", "A 17849-2023")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45352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45352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45352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45352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45352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45352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45352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56118-2023</t>
        </is>
      </c>
      <c r="B91" s="1" t="n">
        <v>45236</v>
      </c>
      <c r="C91" s="1" t="n">
        <v>45352</v>
      </c>
      <c r="D91" t="inlineStr">
        <is>
          <t>BLEKINGE LÄN</t>
        </is>
      </c>
      <c r="E91" t="inlineStr">
        <is>
          <t>SÖLVESBORG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HYPERLINK("https://klasma.github.io/Logging_1083/artfynd/A 56118-2023 artfynd.xlsx", "A 56118-2023")</f>
        <v/>
      </c>
      <c r="T91">
        <f>HYPERLINK("https://klasma.github.io/Logging_1083/kartor/A 56118-2023 karta.png", "A 56118-2023")</f>
        <v/>
      </c>
      <c r="V91">
        <f>HYPERLINK("https://klasma.github.io/Logging_1083/klagomål/A 56118-2023 FSC-klagomål.docx", "A 56118-2023")</f>
        <v/>
      </c>
      <c r="W91">
        <f>HYPERLINK("https://klasma.github.io/Logging_1083/klagomålsmail/A 56118-2023 FSC-klagomål mail.docx", "A 56118-2023")</f>
        <v/>
      </c>
      <c r="X91">
        <f>HYPERLINK("https://klasma.github.io/Logging_1083/tillsyn/A 56118-2023 tillsynsbegäran.docx", "A 56118-2023")</f>
        <v/>
      </c>
      <c r="Y91">
        <f>HYPERLINK("https://klasma.github.io/Logging_1083/tillsynsmail/A 56118-2023 tillsynsbegäran mail.docx", "A 56118-2023")</f>
        <v/>
      </c>
      <c r="Z91">
        <f>HYPERLINK("https://klasma.github.io/Logging_1083/fåglar/A 56118-2023 prioriterade fågelarter.docx", "A 56118-2023")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45352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45352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45352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45352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45352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45352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45352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45352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45352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45352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45352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45352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45352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45352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45352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45352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45352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45352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45352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45352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45352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45352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45352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45352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45352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45352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45352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45352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45352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45352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45352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45352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45352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45352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45352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45352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45352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45352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45352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45352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45352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45352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45352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45352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45352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45352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45352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45352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45352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45352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45352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45352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45352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45352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45352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45352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45352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45352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45352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45352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45352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45352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45352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45352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45352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45352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45352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45352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45352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45352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45352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45352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45352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45352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45352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45352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45352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45352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45352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45352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45352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45352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45352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45352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45352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45352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45352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45352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45352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45352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45352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45352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45352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45352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45352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45352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45352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45352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45352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45352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45352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45352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45352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45352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45352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45352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45352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45352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45352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45352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45352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45352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45352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45352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45352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45352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45352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45352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45352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45352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45352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45352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45352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45352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45352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45352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45352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45352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45352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45352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45352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45352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45352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45352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45352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45352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45352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45352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45352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45352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45352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45352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45352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45352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45352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45352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45352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45352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45352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45352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45352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45352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45352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45352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45352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45352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45352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45352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45352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45352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45352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45352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45352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45352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45352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45352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45352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45352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45352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45352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45352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45352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45352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45352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45352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45352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45352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45352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45352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45352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45352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45352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45352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45352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45352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45352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45352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45352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45352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45352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45352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45352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45352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45352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45352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45352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45352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45352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45352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45352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45352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45352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45352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45352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45352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45352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45352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45352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45352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45352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45352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45352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45352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45352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45352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45352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45352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45352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45352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45352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45352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45352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45352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45352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45352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45352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45352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45352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45352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45352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45352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45352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45352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45352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45352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45352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45352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45352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45352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45352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45352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45352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45352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45352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45352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45352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45352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45352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45352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45352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45352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45352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45352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45352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45352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45352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45352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45352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45352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45352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45352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45352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45352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45352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45352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45352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45352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45352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45352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45352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45352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45352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45352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45352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45352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45352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45352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45352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45352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45352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45352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45352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45352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45352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45352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45352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45352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45352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45352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45352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45352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45352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45352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45352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45352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45352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45352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45352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45352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45352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45352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45352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45352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45352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45352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45352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45352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45352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45352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45352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45352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45352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45352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45352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45352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45352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45352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45352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45352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45352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45352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45352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45352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45352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45352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45352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45352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45352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45352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45352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45352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45352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45352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45352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45352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45352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45352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45352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45352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45352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45352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45352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45352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45352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45352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45352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45352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45352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45352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45352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45352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45352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45352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45352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45352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45352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45352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45352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45352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45352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45352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45352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45352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45352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45352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45352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45352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45352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45352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45352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45352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45352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45352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45352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45352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45352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45352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45352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45352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45352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45352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45352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45352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45352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45352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45352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45352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45352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45352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45352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45352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45352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45352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45352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45352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45352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45352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45352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45352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45352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45352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45352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45352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45352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45352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45352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45352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45352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45352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45352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45352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45352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45352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45352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45352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45352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45352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45352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45352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45352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45352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45352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45352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45352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45352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45352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45352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45352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45352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45352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45352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45352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45352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45352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45352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45352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45352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45352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45352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45352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45352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45352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45352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45352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45352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45352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45352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45352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45352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45352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45352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45352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45352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45352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45352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45352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45352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45352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45352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45352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45352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45352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45352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45352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45352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45352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45352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45352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45352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45352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45352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45352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45352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45352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45352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45352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45352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45352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45352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45352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45352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45352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45352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45352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45352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45352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45352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45352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45352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45352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45352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45352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45352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45352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45352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45352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45352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45352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45352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45352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45352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45352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45352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45352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45352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45352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45352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45352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45352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45352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45352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45352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45352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45352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45352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45352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45352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45352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45352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45352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45352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45352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45352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45352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45352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45352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45352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45352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45352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45352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45352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45352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45352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45352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45352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45352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45352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45352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45352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45352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45352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45352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45352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45352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45352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45352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45352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45352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45352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45352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45352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45352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45352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45352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45352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45352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45352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45352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45352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45352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45352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45352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45352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45352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45352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45352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45352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45352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45352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45352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45352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45352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45352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45352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45352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45352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45352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45352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45352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45352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45352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45352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45352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45352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45352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45352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45352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45352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45352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45352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45352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45352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45352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45352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45352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45352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45352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45352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45352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45352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45352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45352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45352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45352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45352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45352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45352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45352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45352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45352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45352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45352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45352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45352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45352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45352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45352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45352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45352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45352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45352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45352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45352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45352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45352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45352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45352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45352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45352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45352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45352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45352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45352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45352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45352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45352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45352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45352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45352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45352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45352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45352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45352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45352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45352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45352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45352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45352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45352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45352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45352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45352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45352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45352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45352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45352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45352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45352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45352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45352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45352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45352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45352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45352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45352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45352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45352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45352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45352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45352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45352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45352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45352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45352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45352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45352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45352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45352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45352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45352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45352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45352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45352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45352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45352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45352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45352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45352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45352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45352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45352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45352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45352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45352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45352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45352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45352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45352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45352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45352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45352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45352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45352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45352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45352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45352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45352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45352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45352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45352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45352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45352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45352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45352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45352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45352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45352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45352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45352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45352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45352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45352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45352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45352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45352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45352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45352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45352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45352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45352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45352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45352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45352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45352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45352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45352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45352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45352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45352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45352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45352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45352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45352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45352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45352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45352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45352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45352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45352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45352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45352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45352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45352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45352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45352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45352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45352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45352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45352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45352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45352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45352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45352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45352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45352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45352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45352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45352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45352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45352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45352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45352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45352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45352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45352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45352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45352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45352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45352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45352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45352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45352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45352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45352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45352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45352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45352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45352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45352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45352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45352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45352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45352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45352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45352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45352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45352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45352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45352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45352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45352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45352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45352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45352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45352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45352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45352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45352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45352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45352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45352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45352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45352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45352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45352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45352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45352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45352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45352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45352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45352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45352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45352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45352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45352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45352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45352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45352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45352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45352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45352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45352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45352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45352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45352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45352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45352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45352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45352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45352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45352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45352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45352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45352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45352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45352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45352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45352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45352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45352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45352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45352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45352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45352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45352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45352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45352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45352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45352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45352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45352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45352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45352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45352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45352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45352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45352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45352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45352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45352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45352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45352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45352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45352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45352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45352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45352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45352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45352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45352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45352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45352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45352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45352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45352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45352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45352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45352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45352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45352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45352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45352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45352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45352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45352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45352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45352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45352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45352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45352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45352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45352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45352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45352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45352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45352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45352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45352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45352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45352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45352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45352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45352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45352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45352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45352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45352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45352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45352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45352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45352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45352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45352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45352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45352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45352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45352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45352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45352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45352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45352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45352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45352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45352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45352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45352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45352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45352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45352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45352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45352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45352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45352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45352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45352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45352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45352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45352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45352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45352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45352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45352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45352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45352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45352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45352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45352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45352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45352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45352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45352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45352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45352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45352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45352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45352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45352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45352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45352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45352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45352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45352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45352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45352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45352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45352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45352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45352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45352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45352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45352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45352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45352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45352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45352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45352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45352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45352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45352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45352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45352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45352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45352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45352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45352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45352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45352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45352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45352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45352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45352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45352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45352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45352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45352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45352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45352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45352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45352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45352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45352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45352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45352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45352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45352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45352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45352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45352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45352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45352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45352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45352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45352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45352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45352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45352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45352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45352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45352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45352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45352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45352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45352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45352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45352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45352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45352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45352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45352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45352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45352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45352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45352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45352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45352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45352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45352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45352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45352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45352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45352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45352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45352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45352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45352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45352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45352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45352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45352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45352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45352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45352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45352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45352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45352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45352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45352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45352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45352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45352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45352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45352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45352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45352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45352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45352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45352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45352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45352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45352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45352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45352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45352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45352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45352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45352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45352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45352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45352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45352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45352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45352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45352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45352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45352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45352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45352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45352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45352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45352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45352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45352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45352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45352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45352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45352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45352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45352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45352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45352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45352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45352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45352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45352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45352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45352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45352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45352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45352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45352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45352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45352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45352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45352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45352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45352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45352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45352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45352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45352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45352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45352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45352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45352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45352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45352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45352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45352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45352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45352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45352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45352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45352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45352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45352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45352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45352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45352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45352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45352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45352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45352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45352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45352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45352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45352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45352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45352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45352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45352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45352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45352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45352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45352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45352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45352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45352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45352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45352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45352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45352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45352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45352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45352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45352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45352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45352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45352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45352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45352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45352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45352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45352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45352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45352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45352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45352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45352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45352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45352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45352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45352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45352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45352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45352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45352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45352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45352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45352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45352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45352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45352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45352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45352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45352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45352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45352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45352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45352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45352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45352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45352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45352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45352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45352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45352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45352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45352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45352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45352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45352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45352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45352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45352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45352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45352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45352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45352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45352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45352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45352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45352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45352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45352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45352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45352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45352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45352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45352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45352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45352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45352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45352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45352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45352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45352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45352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45352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45352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45352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45352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45352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45352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45352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45352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45352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45352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45352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45352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45352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45352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45352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45352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45352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45352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45352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45352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45352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45352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45352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45352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45352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45352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45352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45352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45352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45352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45352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45352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45352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45352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45352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45352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45352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45352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45352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45352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45352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45352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45352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45352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45352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45352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45352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45352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45352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45352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45352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45352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45352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45352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45352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45352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45352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45352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45352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45352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45352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45352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45352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45352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45352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45352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45352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45352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45352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45352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45352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45352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45352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45352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45352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45352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45352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45352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45352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45352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45352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45352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45352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45352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45352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45352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45352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45352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45352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45352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45352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45352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45352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45352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45352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45352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45352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45352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45352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45352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45352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45352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45352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45352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45352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45352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45352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45352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45352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45352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45352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45352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45352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45352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45352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45352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45352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45352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45352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45352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45352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45352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45352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45352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45352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45352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45352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45352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45352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45352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45352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45352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45352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45352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45352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45352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45352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45352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45352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45352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45352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45352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45352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45352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45352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45352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45352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45352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45352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45352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45352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45352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45352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45352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45352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45352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45352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45352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45352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45352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45352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45352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45352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45352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45352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45352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45352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45352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45352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45352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45352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45352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45352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45352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45352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45352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45352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45352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45352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45352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45352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45352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45352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45352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45352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45352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45352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45352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45352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45352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45352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45352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45352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45352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45352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45352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45352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45352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45352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45352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45352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45352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45352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45352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45352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45352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45352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45352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45352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45352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45352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45352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45352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45352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45352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45352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45352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45352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45352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45352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45352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45352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45352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45352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45352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45352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45352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45352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45352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45352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45352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45352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45352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45352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45352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45352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45352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45352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45352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45352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45352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45352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45352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45352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45352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45352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45352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45352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45352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45352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45352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45352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45352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45352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45352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45352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45352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45352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45352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45352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45352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45352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45352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45352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45352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45352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45352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45352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45352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45352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45352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45352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45352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45352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45352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45352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45352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45352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45352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45352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45352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45352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45352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45352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45352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45352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45352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45352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45352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45352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45352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45352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45352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45352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45352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45352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45352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45352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45352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45352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45352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45352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45352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45352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45352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45352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45352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45352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45352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45352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45352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45352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45352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45352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45352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45352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45352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45352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45352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45352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45352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45352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45352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45352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45352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45352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45352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45352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45352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45352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45352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45352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45352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45352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45352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45352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45352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45352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45352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45352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45352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45352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45352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45352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45352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45352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45352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45352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45352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45352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45352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45352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45352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45352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45352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45352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45352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45352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45352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45352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45352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45352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45352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45352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45352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45352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45352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45352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45352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45352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45352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45352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45352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45352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45352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45352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45352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45352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45352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45352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45352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45352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45352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45352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45352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45352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45352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45352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45352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45352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45352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45352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45352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45352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45352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45352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45352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45352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45352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45352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45352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45352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45352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45352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45352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45352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45352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45352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45352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45352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45352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45352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45352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45352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45352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45352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45352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45352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45352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45352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45352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45352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45352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45352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45352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45352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45352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45352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45352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45352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45352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45352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45352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45352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45352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45352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45352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45352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45352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45352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45352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45352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45352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45352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45352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45352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45352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45352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45352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45352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45352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45352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45352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45352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45352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45352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45352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45352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45352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45352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45352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45352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45352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45352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45352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45352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45352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45352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45352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45352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45352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45352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45352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45352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45352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45352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45352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45352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45352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45352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45352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45352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45352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45352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45352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45352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45352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45352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45352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45352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45352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45352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45352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45352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45352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45352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45352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45352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45352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45352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45352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45352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45352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45352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45352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45352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45352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45352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45352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45352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45352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45352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45352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45352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45352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45352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45352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45352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45352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45352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45352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45352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45352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45352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45352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45352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45352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45352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45352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45352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45352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45352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45352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45352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45352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45352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45352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45352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45352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45352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45352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45352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45352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45352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45352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45352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45352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45352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45352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45352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45352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45352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45352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45352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45352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45352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45352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45352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45352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45352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45352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45352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45352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45352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45352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45352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45352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45352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45352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45352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45352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45352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45352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45352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45352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45352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45352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45352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45352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45352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45352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45352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45352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45352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45352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45352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45352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45352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45352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45352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45352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45352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45352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45352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45352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45352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45352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45352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45352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45352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45352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45352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45352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45352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45352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45352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45352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45352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45352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45352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45352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45352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45352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45352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45352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45352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45352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45352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45352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45352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45352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45352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45352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45352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45352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45352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45352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45352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45352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45352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45352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45352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45352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45352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45352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45352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45352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45352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45352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45352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45352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45352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45352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45352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45352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45352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45352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45352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45352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45352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45352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45352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45352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45352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45352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45352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45352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45352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45352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45352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45352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45352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45352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45352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45352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45352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45352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45352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45352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45352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45352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45352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45352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45352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45352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45352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45352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45352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45352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45352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45352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45352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45352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45352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45352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45352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45352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45352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45352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45352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45352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45352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45352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45352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45352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45352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45352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45352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45352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45352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45352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45352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45352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45352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45352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45352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45352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45352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45352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45352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45352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45352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45352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45352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45352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45352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45352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45352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45352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45352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45352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45352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45352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45352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45352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45352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45352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45352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45352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45352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45352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45352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45352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45352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45352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45352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45352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45352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45352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45352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45352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45352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45352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45352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45352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45352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45352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45352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45352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45352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45352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45352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45352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45352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45352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45352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45352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45352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45352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45352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45352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45352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45352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45352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45352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45352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45352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45352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45352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45352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45352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45352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45352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45352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45352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45352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45352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45352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45352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45352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45352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45352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45352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45352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45352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45352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45352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45352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45352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45352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45352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45352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45352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45352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45352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45352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45352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45352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45352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45352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45352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45352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45352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45352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45352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45352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45352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45352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45352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45352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45352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45352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45352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45352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45352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45352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45352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45352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45352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45352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45352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45352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45352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45352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45352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45352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45352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45352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45352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45352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45352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45352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45352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45352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45352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45352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45352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45352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45352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45352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45352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45352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45352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45352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45352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45352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45352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45352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45352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45352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45352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45352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45352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45352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45352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45352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45352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45352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45352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45352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45352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45352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45352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45352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45352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45352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45352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45352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45352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45352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45352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45352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45352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45352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45352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45352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45352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45352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45352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45352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45352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45352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45352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45352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45352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45352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45352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45352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45352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45352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45352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45352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45352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45352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45352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45352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45352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45352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45352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45352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45352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45352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45352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45352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45352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45352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45352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45352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45352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45352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45352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45352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45352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45352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45352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45352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45352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45352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45352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45352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45352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45352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45352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45352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45352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45352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45352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45352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45352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45352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45352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45352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45352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45352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45352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45352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45352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45352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45352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45352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45352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45352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45352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45352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45352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45352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45352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45352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45352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45352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45352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45352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45352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45352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45352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45352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45352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45352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45352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45352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45352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45352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45352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45352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45352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45352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45352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45352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45352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45352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45352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45352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45352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45352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45352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45352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45352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45352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45352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45352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45352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45352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45352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45352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45352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45352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45352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45352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45352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45352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45352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45352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45352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45352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45352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45352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45352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45352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45352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45352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45352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45352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45352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45352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45352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45352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45352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45352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45352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45352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45352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45352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45352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45352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45352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45352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45352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45352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45352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45352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45352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45352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45352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45352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45352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45352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45352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45352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45352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45352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45352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45352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45352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45352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45352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45352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45352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45352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45352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45352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45352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45352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45352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45352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45352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45352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45352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45352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45352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45352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45352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45352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45352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45352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45352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45352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45352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45352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45352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45352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45352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45352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45352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45352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45352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45352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45352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45352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45352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45352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45352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45352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45352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45352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45352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45352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45352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45352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45352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45352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45352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45352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45352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45352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45352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45352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45352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45352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45352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45352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45352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45352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45352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45352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45352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45352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45352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45352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45352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45352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45352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45352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45352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45352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45352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45352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45352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45352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45352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45352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45352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45352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45352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45352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45352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45352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45352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45352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45352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45352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45352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45352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45352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45352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45352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45352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45352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45352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45352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45352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45352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45352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45352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45352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45352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45352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45352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45352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45352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45352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45352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45352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45352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45352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45352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45352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45352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45352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45352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45352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45352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45352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45352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45352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45352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45352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45352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45352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45352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45352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45352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45352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45352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45352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45352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45352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45352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45352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45352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45352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45352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45352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45352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45352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45352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45352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45352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45352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45352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45352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45352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45352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45352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45352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45352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45352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45352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45352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45352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45352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45352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45352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45352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45352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45352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45352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45352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45352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45352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45352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45352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45352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45352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45352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45352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45352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45352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45352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45352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45352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45352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45352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45352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45352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45352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45352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45352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45352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45352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45352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45352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45352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45352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45352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45352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45352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45352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45352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45352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45352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45352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45352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45352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45352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45352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45352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45352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45352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45352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45352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45352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45352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45352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45352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45352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45352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45352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45352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45352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45352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45352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45352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45352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45352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45352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45352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45352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45352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45352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45352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45352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45352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45352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45352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45352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45352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45352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45352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45352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45352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45352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45352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45352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45352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45352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45352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45352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45352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45352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45352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45352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45352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45352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45352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45352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45352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45352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45352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45352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45352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45352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45352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45352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45352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45352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45352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45352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45352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45352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45352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45352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45352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45352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45352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45352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45352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45352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45352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45352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45352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45352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45352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45352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45352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45352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45352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45352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45352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45352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45352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45352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45352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45352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45352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45352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45352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45352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45352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45352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45352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45352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45352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45352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45352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45352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45352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45352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45352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45352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45352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45352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45352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45352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45352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45352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45352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45352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45352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45352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45352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45352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45352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45352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45352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45352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45352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45352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45352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45352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45352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45352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45352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45352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45352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45352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45352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45352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45352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45352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45352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45352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45352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45352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45352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45352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45352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45352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45352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45352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45352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45352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45352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45352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45352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45352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45352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45352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45352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45352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45352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45352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45352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45352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45352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45352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45352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45352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45352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45352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45352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45352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45352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45352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45352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45352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45352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45352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45352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45352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45352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45352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45352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45352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45352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45352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45352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45352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45352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45352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45352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45352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45352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45352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45352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45352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45352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45352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45352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45352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45352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45352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45352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45352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45352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45352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45352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45352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45352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45352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45352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45352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45352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45352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45352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45352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45352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45352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45352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45352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45352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45352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45352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45352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45352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45352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45352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45352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45352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45352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45352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45352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45352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45352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45352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45352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45352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45352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45352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45352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45352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45352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45352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45352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45352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45352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45352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45352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45352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45352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45352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45352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45352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45352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45352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45352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45352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45352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45352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45352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45352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45352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45352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45352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45352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45352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45352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45352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45352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45352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45352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45352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45352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45352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45352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45352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45352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45352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45352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45352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45352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45352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45352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45352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45352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45352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45352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45352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45352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45352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45352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45352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45352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45352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45352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45352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45352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45352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45352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45352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45352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45352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45352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45352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45352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45352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45352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45352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45352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45352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45352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45352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45352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45352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45352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45352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45352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45352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45352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45352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45352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45352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45352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45352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45352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45352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45352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45352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45352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45352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45352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45352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45352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45352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45352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45352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45352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45352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45352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45352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45352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45352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45352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45352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45352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45352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45352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45352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45352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45352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45352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45352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45352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45352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45352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45352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45352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45352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45352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45352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45352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45352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45352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45352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45352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45352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45352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45352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45352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45352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45352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45352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45352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45352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45352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45352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45352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45352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45352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45352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45352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45352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45352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45352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45352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45352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45352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45352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45352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45352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45352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45352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45352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45352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45352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45352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45352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45352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45352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45352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45352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45352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45352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45352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45352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45352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45352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45352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45352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45352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45352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45352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45352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45352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45352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45352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45352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45352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45352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45352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45352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45352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45352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45352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45352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45352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45352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45352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45352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45352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45352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45352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45352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45352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45352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45352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45352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45352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45352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45352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45352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45352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45352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45352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45352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45352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45352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45352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45352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45352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45352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45352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45352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45352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45352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45352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45352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45352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45352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45352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45352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45352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45352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45352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45352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45352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45352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45352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45352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45352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45352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45352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45352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45352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45352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45352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45352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45352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45352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45352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45352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45352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45352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45352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45352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45352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45352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45352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45352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45352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45352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45352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45352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45352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45352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45352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45352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45352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45352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45352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45352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45352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45352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45352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45352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45352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45352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45352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45352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45352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45352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45352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45352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45352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45352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45352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45352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45352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45352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45352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45352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45352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45352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45352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45352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45352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45352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45352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45352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45352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45352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45352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45352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45352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45352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45352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45352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45352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45352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45352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45352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45352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45352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45352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45352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45352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45352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45352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45352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45352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45352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45352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45352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45352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45352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45352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45352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45352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45352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45352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45352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45352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45352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45352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45352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45352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45352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45352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45352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45352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45352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45352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45352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45352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45352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45352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45352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45352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45352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45352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45352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45352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45352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45352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45352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45352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45352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45352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45352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45352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45352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45352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45352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45352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45352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45352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45352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45352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45352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45352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45352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45352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45352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45352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45352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45352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45352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45352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45352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45352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45352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45352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45352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45352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45352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45352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45352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45352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45352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45352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45352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45352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45352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45352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45352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45352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45352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45352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45352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45352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45352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45352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45352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45352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45352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45352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45352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45352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45352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45352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45352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45352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45352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45352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45352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45352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45352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45352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45352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45352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45352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45352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45352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45352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45352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45352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45352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45352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45352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45352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45352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45352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45352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45352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45352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45352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45352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45352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45352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45352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45352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45352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45352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45352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45352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45352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45352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45352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45352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45352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45352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45352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45352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45352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45352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45352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45352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45352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45352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45352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45352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45352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45352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45352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45352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45352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45352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45352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45352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45352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45352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45352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45352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45352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45352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45352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45352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45352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45352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45352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45352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45352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45352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45352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45352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45352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45352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45352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45352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45352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45352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45352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45352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45352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45352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45352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45352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45352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45352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45352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45352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45352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45352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45352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45352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45352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45352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45352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45352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45352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45352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45352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45352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45352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45352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45352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45352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45352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45352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45352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45352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45352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45352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45352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45352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45352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45352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45352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45352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45352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45352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45352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45352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45352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45352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45352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45352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45352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45352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45352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45352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45352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45352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45352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45352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45352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45352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45352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45352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45352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45352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45352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45352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45352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45352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45352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45352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45352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45352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45352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45352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45352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45352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45352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45352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45352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45352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45352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45352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45352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4161-2024</t>
        </is>
      </c>
      <c r="B3398" s="1" t="n">
        <v>45323</v>
      </c>
      <c r="C3398" s="1" t="n">
        <v>45352</v>
      </c>
      <c r="D3398" t="inlineStr">
        <is>
          <t>BLEKINGE LÄN</t>
        </is>
      </c>
      <c r="E3398" t="inlineStr">
        <is>
          <t>KARLSKRONA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4156-2024</t>
        </is>
      </c>
      <c r="B3399" s="1" t="n">
        <v>45323</v>
      </c>
      <c r="C3399" s="1" t="n">
        <v>45352</v>
      </c>
      <c r="D3399" t="inlineStr">
        <is>
          <t>BLEKINGE LÄN</t>
        </is>
      </c>
      <c r="E3399" t="inlineStr">
        <is>
          <t>KARLSKRONA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45352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45352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4286-2024</t>
        </is>
      </c>
      <c r="B3402" s="1" t="n">
        <v>45324</v>
      </c>
      <c r="C3402" s="1" t="n">
        <v>45352</v>
      </c>
      <c r="D3402" t="inlineStr">
        <is>
          <t>BLEKINGE LÄN</t>
        </is>
      </c>
      <c r="E3402" t="inlineStr">
        <is>
          <t>KARLSKRONA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45352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45352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4480-2024</t>
        </is>
      </c>
      <c r="B3405" s="1" t="n">
        <v>45327</v>
      </c>
      <c r="C3405" s="1" t="n">
        <v>45352</v>
      </c>
      <c r="D3405" t="inlineStr">
        <is>
          <t>BLEKINGE LÄN</t>
        </is>
      </c>
      <c r="E3405" t="inlineStr">
        <is>
          <t>OLOFSTRÖM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45352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45352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45352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4670-2024</t>
        </is>
      </c>
      <c r="B3409" s="1" t="n">
        <v>45328</v>
      </c>
      <c r="C3409" s="1" t="n">
        <v>45352</v>
      </c>
      <c r="D3409" t="inlineStr">
        <is>
          <t>BLEKINGE LÄN</t>
        </is>
      </c>
      <c r="E3409" t="inlineStr">
        <is>
          <t>RONNEBY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4675-2024</t>
        </is>
      </c>
      <c r="B3410" s="1" t="n">
        <v>45328</v>
      </c>
      <c r="C3410" s="1" t="n">
        <v>45352</v>
      </c>
      <c r="D3410" t="inlineStr">
        <is>
          <t>BLEKINGE LÄN</t>
        </is>
      </c>
      <c r="E3410" t="inlineStr">
        <is>
          <t>RONNEBY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4728-2024</t>
        </is>
      </c>
      <c r="B3411" s="1" t="n">
        <v>45328</v>
      </c>
      <c r="C3411" s="1" t="n">
        <v>45352</v>
      </c>
      <c r="D3411" t="inlineStr">
        <is>
          <t>BLEKINGE LÄN</t>
        </is>
      </c>
      <c r="E3411" t="inlineStr">
        <is>
          <t>RONNEBY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4665-2024</t>
        </is>
      </c>
      <c r="B3412" s="1" t="n">
        <v>45328</v>
      </c>
      <c r="C3412" s="1" t="n">
        <v>45352</v>
      </c>
      <c r="D3412" t="inlineStr">
        <is>
          <t>BLEKINGE LÄN</t>
        </is>
      </c>
      <c r="E3412" t="inlineStr">
        <is>
          <t>RONNEBY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4681-2024</t>
        </is>
      </c>
      <c r="B3413" s="1" t="n">
        <v>45328</v>
      </c>
      <c r="C3413" s="1" t="n">
        <v>45352</v>
      </c>
      <c r="D3413" t="inlineStr">
        <is>
          <t>BLEKINGE LÄN</t>
        </is>
      </c>
      <c r="E3413" t="inlineStr">
        <is>
          <t>RONNEBY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4676-2024</t>
        </is>
      </c>
      <c r="B3414" s="1" t="n">
        <v>45328</v>
      </c>
      <c r="C3414" s="1" t="n">
        <v>45352</v>
      </c>
      <c r="D3414" t="inlineStr">
        <is>
          <t>BLEKINGE LÄN</t>
        </is>
      </c>
      <c r="E3414" t="inlineStr">
        <is>
          <t>RONNEBY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4698-2024</t>
        </is>
      </c>
      <c r="B3415" s="1" t="n">
        <v>45328</v>
      </c>
      <c r="C3415" s="1" t="n">
        <v>45352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4714-2024</t>
        </is>
      </c>
      <c r="B3416" s="1" t="n">
        <v>45328</v>
      </c>
      <c r="C3416" s="1" t="n">
        <v>45352</v>
      </c>
      <c r="D3416" t="inlineStr">
        <is>
          <t>BLEKINGE LÄN</t>
        </is>
      </c>
      <c r="E3416" t="inlineStr">
        <is>
          <t>KARLSHAMN</t>
        </is>
      </c>
      <c r="G3416" t="n">
        <v>9.1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4700-2024</t>
        </is>
      </c>
      <c r="B3417" s="1" t="n">
        <v>45328</v>
      </c>
      <c r="C3417" s="1" t="n">
        <v>45352</v>
      </c>
      <c r="D3417" t="inlineStr">
        <is>
          <t>BLEKINGE LÄN</t>
        </is>
      </c>
      <c r="E3417" t="inlineStr">
        <is>
          <t>KARLSKRONA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4717-2024</t>
        </is>
      </c>
      <c r="B3418" s="1" t="n">
        <v>45328</v>
      </c>
      <c r="C3418" s="1" t="n">
        <v>45352</v>
      </c>
      <c r="D3418" t="inlineStr">
        <is>
          <t>BLEKINGE LÄN</t>
        </is>
      </c>
      <c r="E3418" t="inlineStr">
        <is>
          <t>OLOFSTRÖM</t>
        </is>
      </c>
      <c r="G3418" t="n">
        <v>9.199999999999999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4789-2024</t>
        </is>
      </c>
      <c r="B3419" s="1" t="n">
        <v>45328</v>
      </c>
      <c r="C3419" s="1" t="n">
        <v>45352</v>
      </c>
      <c r="D3419" t="inlineStr">
        <is>
          <t>BLEKINGE LÄN</t>
        </is>
      </c>
      <c r="E3419" t="inlineStr">
        <is>
          <t>OLOFSTRÖM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4790-2024</t>
        </is>
      </c>
      <c r="B3420" s="1" t="n">
        <v>45328</v>
      </c>
      <c r="C3420" s="1" t="n">
        <v>45352</v>
      </c>
      <c r="D3420" t="inlineStr">
        <is>
          <t>BLEKINGE LÄN</t>
        </is>
      </c>
      <c r="E3420" t="inlineStr">
        <is>
          <t>OLOFSTRÖM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4800-2024</t>
        </is>
      </c>
      <c r="B3421" s="1" t="n">
        <v>45328</v>
      </c>
      <c r="C3421" s="1" t="n">
        <v>45352</v>
      </c>
      <c r="D3421" t="inlineStr">
        <is>
          <t>BLEKINGE LÄN</t>
        </is>
      </c>
      <c r="E3421" t="inlineStr">
        <is>
          <t>KARLSKRONA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45352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45352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5138-2024</t>
        </is>
      </c>
      <c r="B3424" s="1" t="n">
        <v>45330</v>
      </c>
      <c r="C3424" s="1" t="n">
        <v>45352</v>
      </c>
      <c r="D3424" t="inlineStr">
        <is>
          <t>BLEKINGE LÄN</t>
        </is>
      </c>
      <c r="E3424" t="inlineStr">
        <is>
          <t>KARLSKRONA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5139-2024</t>
        </is>
      </c>
      <c r="B3425" s="1" t="n">
        <v>45330</v>
      </c>
      <c r="C3425" s="1" t="n">
        <v>45352</v>
      </c>
      <c r="D3425" t="inlineStr">
        <is>
          <t>BLEKINGE LÄN</t>
        </is>
      </c>
      <c r="E3425" t="inlineStr">
        <is>
          <t>KARLSKRONA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45352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45352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45352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5424-2024</t>
        </is>
      </c>
      <c r="B3429" s="1" t="n">
        <v>45331</v>
      </c>
      <c r="C3429" s="1" t="n">
        <v>45352</v>
      </c>
      <c r="D3429" t="inlineStr">
        <is>
          <t>BLEKINGE LÄN</t>
        </is>
      </c>
      <c r="E3429" t="inlineStr">
        <is>
          <t>RONNEBY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5428-2024</t>
        </is>
      </c>
      <c r="B3430" s="1" t="n">
        <v>45331</v>
      </c>
      <c r="C3430" s="1" t="n">
        <v>45352</v>
      </c>
      <c r="D3430" t="inlineStr">
        <is>
          <t>BLEKINGE LÄN</t>
        </is>
      </c>
      <c r="E3430" t="inlineStr">
        <is>
          <t>RONNEBY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5339-2024</t>
        </is>
      </c>
      <c r="B3431" s="1" t="n">
        <v>45331</v>
      </c>
      <c r="C3431" s="1" t="n">
        <v>45352</v>
      </c>
      <c r="D3431" t="inlineStr">
        <is>
          <t>BLEKINGE LÄN</t>
        </is>
      </c>
      <c r="E3431" t="inlineStr">
        <is>
          <t>SÖLVESBORG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5407-2024</t>
        </is>
      </c>
      <c r="B3432" s="1" t="n">
        <v>45331</v>
      </c>
      <c r="C3432" s="1" t="n">
        <v>45352</v>
      </c>
      <c r="D3432" t="inlineStr">
        <is>
          <t>BLEKINGE LÄN</t>
        </is>
      </c>
      <c r="E3432" t="inlineStr">
        <is>
          <t>SÖLVESBORG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5498-2024</t>
        </is>
      </c>
      <c r="B3433" s="1" t="n">
        <v>45331</v>
      </c>
      <c r="C3433" s="1" t="n">
        <v>45352</v>
      </c>
      <c r="D3433" t="inlineStr">
        <is>
          <t>BLEKINGE LÄN</t>
        </is>
      </c>
      <c r="E3433" t="inlineStr">
        <is>
          <t>KARLSKRONA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45352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45352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45352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5556-2024</t>
        </is>
      </c>
      <c r="B3437" s="1" t="n">
        <v>45334</v>
      </c>
      <c r="C3437" s="1" t="n">
        <v>45352</v>
      </c>
      <c r="D3437" t="inlineStr">
        <is>
          <t>BLEKINGE LÄN</t>
        </is>
      </c>
      <c r="E3437" t="inlineStr">
        <is>
          <t>KARLSKRONA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5717-2024</t>
        </is>
      </c>
      <c r="B3438" s="1" t="n">
        <v>45334</v>
      </c>
      <c r="C3438" s="1" t="n">
        <v>45352</v>
      </c>
      <c r="D3438" t="inlineStr">
        <is>
          <t>BLEKINGE LÄN</t>
        </is>
      </c>
      <c r="E3438" t="inlineStr">
        <is>
          <t>KARLSKRONA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5557-2024</t>
        </is>
      </c>
      <c r="B3439" s="1" t="n">
        <v>45334</v>
      </c>
      <c r="C3439" s="1" t="n">
        <v>45352</v>
      </c>
      <c r="D3439" t="inlineStr">
        <is>
          <t>BLEKINGE LÄN</t>
        </is>
      </c>
      <c r="E3439" t="inlineStr">
        <is>
          <t>KARLSKRONA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5566-2024</t>
        </is>
      </c>
      <c r="B3440" s="1" t="n">
        <v>45334</v>
      </c>
      <c r="C3440" s="1" t="n">
        <v>45352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5649-2024</t>
        </is>
      </c>
      <c r="B3441" s="1" t="n">
        <v>45334</v>
      </c>
      <c r="C3441" s="1" t="n">
        <v>45352</v>
      </c>
      <c r="D3441" t="inlineStr">
        <is>
          <t>BLEKINGE LÄN</t>
        </is>
      </c>
      <c r="E3441" t="inlineStr">
        <is>
          <t>KARLSKRONA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5651-2024</t>
        </is>
      </c>
      <c r="B3442" s="1" t="n">
        <v>45334</v>
      </c>
      <c r="C3442" s="1" t="n">
        <v>45352</v>
      </c>
      <c r="D3442" t="inlineStr">
        <is>
          <t>BLEKINGE LÄN</t>
        </is>
      </c>
      <c r="E3442" t="inlineStr">
        <is>
          <t>KARLSKRONA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5716-2024</t>
        </is>
      </c>
      <c r="B3443" s="1" t="n">
        <v>45334</v>
      </c>
      <c r="C3443" s="1" t="n">
        <v>45352</v>
      </c>
      <c r="D3443" t="inlineStr">
        <is>
          <t>BLEKINGE LÄN</t>
        </is>
      </c>
      <c r="E3443" t="inlineStr">
        <is>
          <t>KARLSKRONA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5720-2024</t>
        </is>
      </c>
      <c r="B3444" s="1" t="n">
        <v>45334</v>
      </c>
      <c r="C3444" s="1" t="n">
        <v>45352</v>
      </c>
      <c r="D3444" t="inlineStr">
        <is>
          <t>BLEKINGE LÄN</t>
        </is>
      </c>
      <c r="E3444" t="inlineStr">
        <is>
          <t>KARLSHAMN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5567-2024</t>
        </is>
      </c>
      <c r="B3445" s="1" t="n">
        <v>45334</v>
      </c>
      <c r="C3445" s="1" t="n">
        <v>45352</v>
      </c>
      <c r="D3445" t="inlineStr">
        <is>
          <t>BLEKINGE LÄN</t>
        </is>
      </c>
      <c r="E3445" t="inlineStr">
        <is>
          <t>KARLSKRONA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5719-2024</t>
        </is>
      </c>
      <c r="B3446" s="1" t="n">
        <v>45334</v>
      </c>
      <c r="C3446" s="1" t="n">
        <v>45352</v>
      </c>
      <c r="D3446" t="inlineStr">
        <is>
          <t>BLEKINGE LÄN</t>
        </is>
      </c>
      <c r="E3446" t="inlineStr">
        <is>
          <t>KARLSHAMN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45352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45352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6047-2024</t>
        </is>
      </c>
      <c r="B3449" s="1" t="n">
        <v>45336</v>
      </c>
      <c r="C3449" s="1" t="n">
        <v>45352</v>
      </c>
      <c r="D3449" t="inlineStr">
        <is>
          <t>BLEKINGE LÄN</t>
        </is>
      </c>
      <c r="E3449" t="inlineStr">
        <is>
          <t>RONNEBY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45352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45352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5979-2024</t>
        </is>
      </c>
      <c r="B3452" s="1" t="n">
        <v>45336</v>
      </c>
      <c r="C3452" s="1" t="n">
        <v>45352</v>
      </c>
      <c r="D3452" t="inlineStr">
        <is>
          <t>BLEKINGE LÄN</t>
        </is>
      </c>
      <c r="E3452" t="inlineStr">
        <is>
          <t>KARLSKRONA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6248-2024</t>
        </is>
      </c>
      <c r="B3453" s="1" t="n">
        <v>45337</v>
      </c>
      <c r="C3453" s="1" t="n">
        <v>45352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45352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6266-2024</t>
        </is>
      </c>
      <c r="B3455" s="1" t="n">
        <v>45337</v>
      </c>
      <c r="C3455" s="1" t="n">
        <v>45352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6439-2024</t>
        </is>
      </c>
      <c r="B3456" s="1" t="n">
        <v>45338</v>
      </c>
      <c r="C3456" s="1" t="n">
        <v>45352</v>
      </c>
      <c r="D3456" t="inlineStr">
        <is>
          <t>BLEKINGE LÄN</t>
        </is>
      </c>
      <c r="E3456" t="inlineStr">
        <is>
          <t>OLOFSTRÖM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6443-2024</t>
        </is>
      </c>
      <c r="B3457" s="1" t="n">
        <v>45338</v>
      </c>
      <c r="C3457" s="1" t="n">
        <v>45352</v>
      </c>
      <c r="D3457" t="inlineStr">
        <is>
          <t>BLEKINGE LÄN</t>
        </is>
      </c>
      <c r="E3457" t="inlineStr">
        <is>
          <t>OLOFSTRÖM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6411-2024</t>
        </is>
      </c>
      <c r="B3458" s="1" t="n">
        <v>45338</v>
      </c>
      <c r="C3458" s="1" t="n">
        <v>45352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6444-2024</t>
        </is>
      </c>
      <c r="B3459" s="1" t="n">
        <v>45338</v>
      </c>
      <c r="C3459" s="1" t="n">
        <v>45352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6445-2024</t>
        </is>
      </c>
      <c r="B3460" s="1" t="n">
        <v>45338</v>
      </c>
      <c r="C3460" s="1" t="n">
        <v>45352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6421-2024</t>
        </is>
      </c>
      <c r="B3461" s="1" t="n">
        <v>45338</v>
      </c>
      <c r="C3461" s="1" t="n">
        <v>45352</v>
      </c>
      <c r="D3461" t="inlineStr">
        <is>
          <t>BLEKINGE LÄN</t>
        </is>
      </c>
      <c r="E3461" t="inlineStr">
        <is>
          <t>OLOFSTRÖM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6430-2024</t>
        </is>
      </c>
      <c r="B3462" s="1" t="n">
        <v>45338</v>
      </c>
      <c r="C3462" s="1" t="n">
        <v>45352</v>
      </c>
      <c r="D3462" t="inlineStr">
        <is>
          <t>BLEKINGE LÄN</t>
        </is>
      </c>
      <c r="E3462" t="inlineStr">
        <is>
          <t>OLOFSTRÖM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6442-2024</t>
        </is>
      </c>
      <c r="B3463" s="1" t="n">
        <v>45338</v>
      </c>
      <c r="C3463" s="1" t="n">
        <v>45352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6450-2024</t>
        </is>
      </c>
      <c r="B3464" s="1" t="n">
        <v>45338</v>
      </c>
      <c r="C3464" s="1" t="n">
        <v>45352</v>
      </c>
      <c r="D3464" t="inlineStr">
        <is>
          <t>BLEKINGE LÄN</t>
        </is>
      </c>
      <c r="E3464" t="inlineStr">
        <is>
          <t>RONNEBY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45352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45352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45352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6523-2024</t>
        </is>
      </c>
      <c r="B3468" s="1" t="n">
        <v>45341</v>
      </c>
      <c r="C3468" s="1" t="n">
        <v>45352</v>
      </c>
      <c r="D3468" t="inlineStr">
        <is>
          <t>BLEKINGE LÄN</t>
        </is>
      </c>
      <c r="E3468" t="inlineStr">
        <is>
          <t>OLOFSTRÖM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6660-2024</t>
        </is>
      </c>
      <c r="B3469" s="1" t="n">
        <v>45341</v>
      </c>
      <c r="C3469" s="1" t="n">
        <v>45352</v>
      </c>
      <c r="D3469" t="inlineStr">
        <is>
          <t>BLEKINGE LÄN</t>
        </is>
      </c>
      <c r="E3469" t="inlineStr">
        <is>
          <t>RONNEBY</t>
        </is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6867-2024</t>
        </is>
      </c>
      <c r="B3470" s="1" t="n">
        <v>45342</v>
      </c>
      <c r="C3470" s="1" t="n">
        <v>45352</v>
      </c>
      <c r="D3470" t="inlineStr">
        <is>
          <t>BLEKINGE LÄN</t>
        </is>
      </c>
      <c r="E3470" t="inlineStr">
        <is>
          <t>KARLSHAMN</t>
        </is>
      </c>
      <c r="G3470" t="n">
        <v>2.8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6852-2024</t>
        </is>
      </c>
      <c r="B3471" s="1" t="n">
        <v>45342</v>
      </c>
      <c r="C3471" s="1" t="n">
        <v>45352</v>
      </c>
      <c r="D3471" t="inlineStr">
        <is>
          <t>BLEKINGE LÄN</t>
        </is>
      </c>
      <c r="E3471" t="inlineStr">
        <is>
          <t>KARLSKRONA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6888-2024</t>
        </is>
      </c>
      <c r="B3472" s="1" t="n">
        <v>45342</v>
      </c>
      <c r="C3472" s="1" t="n">
        <v>45352</v>
      </c>
      <c r="D3472" t="inlineStr">
        <is>
          <t>BLEKINGE LÄN</t>
        </is>
      </c>
      <c r="E3472" t="inlineStr">
        <is>
          <t>KARLSKRONA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6855-2024</t>
        </is>
      </c>
      <c r="B3473" s="1" t="n">
        <v>45342</v>
      </c>
      <c r="C3473" s="1" t="n">
        <v>45352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6869-2024</t>
        </is>
      </c>
      <c r="B3474" s="1" t="n">
        <v>45342</v>
      </c>
      <c r="C3474" s="1" t="n">
        <v>45352</v>
      </c>
      <c r="D3474" t="inlineStr">
        <is>
          <t>BLEKINGE LÄN</t>
        </is>
      </c>
      <c r="E3474" t="inlineStr">
        <is>
          <t>RONNEBY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6861-2024</t>
        </is>
      </c>
      <c r="B3475" s="1" t="n">
        <v>45342</v>
      </c>
      <c r="C3475" s="1" t="n">
        <v>45352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6887-2024</t>
        </is>
      </c>
      <c r="B3476" s="1" t="n">
        <v>45342</v>
      </c>
      <c r="C3476" s="1" t="n">
        <v>45352</v>
      </c>
      <c r="D3476" t="inlineStr">
        <is>
          <t>BLEKINGE LÄN</t>
        </is>
      </c>
      <c r="E3476" t="inlineStr">
        <is>
          <t>KARLSKRONA</t>
        </is>
      </c>
      <c r="G3476" t="n">
        <v>2.8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6967-2024</t>
        </is>
      </c>
      <c r="B3477" s="1" t="n">
        <v>45343</v>
      </c>
      <c r="C3477" s="1" t="n">
        <v>45352</v>
      </c>
      <c r="D3477" t="inlineStr">
        <is>
          <t>BLEKINGE LÄN</t>
        </is>
      </c>
      <c r="E3477" t="inlineStr">
        <is>
          <t>KARLSKRONA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6992-2024</t>
        </is>
      </c>
      <c r="B3478" s="1" t="n">
        <v>45343</v>
      </c>
      <c r="C3478" s="1" t="n">
        <v>45352</v>
      </c>
      <c r="D3478" t="inlineStr">
        <is>
          <t>BLEKINGE LÄN</t>
        </is>
      </c>
      <c r="E3478" t="inlineStr">
        <is>
          <t>KARLSKRONA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7014-2024</t>
        </is>
      </c>
      <c r="B3479" s="1" t="n">
        <v>45343</v>
      </c>
      <c r="C3479" s="1" t="n">
        <v>45352</v>
      </c>
      <c r="D3479" t="inlineStr">
        <is>
          <t>BLEKINGE LÄN</t>
        </is>
      </c>
      <c r="E3479" t="inlineStr">
        <is>
          <t>KARLSKRONA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7246-2024</t>
        </is>
      </c>
      <c r="B3480" s="1" t="n">
        <v>45344</v>
      </c>
      <c r="C3480" s="1" t="n">
        <v>45352</v>
      </c>
      <c r="D3480" t="inlineStr">
        <is>
          <t>BLEKINGE LÄN</t>
        </is>
      </c>
      <c r="E3480" t="inlineStr">
        <is>
          <t>KARLSHAMN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7117-2024</t>
        </is>
      </c>
      <c r="B3481" s="1" t="n">
        <v>45344</v>
      </c>
      <c r="C3481" s="1" t="n">
        <v>45352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7129-2024</t>
        </is>
      </c>
      <c r="B3482" s="1" t="n">
        <v>45344</v>
      </c>
      <c r="C3482" s="1" t="n">
        <v>45352</v>
      </c>
      <c r="D3482" t="inlineStr">
        <is>
          <t>BLEKINGE LÄN</t>
        </is>
      </c>
      <c r="E3482" t="inlineStr">
        <is>
          <t>KARLSKRONA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7133-2024</t>
        </is>
      </c>
      <c r="B3483" s="1" t="n">
        <v>45344</v>
      </c>
      <c r="C3483" s="1" t="n">
        <v>45352</v>
      </c>
      <c r="D3483" t="inlineStr">
        <is>
          <t>BLEKINGE LÄN</t>
        </is>
      </c>
      <c r="E3483" t="inlineStr">
        <is>
          <t>KARLSHAMN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7138-2024</t>
        </is>
      </c>
      <c r="B3484" s="1" t="n">
        <v>45344</v>
      </c>
      <c r="C3484" s="1" t="n">
        <v>45352</v>
      </c>
      <c r="D3484" t="inlineStr">
        <is>
          <t>BLEKINGE LÄN</t>
        </is>
      </c>
      <c r="E3484" t="inlineStr">
        <is>
          <t>KARLSHAMN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7119-2024</t>
        </is>
      </c>
      <c r="B3485" s="1" t="n">
        <v>45344</v>
      </c>
      <c r="C3485" s="1" t="n">
        <v>45352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7232-2024</t>
        </is>
      </c>
      <c r="B3486" s="1" t="n">
        <v>45344</v>
      </c>
      <c r="C3486" s="1" t="n">
        <v>45352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7252-2024</t>
        </is>
      </c>
      <c r="B3487" s="1" t="n">
        <v>45344</v>
      </c>
      <c r="C3487" s="1" t="n">
        <v>45352</v>
      </c>
      <c r="D3487" t="inlineStr">
        <is>
          <t>BLEKINGE LÄN</t>
        </is>
      </c>
      <c r="E3487" t="inlineStr">
        <is>
          <t>KARLSKRONA</t>
        </is>
      </c>
      <c r="F3487" t="inlineStr">
        <is>
          <t>Kommuner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7356-2024</t>
        </is>
      </c>
      <c r="B3488" s="1" t="n">
        <v>45345</v>
      </c>
      <c r="C3488" s="1" t="n">
        <v>45352</v>
      </c>
      <c r="D3488" t="inlineStr">
        <is>
          <t>BLEKINGE LÄN</t>
        </is>
      </c>
      <c r="E3488" t="inlineStr">
        <is>
          <t>RONNEBY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7449-2024</t>
        </is>
      </c>
      <c r="B3489" s="1" t="n">
        <v>45345</v>
      </c>
      <c r="C3489" s="1" t="n">
        <v>45352</v>
      </c>
      <c r="D3489" t="inlineStr">
        <is>
          <t>BLEKINGE LÄN</t>
        </is>
      </c>
      <c r="E3489" t="inlineStr">
        <is>
          <t>RONNEBY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7566-2024</t>
        </is>
      </c>
      <c r="B3490" s="1" t="n">
        <v>45346</v>
      </c>
      <c r="C3490" s="1" t="n">
        <v>45352</v>
      </c>
      <c r="D3490" t="inlineStr">
        <is>
          <t>BLEKINGE LÄN</t>
        </is>
      </c>
      <c r="E3490" t="inlineStr">
        <is>
          <t>KARLSKRONA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7524-2024</t>
        </is>
      </c>
      <c r="B3491" s="1" t="n">
        <v>45348</v>
      </c>
      <c r="C3491" s="1" t="n">
        <v>45352</v>
      </c>
      <c r="D3491" t="inlineStr">
        <is>
          <t>BLEKINGE LÄN</t>
        </is>
      </c>
      <c r="E3491" t="inlineStr">
        <is>
          <t>KARLSKRONA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7595-2024</t>
        </is>
      </c>
      <c r="B3492" s="1" t="n">
        <v>45348</v>
      </c>
      <c r="C3492" s="1" t="n">
        <v>45352</v>
      </c>
      <c r="D3492" t="inlineStr">
        <is>
          <t>BLEKINGE LÄN</t>
        </is>
      </c>
      <c r="E3492" t="inlineStr">
        <is>
          <t>KARLSKRONA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7594-2024</t>
        </is>
      </c>
      <c r="B3493" s="1" t="n">
        <v>45348</v>
      </c>
      <c r="C3493" s="1" t="n">
        <v>45352</v>
      </c>
      <c r="D3493" t="inlineStr">
        <is>
          <t>BLEKINGE LÄN</t>
        </is>
      </c>
      <c r="E3493" t="inlineStr">
        <is>
          <t>KARLSKRONA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7596-2024</t>
        </is>
      </c>
      <c r="B3494" s="1" t="n">
        <v>45348</v>
      </c>
      <c r="C3494" s="1" t="n">
        <v>45352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7600-2024</t>
        </is>
      </c>
      <c r="B3495" s="1" t="n">
        <v>45348</v>
      </c>
      <c r="C3495" s="1" t="n">
        <v>45352</v>
      </c>
      <c r="D3495" t="inlineStr">
        <is>
          <t>BLEKINGE LÄN</t>
        </is>
      </c>
      <c r="E3495" t="inlineStr">
        <is>
          <t>KARLSKRONA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7748-2024</t>
        </is>
      </c>
      <c r="B3496" s="1" t="n">
        <v>45349</v>
      </c>
      <c r="C3496" s="1" t="n">
        <v>45352</v>
      </c>
      <c r="D3496" t="inlineStr">
        <is>
          <t>BLEKINGE LÄN</t>
        </is>
      </c>
      <c r="E3496" t="inlineStr">
        <is>
          <t>KARLSKRONA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7889-2024</t>
        </is>
      </c>
      <c r="B3497" s="1" t="n">
        <v>45350</v>
      </c>
      <c r="C3497" s="1" t="n">
        <v>45352</v>
      </c>
      <c r="D3497" t="inlineStr">
        <is>
          <t>BLEKINGE LÄN</t>
        </is>
      </c>
      <c r="E3497" t="inlineStr">
        <is>
          <t>KARLSKRONA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8003-2024</t>
        </is>
      </c>
      <c r="B3498" s="1" t="n">
        <v>45350</v>
      </c>
      <c r="C3498" s="1" t="n">
        <v>45352</v>
      </c>
      <c r="D3498" t="inlineStr">
        <is>
          <t>BLEKINGE LÄN</t>
        </is>
      </c>
      <c r="E3498" t="inlineStr">
        <is>
          <t>RONNEBY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8011-2024</t>
        </is>
      </c>
      <c r="B3499" s="1" t="n">
        <v>45350</v>
      </c>
      <c r="C3499" s="1" t="n">
        <v>45352</v>
      </c>
      <c r="D3499" t="inlineStr">
        <is>
          <t>BLEKINGE LÄN</t>
        </is>
      </c>
      <c r="E3499" t="inlineStr">
        <is>
          <t>KARLSKRONA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8004-2024</t>
        </is>
      </c>
      <c r="B3500" s="1" t="n">
        <v>45350</v>
      </c>
      <c r="C3500" s="1" t="n">
        <v>45352</v>
      </c>
      <c r="D3500" t="inlineStr">
        <is>
          <t>BLEKINGE LÄN</t>
        </is>
      </c>
      <c r="E3500" t="inlineStr">
        <is>
          <t>RONNEBY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8049-2024</t>
        </is>
      </c>
      <c r="B3501" s="1" t="n">
        <v>45351</v>
      </c>
      <c r="C3501" s="1" t="n">
        <v>45352</v>
      </c>
      <c r="D3501" t="inlineStr">
        <is>
          <t>BLEKINGE LÄN</t>
        </is>
      </c>
      <c r="E3501" t="inlineStr">
        <is>
          <t>KARLSHAMN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8086-2024</t>
        </is>
      </c>
      <c r="B3502" s="1" t="n">
        <v>45351</v>
      </c>
      <c r="C3502" s="1" t="n">
        <v>45352</v>
      </c>
      <c r="D3502" t="inlineStr">
        <is>
          <t>BLEKINGE LÄN</t>
        </is>
      </c>
      <c r="E3502" t="inlineStr">
        <is>
          <t>KARLSHAMN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8114-2024</t>
        </is>
      </c>
      <c r="B3503" s="1" t="n">
        <v>45351</v>
      </c>
      <c r="C3503" s="1" t="n">
        <v>45352</v>
      </c>
      <c r="D3503" t="inlineStr">
        <is>
          <t>BLEKINGE LÄN</t>
        </is>
      </c>
      <c r="E3503" t="inlineStr">
        <is>
          <t>RONNEBY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8148-2024</t>
        </is>
      </c>
      <c r="B3504" s="1" t="n">
        <v>45351</v>
      </c>
      <c r="C3504" s="1" t="n">
        <v>45352</v>
      </c>
      <c r="D3504" t="inlineStr">
        <is>
          <t>BLEKINGE LÄN</t>
        </is>
      </c>
      <c r="E3504" t="inlineStr">
        <is>
          <t>KARLSHAMN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8197-2024</t>
        </is>
      </c>
      <c r="B3505" s="1" t="n">
        <v>45351</v>
      </c>
      <c r="C3505" s="1" t="n">
        <v>45352</v>
      </c>
      <c r="D3505" t="inlineStr">
        <is>
          <t>BLEKINGE LÄN</t>
        </is>
      </c>
      <c r="E3505" t="inlineStr">
        <is>
          <t>KARLSKRONA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8117-2024</t>
        </is>
      </c>
      <c r="B3506" s="1" t="n">
        <v>45351</v>
      </c>
      <c r="C3506" s="1" t="n">
        <v>45352</v>
      </c>
      <c r="D3506" t="inlineStr">
        <is>
          <t>BLEKINGE LÄN</t>
        </is>
      </c>
      <c r="E3506" t="inlineStr">
        <is>
          <t>KARLSKRONA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>
      <c r="A3507" t="inlineStr">
        <is>
          <t>A 8125-2024</t>
        </is>
      </c>
      <c r="B3507" s="1" t="n">
        <v>45351</v>
      </c>
      <c r="C3507" s="1" t="n">
        <v>45352</v>
      </c>
      <c r="D3507" t="inlineStr">
        <is>
          <t>BLEKINGE LÄN</t>
        </is>
      </c>
      <c r="E3507" t="inlineStr">
        <is>
          <t>RONNEBY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2024-03-01T12:35:18Z</dcterms:created>
  <dcterms:modified xmlns:dcterms="http://purl.org/dc/terms/" xmlns:xsi="http://www.w3.org/2001/XMLSchema-instance" xsi:type="dcterms:W3CDTF">2024-03-01T12:35:21Z</dcterms:modified>
</cp:coreProperties>
</file>