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45744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45744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45744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45744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45744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45744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45744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45744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45744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45744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45744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45744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45744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45744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45744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45744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45744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45744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45744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45744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45744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45744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45744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45744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45744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45744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45744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45744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45744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45744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45744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45744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45744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45744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45744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45744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45744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45744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45744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45744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45744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45744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45744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45744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45744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45744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45744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45744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45744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45744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45744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45744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45744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45744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45744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45744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45744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45744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45744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45744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45744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45744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45744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45744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45744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45744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45744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45744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45744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45744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45744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45744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45744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45744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45744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45744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45744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45744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45744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45744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45744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45744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45744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45744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45744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45744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45744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45744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45744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45744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45744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45744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45744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45744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45744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45744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45744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45744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45744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45744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45744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45744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45744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45744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45744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45744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45744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45744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45744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45744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45744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45744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45744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45744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45744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45744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45744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45744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45744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45744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45744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45744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HYPERLINK("https://klasma.github.io/Logging_1060/artfynd/A 10139-2025 artfynd.xlsx", "A 10139-2025")</f>
        <v/>
      </c>
      <c r="T125">
        <f>HYPERLINK("https://klasma.github.io/Logging_1060/kartor/A 10139-2025 karta.png", "A 10139-2025")</f>
        <v/>
      </c>
      <c r="V125">
        <f>HYPERLINK("https://klasma.github.io/Logging_1060/klagomål/A 10139-2025 FSC-klagomål.docx", "A 10139-2025")</f>
        <v/>
      </c>
      <c r="W125">
        <f>HYPERLINK("https://klasma.github.io/Logging_1060/klagomålsmail/A 10139-2025 FSC-klagomål mail.docx", "A 10139-2025")</f>
        <v/>
      </c>
      <c r="X125">
        <f>HYPERLINK("https://klasma.github.io/Logging_1060/tillsyn/A 10139-2025 tillsynsbegäran.docx", "A 10139-2025")</f>
        <v/>
      </c>
      <c r="Y125">
        <f>HYPERLINK("https://klasma.github.io/Logging_1060/tillsynsmail/A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45744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HYPERLINK("https://klasma.github.io/Logging_1081/artfynd/A 10323-2025 artfynd.xlsx", "A 10323-2025")</f>
        <v/>
      </c>
      <c r="T126">
        <f>HYPERLINK("https://klasma.github.io/Logging_1081/kartor/A 10323-2025 karta.png", "A 10323-2025")</f>
        <v/>
      </c>
      <c r="V126">
        <f>HYPERLINK("https://klasma.github.io/Logging_1081/klagomål/A 10323-2025 FSC-klagomål.docx", "A 10323-2025")</f>
        <v/>
      </c>
      <c r="W126">
        <f>HYPERLINK("https://klasma.github.io/Logging_1081/klagomålsmail/A 10323-2025 FSC-klagomål mail.docx", "A 10323-2025")</f>
        <v/>
      </c>
      <c r="X126">
        <f>HYPERLINK("https://klasma.github.io/Logging_1081/tillsyn/A 10323-2025 tillsynsbegäran.docx", "A 10323-2025")</f>
        <v/>
      </c>
      <c r="Y126">
        <f>HYPERLINK("https://klasma.github.io/Logging_1081/tillsynsmail/A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45744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HYPERLINK("https://klasma.github.io/Logging_1081/artfynd/A 10862-2025 artfynd.xlsx", "A 10862-2025")</f>
        <v/>
      </c>
      <c r="T127">
        <f>HYPERLINK("https://klasma.github.io/Logging_1081/kartor/A 10862-2025 karta.png", "A 10862-2025")</f>
        <v/>
      </c>
      <c r="V127">
        <f>HYPERLINK("https://klasma.github.io/Logging_1081/klagomål/A 10862-2025 FSC-klagomål.docx", "A 10862-2025")</f>
        <v/>
      </c>
      <c r="W127">
        <f>HYPERLINK("https://klasma.github.io/Logging_1081/klagomålsmail/A 10862-2025 FSC-klagomål mail.docx", "A 10862-2025")</f>
        <v/>
      </c>
      <c r="X127">
        <f>HYPERLINK("https://klasma.github.io/Logging_1081/tillsyn/A 10862-2025 tillsynsbegäran.docx", "A 10862-2025")</f>
        <v/>
      </c>
      <c r="Y127">
        <f>HYPERLINK("https://klasma.github.io/Logging_1081/tillsynsmail/A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45744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HYPERLINK("https://klasma.github.io/Logging_1060/artfynd/A 12792-2025 artfynd.xlsx", "A 12792-2025")</f>
        <v/>
      </c>
      <c r="T128">
        <f>HYPERLINK("https://klasma.github.io/Logging_1060/kartor/A 12792-2025 karta.png", "A 12792-2025")</f>
        <v/>
      </c>
      <c r="V128">
        <f>HYPERLINK("https://klasma.github.io/Logging_1060/klagomål/A 12792-2025 FSC-klagomål.docx", "A 12792-2025")</f>
        <v/>
      </c>
      <c r="W128">
        <f>HYPERLINK("https://klasma.github.io/Logging_1060/klagomålsmail/A 12792-2025 FSC-klagomål mail.docx", "A 12792-2025")</f>
        <v/>
      </c>
      <c r="X128">
        <f>HYPERLINK("https://klasma.github.io/Logging_1060/tillsyn/A 12792-2025 tillsynsbegäran.docx", "A 12792-2025")</f>
        <v/>
      </c>
      <c r="Y128">
        <f>HYPERLINK("https://klasma.github.io/Logging_1060/tillsynsmail/A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45744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45744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45744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45744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45744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45744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45744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45744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45744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45744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45744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45744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45744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45744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45744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45744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45744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45744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45744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45744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45744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45744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45744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45744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45744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45744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45744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45744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45744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45744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45744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45744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45744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45744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45744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45744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45744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45744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45744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45744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45744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45744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45744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45744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45744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45744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45744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45744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45744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45744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45744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45744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45744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45744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45744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45744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45744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45744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45744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45744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45744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45744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45744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45744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45744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45744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45744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45744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45744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45744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45744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45744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45744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45744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45744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45744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45744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45744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45744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45744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45744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45744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45744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45744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45744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45744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45744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45744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45744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45744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45744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45744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45744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45744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45744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45744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45744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45744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45744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45744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45744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45744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45744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45744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45744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45744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45744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45744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45744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45744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45744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45744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45744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45744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45744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45744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45744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45744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45744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45744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45744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45744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45744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45744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45744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45744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45744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45744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45744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45744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45744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45744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45744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45744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45744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45744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45744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45744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45744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45744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45744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45744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45744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45744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45744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45744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45744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45744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45744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45744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45744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45744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45744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45744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45744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45744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45744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45744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45744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45744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45744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45744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45744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45744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45744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45744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45744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45744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45744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45744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45744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45744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45744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45744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45744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45744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45744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45744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45744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45744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45744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45744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45744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45744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45744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45744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45744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45744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45744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45744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45744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45744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45744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45744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45744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45744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45744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45744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45744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45744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45744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45744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45744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45744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45744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45744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45744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45744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45744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45744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45744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45744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45744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45744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45744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45744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45744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45744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45744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45744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45744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45744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45744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45744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45744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45744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45744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45744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45744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45744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45744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45744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45744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45744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45744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45744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45744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45744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45744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45744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45744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45744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45744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45744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45744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45744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45744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45744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45744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45744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45744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45744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45744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45744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45744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45744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45744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45744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45744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45744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45744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45744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45744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45744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45744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45744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45744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45744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45744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45744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45744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45744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45744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45744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45744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45744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45744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45744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45744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45744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45744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45744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45744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45744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45744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45744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45744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45744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45744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45744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45744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45744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45744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45744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45744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45744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45744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45744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45744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45744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45744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45744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45744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45744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45744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45744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45744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45744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45744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45744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45744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45744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45744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45744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45744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45744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45744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45744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45744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45744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45744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45744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45744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45744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45744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45744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45744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45744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45744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45744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45744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45744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45744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45744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45744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45744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45744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45744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45744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45744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45744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45744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45744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45744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45744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45744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45744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45744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45744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45744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45744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45744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45744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45744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45744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45744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45744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45744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45744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45744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45744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45744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45744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45744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45744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45744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45744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45744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45744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45744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45744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45744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45744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45744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45744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45744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45744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45744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45744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45744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45744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45744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45744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45744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45744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45744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45744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45744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45744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45744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45744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45744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45744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45744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45744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45744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45744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45744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45744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45744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45744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45744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45744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45744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45744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45744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45744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45744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45744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45744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45744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45744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45744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45744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45744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45744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45744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45744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45744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45744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45744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45744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45744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45744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45744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45744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45744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45744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45744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45744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45744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45744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45744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45744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45744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45744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45744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45744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45744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45744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45744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45744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45744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45744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45744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45744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45744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45744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45744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45744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45744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45744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45744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45744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45744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45744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45744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45744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45744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45744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45744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45744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45744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45744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45744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45744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45744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45744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45744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45744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45744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45744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45744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45744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45744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45744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45744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45744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45744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45744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45744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45744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45744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45744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45744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45744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45744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45744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45744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45744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45744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45744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45744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45744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45744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45744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45744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45744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45744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45744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45744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45744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45744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45744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45744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45744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45744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45744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45744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45744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45744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45744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45744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45744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45744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45744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45744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45744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45744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45744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45744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45744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45744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45744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45744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45744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45744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45744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45744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45744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45744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45744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45744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45744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45744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45744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45744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45744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45744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45744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45744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45744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45744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45744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45744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45744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45744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45744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45744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45744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45744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45744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45744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45744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45744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45744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45744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45744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45744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45744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45744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45744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45744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45744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45744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45744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45744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45744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45744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45744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45744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45744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45744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45744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45744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45744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45744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45744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45744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45744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45744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45744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45744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45744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45744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45744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45744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45744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45744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45744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45744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45744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45744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45744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45744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45744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45744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45744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45744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45744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45744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45744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45744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45744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45744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45744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45744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45744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45744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45744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45744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45744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45744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45744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45744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45744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45744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45744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45744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45744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45744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45744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45744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45744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45744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45744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45744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45744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45744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45744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45744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45744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45744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45744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45744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45744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45744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45744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45744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45744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45744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45744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45744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45744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45744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45744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45744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45744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45744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45744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45744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45744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45744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45744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45744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45744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45744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45744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45744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45744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45744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45744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45744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45744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45744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45744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45744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45744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45744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45744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45744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45744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45744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45744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45744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45744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45744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45744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45744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45744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45744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45744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45744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45744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45744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45744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45744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45744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45744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45744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45744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45744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45744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45744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45744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45744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45744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45744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45744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45744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45744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45744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45744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45744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45744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45744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45744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45744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45744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45744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45744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45744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45744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45744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45744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45744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45744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45744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45744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45744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45744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45744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45744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45744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45744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45744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45744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45744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45744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45744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45744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45744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45744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45744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45744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45744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45744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45744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45744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45744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45744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45744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45744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45744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45744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45744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45744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45744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45744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45744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45744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45744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45744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45744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45744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45744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45744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45744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45744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45744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45744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45744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45744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45744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45744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45744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45744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45744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45744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45744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45744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45744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45744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45744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45744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45744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45744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45744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45744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45744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45744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45744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45744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45744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45744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45744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45744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45744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45744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45744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45744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45744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45744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45744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45744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45744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45744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45744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45744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45744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45744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45744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45744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45744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45744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45744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45744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45744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45744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45744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45744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45744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45744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45744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45744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45744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45744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45744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45744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45744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45744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45744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45744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45744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45744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45744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45744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45744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45744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45744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45744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45744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45744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45744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45744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45744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45744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45744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45744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45744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45744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45744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45744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45744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45744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45744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45744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45744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45744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45744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45744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45744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45744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45744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45744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45744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45744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45744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45744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45744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45744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45744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45744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45744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45744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45744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45744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45744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45744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45744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45744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45744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45744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45744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45744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45744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45744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45744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45744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45744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45744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45744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45744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45744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45744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45744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45744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45744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45744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45744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45744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45744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45744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45744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45744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45744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45744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45744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45744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45744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45744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45744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45744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45744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45744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45744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45744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45744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45744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45744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45744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45744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45744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45744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45744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45744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45744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45744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45744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45744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45744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45744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45744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45744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45744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45744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45744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45744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45744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45744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45744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45744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45744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45744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45744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45744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45744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45744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45744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45744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45744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45744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45744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45744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45744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45744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45744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45744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45744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45744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45744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45744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45744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45744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45744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45744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45744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45744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45744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45744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45744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45744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45744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45744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45744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45744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45744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45744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45744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45744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45744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45744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45744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45744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45744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45744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45744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45744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45744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45744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45744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45744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45744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45744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45744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45744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45744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45744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45744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45744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45744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45744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45744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45744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45744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45744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45744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45744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45744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45744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45744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45744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45744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45744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45744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45744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45744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45744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45744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45744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45744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45744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45744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45744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45744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45744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45744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45744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45744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45744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45744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45744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45744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45744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45744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45744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45744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45744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45744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45744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45744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45744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45744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45744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45744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45744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45744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45744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45744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45744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45744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45744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45744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45744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45744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45744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45744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45744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45744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45744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45744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45744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45744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45744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45744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45744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45744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45744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45744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45744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45744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45744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45744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45744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45744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45744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45744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45744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45744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45744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45744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45744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45744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45744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45744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45744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45744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45744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45744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45744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45744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45744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45744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45744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45744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45744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45744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45744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45744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45744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45744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45744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45744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45744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45744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45744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45744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45744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45744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45744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45744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45744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45744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45744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45744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45744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45744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45744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45744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45744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45744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45744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45744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45744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45744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45744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45744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45744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45744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45744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45744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45744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45744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45744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45744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45744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45744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45744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45744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45744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45744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45744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45744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45744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45744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45744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45744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45744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45744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45744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45744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45744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45744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45744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45744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45744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45744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45744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45744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45744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45744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45744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45744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45744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45744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45744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45744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45744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45744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45744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45744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45744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45744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45744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45744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45744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45744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45744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45744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45744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45744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45744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45744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45744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45744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45744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45744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45744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45744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45744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45744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45744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45744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45744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45744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45744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45744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45744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45744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45744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45744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45744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45744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45744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45744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45744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45744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45744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45744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45744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45744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45744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45744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45744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45744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45744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45744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45744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45744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45744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45744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45744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45744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45744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45744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45744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45744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45744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45744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45744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45744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45744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45744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45744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45744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45744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45744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45744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45744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45744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45744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45744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45744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45744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45744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45744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45744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45744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45744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45744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45744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45744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45744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45744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45744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45744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45744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45744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45744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45744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45744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45744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45744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45744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45744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45744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45744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45744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45744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45744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45744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45744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45744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45744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45744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45744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45744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45744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45744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45744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45744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45744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45744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45744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45744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45744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45744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45744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45744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45744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45744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45744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45744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45744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45744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45744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45744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45744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45744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45744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45744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45744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45744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45744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45744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45744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45744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45744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45744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45744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45744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45744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45744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45744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45744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45744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45744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45744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45744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45744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45744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45744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45744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45744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45744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45744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45744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45744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45744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45744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45744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45744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45744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45744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45744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45744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45744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45744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45744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45744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45744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45744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45744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45744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45744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45744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45744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45744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45744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45744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45744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45744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45744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45744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45744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45744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45744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45744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45744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45744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45744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45744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45744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45744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45744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45744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45744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45744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45744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45744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45744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45744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45744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45744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45744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45744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45744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45744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45744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45744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45744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45744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45744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45744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45744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45744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45744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45744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45744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45744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45744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45744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45744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45744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45744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45744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45744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45744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45744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45744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45744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45744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45744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45744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45744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45744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45744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45744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45744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45744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45744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45744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45744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45744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45744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45744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45744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45744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45744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45744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45744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45744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45744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45744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45744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45744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45744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45744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45744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45744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45744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45744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45744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45744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45744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45744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45744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45744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45744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45744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45744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45744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45744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45744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45744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45744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45744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45744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45744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45744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45744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45744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45744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45744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45744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45744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45744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45744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45744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45744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45744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45744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45744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45744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45744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45744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45744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45744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45744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45744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45744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45744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45744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45744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45744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45744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45744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45744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45744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45744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45744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45744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45744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45744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45744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45744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45744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45744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45744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45744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45744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45744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45744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45744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45744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45744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45744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45744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45744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45744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45744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45744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45744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45744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45744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45744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45744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45744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45744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45744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45744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45744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45744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45744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45744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45744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45744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45744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45744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45744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45744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45744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45744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45744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45744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45744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45744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45744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45744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45744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45744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45744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45744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45744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45744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45744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45744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45744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45744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45744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45744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45744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45744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45744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45744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45744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45744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45744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45744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45744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45744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45744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45744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45744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45744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45744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45744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45744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45744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45744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45744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45744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45744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45744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45744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45744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45744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45744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45744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45744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45744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45744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45744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45744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45744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45744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45744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45744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45744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45744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45744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45744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45744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45744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45744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45744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45744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45744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45744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45744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45744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45744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45744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45744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45744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45744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45744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45744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45744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45744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45744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45744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45744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45744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45744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45744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45744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45744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45744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45744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45744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45744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45744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45744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45744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45744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45744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45744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45744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45744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45744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45744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45744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45744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45744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45744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45744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45744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45744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45744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45744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45744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45744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45744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45744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45744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45744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45744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45744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45744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45744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45744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45744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45744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45744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45744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45744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45744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45744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45744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45744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45744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45744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45744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45744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45744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45744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45744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45744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45744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45744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45744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45744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45744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45744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45744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45744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45744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45744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45744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45744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45744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45744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45744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45744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45744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45744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45744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45744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45744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45744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45744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45744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45744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45744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45744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45744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45744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45744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45744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45744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45744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45744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45744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45744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45744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45744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45744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45744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45744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45744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45744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45744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45744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45744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45744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45744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45744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45744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45744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45744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45744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45744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45744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45744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45744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45744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45744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45744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45744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45744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45744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45744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45744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45744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45744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45744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45744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45744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45744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45744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45744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45744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45744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45744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45744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45744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45744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45744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45744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45744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45744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45744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45744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45744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45744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45744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45744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45744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45744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45744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45744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45744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45744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45744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45744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45744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45744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45744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45744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45744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45744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45744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45744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45744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45744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45744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45744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45744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45744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45744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45744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45744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45744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45744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45744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45744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45744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45744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45744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45744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45744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45744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45744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45744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45744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45744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45744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45744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45744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45744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45744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45744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45744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45744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45744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45744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45744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45744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45744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45744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45744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45744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45744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45744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45744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45744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45744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45744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45744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45744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45744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45744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45744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45744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45744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45744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45744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45744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45744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45744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45744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45744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45744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45744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45744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45744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45744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45744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45744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45744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45744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45744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45744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45744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45744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45744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45744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45744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45744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45744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45744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45744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45744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45744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45744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45744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45744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45744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45744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45744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45744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45744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45744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45744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45744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45744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45744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45744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45744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45744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45744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45744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45744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45744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45744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45744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45744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45744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45744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45744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45744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45744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45744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45744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45744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45744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45744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45744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45744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45744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45744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45744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45744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45744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45744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45744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45744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45744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45744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45744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45744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45744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45744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45744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45744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45744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45744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45744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45744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45744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45744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45744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45744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45744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45744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45744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45744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45744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45744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45744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45744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45744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45744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45744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45744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45744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45744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45744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45744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45744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45744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45744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45744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45744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45744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45744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45744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45744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45744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45744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45744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45744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45744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45744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45744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45744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45744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45744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45744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45744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45744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45744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45744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45744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45744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45744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45744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45744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45744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45744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45744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45744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45744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45744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45744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45744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45744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45744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45744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45744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45744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45744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45744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45744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45744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45744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45744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45744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45744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45744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45744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45744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45744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45744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45744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45744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45744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45744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45744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45744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45744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45744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45744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45744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45744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45744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45744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45744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45744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45744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45744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45744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45744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45744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45744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45744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45744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45744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45744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45744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45744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45744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45744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45744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45744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45744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45744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45744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45744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45744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45744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45744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45744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45744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45744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45744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45744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45744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45744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45744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45744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45744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45744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45744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45744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45744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45744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45744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45744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45744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45744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45744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45744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45744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45744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45744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45744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45744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45744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45744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45744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45744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45744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45744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45744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45744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45744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45744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45744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45744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45744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45744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45744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45744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45744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45744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45744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45744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45744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45744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45744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45744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45744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45744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45744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45744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45744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45744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45744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45744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45744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45744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45744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45744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45744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45744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45744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45744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45744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45744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45744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45744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45744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45744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45744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45744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45744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45744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45744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45744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45744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45744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45744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45744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45744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45744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45744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45744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45744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45744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45744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45744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45744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45744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45744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45744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45744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45744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45744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45744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45744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45744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45744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45744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45744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45744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45744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45744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45744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45744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45744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45744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45744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45744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45744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45744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45744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45744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45744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45744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45744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45744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45744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45744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45744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45744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45744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45744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45744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45744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45744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45744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45744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45744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45744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45744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45744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45744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45744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45744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45744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45744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45744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45744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45744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45744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45744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45744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45744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45744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45744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45744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45744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45744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45744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45744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45744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45744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45744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45744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45744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45744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45744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45744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45744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45744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45744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45744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45744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45744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45744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45744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45744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45744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45744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45744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45744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45744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45744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45744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45744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45744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45744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45744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45744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45744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45744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45744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45744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45744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45744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45744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45744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45744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45744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45744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45744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45744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45744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45744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45744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45744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45744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45744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45744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45744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45744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45744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45744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45744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45744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45744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45744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45744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45744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45744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45744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45744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45744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45744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45744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45744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45744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45744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45744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45744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45744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45744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45744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45744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45744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45744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45744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45744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45744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45744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45744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45744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45744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45744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45744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45744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45744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45744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45744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45744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45744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45744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45744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45744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45744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45744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45744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45744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45744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45744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45744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45744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45744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45744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45744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45744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45744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45744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45744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45744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45744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45744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45744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45744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45744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45744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45744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45744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45744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45744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45744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45744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45744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45744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45744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45744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45744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45744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45744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45744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45744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45744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45744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45744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45744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45744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45744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45744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45744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45744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45744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45744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45744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45744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45744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45744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45744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45744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45744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45744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45744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45744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45744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45744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45744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45744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45744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45744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45744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45744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45744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45744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45744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45744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45744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45744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45744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45744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45744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45744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45744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45744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45744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45744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45744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45744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45744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45744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45744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45744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45744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45744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45744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45744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45744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45744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45744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45744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45744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45744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45744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45744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45744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45744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45744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45744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45744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45744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45744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45744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45744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45744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45744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45744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45744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45744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45744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45744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45744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45744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45744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45744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45744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45744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45744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45744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45744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45744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45744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45744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45744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45744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45744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45744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45744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45744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45744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45744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45744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45744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45744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45744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45744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45744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45744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45744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45744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45744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45744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45744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45744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45744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45744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45744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45744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45744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45744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45744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45744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45744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45744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45744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45744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45744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45744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45744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45744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45744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45744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45744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45744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45744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45744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45744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45744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45744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45744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45744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45744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45744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45744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45744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45744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45744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45744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45744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45744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45744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45744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45744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45744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45744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45744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45744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45744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45744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45744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45744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45744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45744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45744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45744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45744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45744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45744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45744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45744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45744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45744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45744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45744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45744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45744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45744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45744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45744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45744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45744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45744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45744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45744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45744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45744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45744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45744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45744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45744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45744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45744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45744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45744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45744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45744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45744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45744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45744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45744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45744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45744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45744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45744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45744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45744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45744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45744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45744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45744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45744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45744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45744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45744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45744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45744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45744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45744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45744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45744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45744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45744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45744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45744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45744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45744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45744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45744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45744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45744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45744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45744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45744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45744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45744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45744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45744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45744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45744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45744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45744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45744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45744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45744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45744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45744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45744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45744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45744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45744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45744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45744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45744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45744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45744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45744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45744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45744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45744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45744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45744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45744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45744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45744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45744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45744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45744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45744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45744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45744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45744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45744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45744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45744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45744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45744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45744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45744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45744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45744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45744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45744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45744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45744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45744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45744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45744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45744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45744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45744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45744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45744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45744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45744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45744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45744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45744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45744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45744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45744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45744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45744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45744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45744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45744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45744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45744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45744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45744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45744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45744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45744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45744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45744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45744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45744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45744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45744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45744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45744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45744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45744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45744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45744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45744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45744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45744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45744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45744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45744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45744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45744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45744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45744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45744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45744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45744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45744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45744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45744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45744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45744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45744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45744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45744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45744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45744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45744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45744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45744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45744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45744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45744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45744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45744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45744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45744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45744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45744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45744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45744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45744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45744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45744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45744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45744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45744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45744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45744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45744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45744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45744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45744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45744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45744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45744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45744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45744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45744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45744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45744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45744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45744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45744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45744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45744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45744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45744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45744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45744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45744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45744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45744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45744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45744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45744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45744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45744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45744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45744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45744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45744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45744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45744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45744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45744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45744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45744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45744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45744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45744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45744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45744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45744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45744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45744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45744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45744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45744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45744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45744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45744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45744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45744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45744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45744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45744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45744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45744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45744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45744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45744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45744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45744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45744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45744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45744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45744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45744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45744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45744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45744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45744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45744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45744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45744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45744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45744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45744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45744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45744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45744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45744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45744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45744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45744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45744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45744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45744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45744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45744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45744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45744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45744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45744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45744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45744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45744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45744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45744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45744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45744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45744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45744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45744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45744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45744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45744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45744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45744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45744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45744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45744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45744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45744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45744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45744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45744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45744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45744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45744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45744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45744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45744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45744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45744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45744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45744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45744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45744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45744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45744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45744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45744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45744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45744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45744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45744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45744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45744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45744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45744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45744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45744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45744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45744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45744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45744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45744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45744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45744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45744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45744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45744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45744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45744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45744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45744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45744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45744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45744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45744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45744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45744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45744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45744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45744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45744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45744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45744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45744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45744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45744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45744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45744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45744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45744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45744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45744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45744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45744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45744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45744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45744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45744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45744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45744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45744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45744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45744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45744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45744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45744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45744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45744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45744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45744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45744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45744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45744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45744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45744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45744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45744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45744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45744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45744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45744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45744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45744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45744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45744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45744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45744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45744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45744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45744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45744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45744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45744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45744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45744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45744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45744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45744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45744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45744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45744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45744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45744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45744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45744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45744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45744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45744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45744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45744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45744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45744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45744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45744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45744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45744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45744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45744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45744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45744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45744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45744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45744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45744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45744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45744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45744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45744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45744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45744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45744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45744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45744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45744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45744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45744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45744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45744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45744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45744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45744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45744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45744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45744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45744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45744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45744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45744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45744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45744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45744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45744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45744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45744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45744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45744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45744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45744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45744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45744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45744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45744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45744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45744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45744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45744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45744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45744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45744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45744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45744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45744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45744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45744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45744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45744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45744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45744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45744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45744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45744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45744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45744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45744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45744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45744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45744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45744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45744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45744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45744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45744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45744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45744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45744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45744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45744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45744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45744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45744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45744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45744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45744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45744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45744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45744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45744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45744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45744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45744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45744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45744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45744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45744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45744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45744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45744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45744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45744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45744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45744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45744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45744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45744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45744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45744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45744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45744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45744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45744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45744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45744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45744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45744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45744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45744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45744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45744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45744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45744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45744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45744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45744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45744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45744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45744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45744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45744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45744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45744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45744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45744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45744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45744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45744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45744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45744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45744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45744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45744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45744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45744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45744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45744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45744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45744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45744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45744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45744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45744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45744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45744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45744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45744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45744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45744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45744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45744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45744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45744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45744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45744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45744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45744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45744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45744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45744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45744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45744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45744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45744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45744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45744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45744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45744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45744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45744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45744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45744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45744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45744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45744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45744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45744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45744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45744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45744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45744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45744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45744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45744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45744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45744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45744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45744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45744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45744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45744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45744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45744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45744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45744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45744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45744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45744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45744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45744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45744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45744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45744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45744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45744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45744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45744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45744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45744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45744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45744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45744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45744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45744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45744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45744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45744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45744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45744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45744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45744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45744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45744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45744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45744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45744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45744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45744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45744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45744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45744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45744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45744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45744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45744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45744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45744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45744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45744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45744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45744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45744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45744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45744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45744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45744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45744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45744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45744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45744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45744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45744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45744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45744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45744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45744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45744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45744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45744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45744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45744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45744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45744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45744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45744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45744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45744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45744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45744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45744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45744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45744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45744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45744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45744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45744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45744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45744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45744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45744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45744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45744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45744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45744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45744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45744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45744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45744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45744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45744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45744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45744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45744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45744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45744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45744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45744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45744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45744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45744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45744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45744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45744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45744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45744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45744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45744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45744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45744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45744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45744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45744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45744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45744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45744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45744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45744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45744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45744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45744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45744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45744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45744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45744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45744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45744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45744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45744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45744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45744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45744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45744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45744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45744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45744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45744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45744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45744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45744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45744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45744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45744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45744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45744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45744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45744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45744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45744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45744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45744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45744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45744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45744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45744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45744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45744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45744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45744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45744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45744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45744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45744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45744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45744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45744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45744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45744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45744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45744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45744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45744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45744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45744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45744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45744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45744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45744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45744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45744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45744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45744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45744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45744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45744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45744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45744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45744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45744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45744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45744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45744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45744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45744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45744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45744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45744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45744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45744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45744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45744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45744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45744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45744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45744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45744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45744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45744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45744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45744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45744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45744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45744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45744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45744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45744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45744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45744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45744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45744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45744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45744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45744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45744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45744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45744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45744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45744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45744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45744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45744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45744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45744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45744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45744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45744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45744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45744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45744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45744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45744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45744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45744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45744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45744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45744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45744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45744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45744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45744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45744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45744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45744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45744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45744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45744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45744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45744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45744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45744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45744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45744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45744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45744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45744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45744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45744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45744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45744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45744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45744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45744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45744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45744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45744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45744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45744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45744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45744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45744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45744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45744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45744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45744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45744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45744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45744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45744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45744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45744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45744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45744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45744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45744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45744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45744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45744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45744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45744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45744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45744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45744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45744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45744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45744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45744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45744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45744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45744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45744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45744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45744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45744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45744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45744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45744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45744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45744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45744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45744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45744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45744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45744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45744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45744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45744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45744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45744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45744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45744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45744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45744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45744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45744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45744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45744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45744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45744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45744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45744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45744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45744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45744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45744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45744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45744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45744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45744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45744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45744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45744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45744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45744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45744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45744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45744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45744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45744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45744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45744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45744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45744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45744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45744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45744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45744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45744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45744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45744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45744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45744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45744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45744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45744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45744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45744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45744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45744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45744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45744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45744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45744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45744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45744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45744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45744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45744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45744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45744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45744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45744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45744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45744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45744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45744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45744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45744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45744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45744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45744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45744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45744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45744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45744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45744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45744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45744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45744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45744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45744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45744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45744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45744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45744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45744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45744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45744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45744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45744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45744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45744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45744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45744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45744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45744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45744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45744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45744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45744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45744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45744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45744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45744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45744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45744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45744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45744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45744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45744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45744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45744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45744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45744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45744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45744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45744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45744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45744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45744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45744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45744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45744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45744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45744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45744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45744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45744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45744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45744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45744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45744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45744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45744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45744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45744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45744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45744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45744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45744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45744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45744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45744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45744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45744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45744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45744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45744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45744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45744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45744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45744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45744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45744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45744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45744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45744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45744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45744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45744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45744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45744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45744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45744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45744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45744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45744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45744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45744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45744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45744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45744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45744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45744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45744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45744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45744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45744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45744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45744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45744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45744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45744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45744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45744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45744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45744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45744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45744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45744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45744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45744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45744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45744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45744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45744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45744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45744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45744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45744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45744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45744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45744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45744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45744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45744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45744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45744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45744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45744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45744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45744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45744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45744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45744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45744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45744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45744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45744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45744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45744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45744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45744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45744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45744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45744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45744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45744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45744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45744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45744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45744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45744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45744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45744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45744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45744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45744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45744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45744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45744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45744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45744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45744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45744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45744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45744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45744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45744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45744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45744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45744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45744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45744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45744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45744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45744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45744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45744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45744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45744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45744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45744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45744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45744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45744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45744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45744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45744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45744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45744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45744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45744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45744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45744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45744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45744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45744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45744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45744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45744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45744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45744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45744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45744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45744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45744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45744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45744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45744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45744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45744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45744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45744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45744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45744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45744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45744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45744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45744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45744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45744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45744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45744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45744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45744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45744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45744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45744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45744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45744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45744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45744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45744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45744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45744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45744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45744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45744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45744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45744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45744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45744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45744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45744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45744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45744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45744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45744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45744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45744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45744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45744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45744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45744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45744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45744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45744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45744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45744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45744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45744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45744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45744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45744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45744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45744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45744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45744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45744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45744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45744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45744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45744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45744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45744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45744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45744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45744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45744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45744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45744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45744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45744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45744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45744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45744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45744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45744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45744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45744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45744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45744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45744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45744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45744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45744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45744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45744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45744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45744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45744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45744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45744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45744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45744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45744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45744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45744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45744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45744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45744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45744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45744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45744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45744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45744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45744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45744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45744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45744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45744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45744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45744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45744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45744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45744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45744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45744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45744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45744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45744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45744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45744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45744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45744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45744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45744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45744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45744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45744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45744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45744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45744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45744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45744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45744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45744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45744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45744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45744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45744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45744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45744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45744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45744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45744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45744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45744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45744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45744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45744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45744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45744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45744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45744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45744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45744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45744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45744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45744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45744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45744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45744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45744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45744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45744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45744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45744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45744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45744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45744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45744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45744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45744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45744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45744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45744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45744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45744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45744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45744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45744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45744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45744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45744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45744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45744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45744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45744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45744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45744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45744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45744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45744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45744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45744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45744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45744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45744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45744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45744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45744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45744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45744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45744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45744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45744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45744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45744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45744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45744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45744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45744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45744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45744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45744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45744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45744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45744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45744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45744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45744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45744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45744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45744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45744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45744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45744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45744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45744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45744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45744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45744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45744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45744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45744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45744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45744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45744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45744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45744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45744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45744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45744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45744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45744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45744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45744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45744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45744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45744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45744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45744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45744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45744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45744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45744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9410-2025</t>
        </is>
      </c>
      <c r="B4113" s="1" t="n">
        <v>45715</v>
      </c>
      <c r="C4113" s="1" t="n">
        <v>45744</v>
      </c>
      <c r="D4113" t="inlineStr">
        <is>
          <t>BLEKINGE LÄN</t>
        </is>
      </c>
      <c r="E4113" t="inlineStr">
        <is>
          <t>KARLSKRONA</t>
        </is>
      </c>
      <c r="G4113" t="n">
        <v>6.7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45744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9415-2025</t>
        </is>
      </c>
      <c r="B4115" s="1" t="n">
        <v>45715</v>
      </c>
      <c r="C4115" s="1" t="n">
        <v>45744</v>
      </c>
      <c r="D4115" t="inlineStr">
        <is>
          <t>BLEKINGE LÄN</t>
        </is>
      </c>
      <c r="E4115" t="inlineStr">
        <is>
          <t>KARLSKRONA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9413-2025</t>
        </is>
      </c>
      <c r="B4116" s="1" t="n">
        <v>45715</v>
      </c>
      <c r="C4116" s="1" t="n">
        <v>45744</v>
      </c>
      <c r="D4116" t="inlineStr">
        <is>
          <t>BLEKINGE LÄN</t>
        </is>
      </c>
      <c r="E4116" t="inlineStr">
        <is>
          <t>KARLSKRONA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45744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45744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9775-2025</t>
        </is>
      </c>
      <c r="B4119" s="1" t="n">
        <v>45716</v>
      </c>
      <c r="C4119" s="1" t="n">
        <v>45744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45744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45744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45744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45744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45744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45744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45744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9959-2025</t>
        </is>
      </c>
      <c r="B4127" s="1" t="n">
        <v>45719</v>
      </c>
      <c r="C4127" s="1" t="n">
        <v>45744</v>
      </c>
      <c r="D4127" t="inlineStr">
        <is>
          <t>BLEKINGE LÄN</t>
        </is>
      </c>
      <c r="E4127" t="inlineStr">
        <is>
          <t>RONNEBY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9953-2025</t>
        </is>
      </c>
      <c r="B4128" s="1" t="n">
        <v>45719</v>
      </c>
      <c r="C4128" s="1" t="n">
        <v>45744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9958-2025</t>
        </is>
      </c>
      <c r="B4129" s="1" t="n">
        <v>45719</v>
      </c>
      <c r="C4129" s="1" t="n">
        <v>45744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45744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45744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45744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10295-2025</t>
        </is>
      </c>
      <c r="B4133" s="1" t="n">
        <v>45720</v>
      </c>
      <c r="C4133" s="1" t="n">
        <v>45744</v>
      </c>
      <c r="D4133" t="inlineStr">
        <is>
          <t>BLEKINGE LÄN</t>
        </is>
      </c>
      <c r="E4133" t="inlineStr">
        <is>
          <t>KARLSKRONA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45744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45744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45744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10301-2025</t>
        </is>
      </c>
      <c r="B4137" s="1" t="n">
        <v>45720</v>
      </c>
      <c r="C4137" s="1" t="n">
        <v>45744</v>
      </c>
      <c r="D4137" t="inlineStr">
        <is>
          <t>BLEKINGE LÄN</t>
        </is>
      </c>
      <c r="E4137" t="inlineStr">
        <is>
          <t>KARLSKRONA</t>
        </is>
      </c>
      <c r="G4137" t="n">
        <v>2.7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10296-2025</t>
        </is>
      </c>
      <c r="B4138" s="1" t="n">
        <v>45720</v>
      </c>
      <c r="C4138" s="1" t="n">
        <v>45744</v>
      </c>
      <c r="D4138" t="inlineStr">
        <is>
          <t>BLEKINGE LÄN</t>
        </is>
      </c>
      <c r="E4138" t="inlineStr">
        <is>
          <t>KARLSKRONA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45744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45744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45744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45744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45744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45744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45744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10923-2025</t>
        </is>
      </c>
      <c r="B4146" s="1" t="n">
        <v>45722</v>
      </c>
      <c r="C4146" s="1" t="n">
        <v>45744</v>
      </c>
      <c r="D4146" t="inlineStr">
        <is>
          <t>BLEKINGE LÄN</t>
        </is>
      </c>
      <c r="E4146" t="inlineStr">
        <is>
          <t>RONNEBY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45744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45744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45744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45744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45744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11168-2025</t>
        </is>
      </c>
      <c r="B4152" s="1" t="n">
        <v>45724</v>
      </c>
      <c r="C4152" s="1" t="n">
        <v>45744</v>
      </c>
      <c r="D4152" t="inlineStr">
        <is>
          <t>BLEKINGE LÄN</t>
        </is>
      </c>
      <c r="E4152" t="inlineStr">
        <is>
          <t>RONNEBY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45744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11165-2025</t>
        </is>
      </c>
      <c r="B4154" s="1" t="n">
        <v>45724</v>
      </c>
      <c r="C4154" s="1" t="n">
        <v>45744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45744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45744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45744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45744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45744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45744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12077-2025</t>
        </is>
      </c>
      <c r="B4161" s="1" t="n">
        <v>45728</v>
      </c>
      <c r="C4161" s="1" t="n">
        <v>45744</v>
      </c>
      <c r="D4161" t="inlineStr">
        <is>
          <t>BLEKINGE LÄN</t>
        </is>
      </c>
      <c r="E4161" t="inlineStr">
        <is>
          <t>RONNEBY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12059-2025</t>
        </is>
      </c>
      <c r="B4162" s="1" t="n">
        <v>45728</v>
      </c>
      <c r="C4162" s="1" t="n">
        <v>45744</v>
      </c>
      <c r="D4162" t="inlineStr">
        <is>
          <t>BLEKINGE LÄN</t>
        </is>
      </c>
      <c r="E4162" t="inlineStr">
        <is>
          <t>KARLSKRONA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45744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45744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45744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45744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12788-2025</t>
        </is>
      </c>
      <c r="B4167" s="1" t="n">
        <v>45733</v>
      </c>
      <c r="C4167" s="1" t="n">
        <v>45744</v>
      </c>
      <c r="D4167" t="inlineStr">
        <is>
          <t>BLEKINGE LÄN</t>
        </is>
      </c>
      <c r="E4167" t="inlineStr">
        <is>
          <t>OLOFSTRÖM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12796-2025</t>
        </is>
      </c>
      <c r="B4168" s="1" t="n">
        <v>45733</v>
      </c>
      <c r="C4168" s="1" t="n">
        <v>45744</v>
      </c>
      <c r="D4168" t="inlineStr">
        <is>
          <t>BLEKINGE LÄN</t>
        </is>
      </c>
      <c r="E4168" t="inlineStr">
        <is>
          <t>OLOFSTRÖM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12901-2025</t>
        </is>
      </c>
      <c r="B4169" s="1" t="n">
        <v>45733</v>
      </c>
      <c r="C4169" s="1" t="n">
        <v>45744</v>
      </c>
      <c r="D4169" t="inlineStr">
        <is>
          <t>BLEKINGE LÄN</t>
        </is>
      </c>
      <c r="E4169" t="inlineStr">
        <is>
          <t>KARLSKRONA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45744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12668-2025</t>
        </is>
      </c>
      <c r="B4171" s="1" t="n">
        <v>45733</v>
      </c>
      <c r="C4171" s="1" t="n">
        <v>45744</v>
      </c>
      <c r="D4171" t="inlineStr">
        <is>
          <t>BLEKINGE LÄN</t>
        </is>
      </c>
      <c r="E4171" t="inlineStr">
        <is>
          <t>KARLSKRONA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12672-2025</t>
        </is>
      </c>
      <c r="B4172" s="1" t="n">
        <v>45733</v>
      </c>
      <c r="C4172" s="1" t="n">
        <v>45744</v>
      </c>
      <c r="D4172" t="inlineStr">
        <is>
          <t>BLEKINGE LÄN</t>
        </is>
      </c>
      <c r="E4172" t="inlineStr">
        <is>
          <t>KARLSKRONA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45744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12896-2025</t>
        </is>
      </c>
      <c r="B4174" s="1" t="n">
        <v>45733</v>
      </c>
      <c r="C4174" s="1" t="n">
        <v>45744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45744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13395-2025</t>
        </is>
      </c>
      <c r="B4176" s="1" t="n">
        <v>45735</v>
      </c>
      <c r="C4176" s="1" t="n">
        <v>45744</v>
      </c>
      <c r="D4176" t="inlineStr">
        <is>
          <t>BLEKINGE LÄN</t>
        </is>
      </c>
      <c r="E4176" t="inlineStr">
        <is>
          <t>KARLSKRONA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45744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45744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45744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45744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45744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45744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13955-2025</t>
        </is>
      </c>
      <c r="B4183" s="1" t="n">
        <v>45737</v>
      </c>
      <c r="C4183" s="1" t="n">
        <v>45744</v>
      </c>
      <c r="D4183" t="inlineStr">
        <is>
          <t>BLEKINGE LÄN</t>
        </is>
      </c>
      <c r="E4183" t="inlineStr">
        <is>
          <t>OLOFSTRÖM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45744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45744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45744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45744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45744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14481-2025</t>
        </is>
      </c>
      <c r="B4189" s="1" t="n">
        <v>45741</v>
      </c>
      <c r="C4189" s="1" t="n">
        <v>45744</v>
      </c>
      <c r="D4189" t="inlineStr">
        <is>
          <t>BLEKINGE LÄN</t>
        </is>
      </c>
      <c r="E4189" t="inlineStr">
        <is>
          <t>SÖLVESBORG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45744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45744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45744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45744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45744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45744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45744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45744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45744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14803-2025</t>
        </is>
      </c>
      <c r="B4199" s="1" t="n">
        <v>45743</v>
      </c>
      <c r="C4199" s="1" t="n">
        <v>45744</v>
      </c>
      <c r="D4199" t="inlineStr">
        <is>
          <t>BLEKINGE LÄN</t>
        </is>
      </c>
      <c r="E4199" t="inlineStr">
        <is>
          <t>RONNEBY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14816-2025</t>
        </is>
      </c>
      <c r="B4200" s="1" t="n">
        <v>45743</v>
      </c>
      <c r="C4200" s="1" t="n">
        <v>45744</v>
      </c>
      <c r="D4200" t="inlineStr">
        <is>
          <t>BLEKINGE LÄN</t>
        </is>
      </c>
      <c r="E4200" t="inlineStr">
        <is>
          <t>KARLSHAMN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14893-2025</t>
        </is>
      </c>
      <c r="B4201" s="1" t="n">
        <v>45743</v>
      </c>
      <c r="C4201" s="1" t="n">
        <v>45744</v>
      </c>
      <c r="D4201" t="inlineStr">
        <is>
          <t>BLEKINGE LÄN</t>
        </is>
      </c>
      <c r="E4201" t="inlineStr">
        <is>
          <t>RONNEBY</t>
        </is>
      </c>
      <c r="F4201" t="inlineStr">
        <is>
          <t>Kommuner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>
      <c r="A4202" t="inlineStr">
        <is>
          <t>A 14938-2025</t>
        </is>
      </c>
      <c r="B4202" s="1" t="n">
        <v>45743</v>
      </c>
      <c r="C4202" s="1" t="n">
        <v>45744</v>
      </c>
      <c r="D4202" t="inlineStr">
        <is>
          <t>BLEKINGE LÄN</t>
        </is>
      </c>
      <c r="E4202" t="inlineStr">
        <is>
          <t>KARLSKRONA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2025-03-28T18:22:19Z</dcterms:created>
  <dcterms:modified xmlns:dcterms="http://purl.org/dc/terms/" xmlns:xsi="http://www.w3.org/2001/XMLSchema-instance" xsi:type="dcterms:W3CDTF">2025-03-28T18:22:22Z</dcterms:modified>
</cp:coreProperties>
</file>